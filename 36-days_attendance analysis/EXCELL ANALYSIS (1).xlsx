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f07a30fb802ad/Documents/"/>
    </mc:Choice>
  </mc:AlternateContent>
  <xr:revisionPtr revIDLastSave="1" documentId="8_{65168B70-CC85-48DA-B747-0EA8C5FD7BE1}" xr6:coauthVersionLast="47" xr6:coauthVersionMax="47" xr10:uidLastSave="{2626A36C-10E8-434A-9CD7-A195F3D3EC04}"/>
  <bookViews>
    <workbookView xWindow="-120" yWindow="-120" windowWidth="20730" windowHeight="11160" firstSheet="6" activeTab="9" xr2:uid="{00000000-000D-0000-FFFF-FFFF00000000}"/>
  </bookViews>
  <sheets>
    <sheet name="COMBINED ATTENDANCE TABLE" sheetId="1" r:id="rId1"/>
    <sheet name="SECTION B." sheetId="5" r:id="rId2"/>
    <sheet name="UNIQUE VALUES(NO DUPLICATES)" sheetId="16" r:id="rId3"/>
    <sheet name="PERFOEMANCE TABLE" sheetId="20" r:id="rId4"/>
    <sheet name="PIVOT TABLES" sheetId="2" r:id="rId5"/>
    <sheet name="RETENTION CALCULATIONS" sheetId="17" r:id="rId6"/>
    <sheet name="CHARTS" sheetId="15" r:id="rId7"/>
    <sheet name="DROP OFF TABLE" sheetId="9" r:id="rId8"/>
    <sheet name="ANSWERS" sheetId="3" r:id="rId9"/>
    <sheet name="VOLATILITY TABLE" sheetId="18" r:id="rId10"/>
  </sheets>
  <definedNames>
    <definedName name="_xlnm._FilterDatabase" localSheetId="0" hidden="1">'COMBINED ATTENDANCE TABLE'!$B$1:$B$1366</definedName>
    <definedName name="_xlnm._FilterDatabase" localSheetId="3" hidden="1">'PERFOEMANCE TABLE'!$A$1:$P$106</definedName>
    <definedName name="_xlnm._FilterDatabase" localSheetId="1" hidden="1">'SECTION B.'!$A$1:$A$1365</definedName>
    <definedName name="_xlnm._FilterDatabase" localSheetId="2" hidden="1">'UNIQUE VALUES(NO DUPLICATES)'!$A$1:$A$1395</definedName>
  </definedNames>
  <calcPr calcId="191029"/>
  <pivotCaches>
    <pivotCache cacheId="5" r:id="rId11"/>
    <pivotCache cacheId="6" r:id="rId12"/>
    <pivotCache cacheId="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3" l="1"/>
  <c r="D16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17" i="18"/>
  <c r="B30" i="3"/>
  <c r="D11" i="20"/>
  <c r="D17" i="20"/>
  <c r="D4" i="20"/>
  <c r="D40" i="20"/>
  <c r="D69" i="20"/>
  <c r="D14" i="20"/>
  <c r="D81" i="20"/>
  <c r="D76" i="20"/>
  <c r="D103" i="20"/>
  <c r="D15" i="20"/>
  <c r="D102" i="20"/>
  <c r="D24" i="20"/>
  <c r="D43" i="20"/>
  <c r="D53" i="20"/>
  <c r="D86" i="20"/>
  <c r="D83" i="20"/>
  <c r="D21" i="20"/>
  <c r="D10" i="20"/>
  <c r="D70" i="20"/>
  <c r="D104" i="20"/>
  <c r="D51" i="20"/>
  <c r="D57" i="20"/>
  <c r="D31" i="20"/>
  <c r="D2" i="20"/>
  <c r="D82" i="20"/>
  <c r="D97" i="20"/>
  <c r="D44" i="20"/>
  <c r="D78" i="20"/>
  <c r="D20" i="20"/>
  <c r="D98" i="20"/>
  <c r="D87" i="20"/>
  <c r="D52" i="20"/>
  <c r="D85" i="20"/>
  <c r="D64" i="20"/>
  <c r="D41" i="20"/>
  <c r="D66" i="20"/>
  <c r="D94" i="20"/>
  <c r="D67" i="20"/>
  <c r="D6" i="20"/>
  <c r="D9" i="20"/>
  <c r="D56" i="20"/>
  <c r="D58" i="20"/>
  <c r="D28" i="20"/>
  <c r="D50" i="20"/>
  <c r="D27" i="20"/>
  <c r="D75" i="20"/>
  <c r="D91" i="20"/>
  <c r="D8" i="20"/>
  <c r="D80" i="20"/>
  <c r="D33" i="20"/>
  <c r="D93" i="20"/>
  <c r="D106" i="20"/>
  <c r="D29" i="20"/>
  <c r="D95" i="20"/>
  <c r="D32" i="20"/>
  <c r="D30" i="20"/>
  <c r="D71" i="20"/>
  <c r="D25" i="20"/>
  <c r="D3" i="20"/>
  <c r="D36" i="20"/>
  <c r="D90" i="20"/>
  <c r="D7" i="20"/>
  <c r="D105" i="20"/>
  <c r="D37" i="20"/>
  <c r="D13" i="20"/>
  <c r="D61" i="20"/>
  <c r="D34" i="20"/>
  <c r="D79" i="20"/>
  <c r="D49" i="20"/>
  <c r="D89" i="20"/>
  <c r="D88" i="20"/>
  <c r="D74" i="20"/>
  <c r="D18" i="20"/>
  <c r="D73" i="20"/>
  <c r="D38" i="20"/>
  <c r="D60" i="20"/>
  <c r="D12" i="20"/>
  <c r="D55" i="20"/>
  <c r="D19" i="20"/>
  <c r="D92" i="20"/>
  <c r="D77" i="20"/>
  <c r="D101" i="20"/>
  <c r="D22" i="20"/>
  <c r="D16" i="20"/>
  <c r="D99" i="20"/>
  <c r="D72" i="20"/>
  <c r="D65" i="20"/>
  <c r="D26" i="20"/>
  <c r="D62" i="20"/>
  <c r="D68" i="20"/>
  <c r="D5" i="20"/>
  <c r="D100" i="20"/>
  <c r="D54" i="20"/>
  <c r="D46" i="20"/>
  <c r="D45" i="20"/>
  <c r="D42" i="20"/>
  <c r="D96" i="20"/>
  <c r="D84" i="20"/>
  <c r="D23" i="20"/>
  <c r="D59" i="20"/>
  <c r="D39" i="20"/>
  <c r="D35" i="20"/>
  <c r="D47" i="20"/>
  <c r="D63" i="20"/>
  <c r="D48" i="20"/>
  <c r="F11" i="20"/>
  <c r="H11" i="20" s="1"/>
  <c r="I11" i="20" s="1"/>
  <c r="F17" i="20"/>
  <c r="H17" i="20" s="1"/>
  <c r="I17" i="20" s="1"/>
  <c r="F4" i="20"/>
  <c r="H4" i="20" s="1"/>
  <c r="I4" i="20" s="1"/>
  <c r="F40" i="20"/>
  <c r="H40" i="20" s="1"/>
  <c r="I40" i="20" s="1"/>
  <c r="F69" i="20"/>
  <c r="H69" i="20" s="1"/>
  <c r="I69" i="20" s="1"/>
  <c r="F14" i="20"/>
  <c r="H14" i="20" s="1"/>
  <c r="I14" i="20" s="1"/>
  <c r="F81" i="20"/>
  <c r="H81" i="20" s="1"/>
  <c r="I81" i="20" s="1"/>
  <c r="F76" i="20"/>
  <c r="H76" i="20" s="1"/>
  <c r="I76" i="20" s="1"/>
  <c r="F103" i="20"/>
  <c r="H103" i="20" s="1"/>
  <c r="I103" i="20" s="1"/>
  <c r="F15" i="20"/>
  <c r="H15" i="20" s="1"/>
  <c r="I15" i="20" s="1"/>
  <c r="F102" i="20"/>
  <c r="H102" i="20" s="1"/>
  <c r="I102" i="20" s="1"/>
  <c r="F24" i="20"/>
  <c r="H24" i="20" s="1"/>
  <c r="I24" i="20" s="1"/>
  <c r="F43" i="20"/>
  <c r="H43" i="20" s="1"/>
  <c r="I43" i="20" s="1"/>
  <c r="F53" i="20"/>
  <c r="H53" i="20" s="1"/>
  <c r="I53" i="20" s="1"/>
  <c r="F86" i="20"/>
  <c r="H86" i="20" s="1"/>
  <c r="I86" i="20" s="1"/>
  <c r="F83" i="20"/>
  <c r="H83" i="20" s="1"/>
  <c r="I83" i="20" s="1"/>
  <c r="F21" i="20"/>
  <c r="H21" i="20" s="1"/>
  <c r="I21" i="20" s="1"/>
  <c r="F10" i="20"/>
  <c r="H10" i="20" s="1"/>
  <c r="I10" i="20" s="1"/>
  <c r="F70" i="20"/>
  <c r="H70" i="20" s="1"/>
  <c r="I70" i="20" s="1"/>
  <c r="F104" i="20"/>
  <c r="H104" i="20" s="1"/>
  <c r="I104" i="20" s="1"/>
  <c r="F51" i="20"/>
  <c r="H51" i="20" s="1"/>
  <c r="I51" i="20" s="1"/>
  <c r="F57" i="20"/>
  <c r="H57" i="20" s="1"/>
  <c r="I57" i="20" s="1"/>
  <c r="F31" i="20"/>
  <c r="H31" i="20" s="1"/>
  <c r="I31" i="20" s="1"/>
  <c r="F2" i="20"/>
  <c r="H2" i="20" s="1"/>
  <c r="I2" i="20" s="1"/>
  <c r="F82" i="20"/>
  <c r="H82" i="20" s="1"/>
  <c r="I82" i="20" s="1"/>
  <c r="F97" i="20"/>
  <c r="H97" i="20" s="1"/>
  <c r="I97" i="20" s="1"/>
  <c r="F44" i="20"/>
  <c r="H44" i="20" s="1"/>
  <c r="I44" i="20" s="1"/>
  <c r="F78" i="20"/>
  <c r="H78" i="20" s="1"/>
  <c r="I78" i="20" s="1"/>
  <c r="F20" i="20"/>
  <c r="H20" i="20" s="1"/>
  <c r="I20" i="20" s="1"/>
  <c r="F98" i="20"/>
  <c r="H98" i="20" s="1"/>
  <c r="I98" i="20" s="1"/>
  <c r="F87" i="20"/>
  <c r="H87" i="20" s="1"/>
  <c r="I87" i="20" s="1"/>
  <c r="F52" i="20"/>
  <c r="H52" i="20" s="1"/>
  <c r="I52" i="20" s="1"/>
  <c r="F85" i="20"/>
  <c r="H85" i="20" s="1"/>
  <c r="I85" i="20" s="1"/>
  <c r="F64" i="20"/>
  <c r="H64" i="20" s="1"/>
  <c r="I64" i="20" s="1"/>
  <c r="F41" i="20"/>
  <c r="H41" i="20" s="1"/>
  <c r="I41" i="20" s="1"/>
  <c r="F66" i="20"/>
  <c r="H66" i="20" s="1"/>
  <c r="I66" i="20" s="1"/>
  <c r="F94" i="20"/>
  <c r="H94" i="20" s="1"/>
  <c r="I94" i="20" s="1"/>
  <c r="F67" i="20"/>
  <c r="H67" i="20" s="1"/>
  <c r="I67" i="20" s="1"/>
  <c r="F6" i="20"/>
  <c r="H6" i="20" s="1"/>
  <c r="I6" i="20" s="1"/>
  <c r="F9" i="20"/>
  <c r="H9" i="20" s="1"/>
  <c r="I9" i="20" s="1"/>
  <c r="F56" i="20"/>
  <c r="H56" i="20" s="1"/>
  <c r="I56" i="20" s="1"/>
  <c r="F58" i="20"/>
  <c r="H58" i="20" s="1"/>
  <c r="I58" i="20" s="1"/>
  <c r="F28" i="20"/>
  <c r="H28" i="20" s="1"/>
  <c r="I28" i="20" s="1"/>
  <c r="F50" i="20"/>
  <c r="H50" i="20" s="1"/>
  <c r="I50" i="20" s="1"/>
  <c r="F27" i="20"/>
  <c r="H27" i="20" s="1"/>
  <c r="I27" i="20" s="1"/>
  <c r="F75" i="20"/>
  <c r="H75" i="20" s="1"/>
  <c r="I75" i="20" s="1"/>
  <c r="F91" i="20"/>
  <c r="H91" i="20" s="1"/>
  <c r="I91" i="20" s="1"/>
  <c r="F8" i="20"/>
  <c r="H8" i="20" s="1"/>
  <c r="I8" i="20" s="1"/>
  <c r="F80" i="20"/>
  <c r="H80" i="20" s="1"/>
  <c r="I80" i="20" s="1"/>
  <c r="F33" i="20"/>
  <c r="H33" i="20" s="1"/>
  <c r="I33" i="20" s="1"/>
  <c r="F93" i="20"/>
  <c r="H93" i="20" s="1"/>
  <c r="I93" i="20" s="1"/>
  <c r="F106" i="20"/>
  <c r="H106" i="20" s="1"/>
  <c r="I106" i="20" s="1"/>
  <c r="F29" i="20"/>
  <c r="H29" i="20" s="1"/>
  <c r="I29" i="20" s="1"/>
  <c r="F95" i="20"/>
  <c r="H95" i="20" s="1"/>
  <c r="I95" i="20" s="1"/>
  <c r="F32" i="20"/>
  <c r="H32" i="20" s="1"/>
  <c r="I32" i="20" s="1"/>
  <c r="F30" i="20"/>
  <c r="H30" i="20" s="1"/>
  <c r="I30" i="20" s="1"/>
  <c r="F71" i="20"/>
  <c r="H71" i="20" s="1"/>
  <c r="I71" i="20" s="1"/>
  <c r="F25" i="20"/>
  <c r="H25" i="20" s="1"/>
  <c r="I25" i="20" s="1"/>
  <c r="F3" i="20"/>
  <c r="H3" i="20" s="1"/>
  <c r="I3" i="20" s="1"/>
  <c r="F36" i="20"/>
  <c r="H36" i="20" s="1"/>
  <c r="I36" i="20" s="1"/>
  <c r="F90" i="20"/>
  <c r="H90" i="20" s="1"/>
  <c r="I90" i="20" s="1"/>
  <c r="F7" i="20"/>
  <c r="H7" i="20" s="1"/>
  <c r="I7" i="20" s="1"/>
  <c r="F105" i="20"/>
  <c r="H105" i="20" s="1"/>
  <c r="I105" i="20" s="1"/>
  <c r="F37" i="20"/>
  <c r="H37" i="20" s="1"/>
  <c r="I37" i="20" s="1"/>
  <c r="F13" i="20"/>
  <c r="H13" i="20" s="1"/>
  <c r="I13" i="20" s="1"/>
  <c r="F61" i="20"/>
  <c r="H61" i="20" s="1"/>
  <c r="I61" i="20" s="1"/>
  <c r="F34" i="20"/>
  <c r="H34" i="20" s="1"/>
  <c r="I34" i="20" s="1"/>
  <c r="F79" i="20"/>
  <c r="H79" i="20" s="1"/>
  <c r="I79" i="20" s="1"/>
  <c r="F49" i="20"/>
  <c r="H49" i="20" s="1"/>
  <c r="I49" i="20" s="1"/>
  <c r="F89" i="20"/>
  <c r="H89" i="20" s="1"/>
  <c r="I89" i="20" s="1"/>
  <c r="F88" i="20"/>
  <c r="H88" i="20" s="1"/>
  <c r="I88" i="20" s="1"/>
  <c r="F74" i="20"/>
  <c r="H74" i="20" s="1"/>
  <c r="I74" i="20" s="1"/>
  <c r="F18" i="20"/>
  <c r="H18" i="20" s="1"/>
  <c r="I18" i="20" s="1"/>
  <c r="F73" i="20"/>
  <c r="H73" i="20" s="1"/>
  <c r="I73" i="20" s="1"/>
  <c r="F38" i="20"/>
  <c r="H38" i="20" s="1"/>
  <c r="I38" i="20" s="1"/>
  <c r="F60" i="20"/>
  <c r="H60" i="20" s="1"/>
  <c r="I60" i="20" s="1"/>
  <c r="F12" i="20"/>
  <c r="H12" i="20" s="1"/>
  <c r="I12" i="20" s="1"/>
  <c r="F55" i="20"/>
  <c r="H55" i="20" s="1"/>
  <c r="I55" i="20" s="1"/>
  <c r="F19" i="20"/>
  <c r="H19" i="20" s="1"/>
  <c r="I19" i="20" s="1"/>
  <c r="F92" i="20"/>
  <c r="H92" i="20" s="1"/>
  <c r="I92" i="20" s="1"/>
  <c r="F77" i="20"/>
  <c r="H77" i="20" s="1"/>
  <c r="I77" i="20" s="1"/>
  <c r="F101" i="20"/>
  <c r="H101" i="20" s="1"/>
  <c r="I101" i="20" s="1"/>
  <c r="F22" i="20"/>
  <c r="H22" i="20" s="1"/>
  <c r="I22" i="20" s="1"/>
  <c r="F16" i="20"/>
  <c r="H16" i="20" s="1"/>
  <c r="I16" i="20" s="1"/>
  <c r="F99" i="20"/>
  <c r="H99" i="20" s="1"/>
  <c r="I99" i="20" s="1"/>
  <c r="F72" i="20"/>
  <c r="H72" i="20" s="1"/>
  <c r="I72" i="20" s="1"/>
  <c r="F65" i="20"/>
  <c r="H65" i="20" s="1"/>
  <c r="I65" i="20" s="1"/>
  <c r="F26" i="20"/>
  <c r="H26" i="20" s="1"/>
  <c r="I26" i="20" s="1"/>
  <c r="F62" i="20"/>
  <c r="H62" i="20" s="1"/>
  <c r="I62" i="20" s="1"/>
  <c r="F68" i="20"/>
  <c r="H68" i="20" s="1"/>
  <c r="I68" i="20" s="1"/>
  <c r="F5" i="20"/>
  <c r="H5" i="20" s="1"/>
  <c r="I5" i="20" s="1"/>
  <c r="F100" i="20"/>
  <c r="H100" i="20" s="1"/>
  <c r="I100" i="20" s="1"/>
  <c r="F54" i="20"/>
  <c r="H54" i="20" s="1"/>
  <c r="I54" i="20" s="1"/>
  <c r="F46" i="20"/>
  <c r="H46" i="20" s="1"/>
  <c r="I46" i="20" s="1"/>
  <c r="F45" i="20"/>
  <c r="H45" i="20" s="1"/>
  <c r="I45" i="20" s="1"/>
  <c r="F42" i="20"/>
  <c r="H42" i="20" s="1"/>
  <c r="I42" i="20" s="1"/>
  <c r="F96" i="20"/>
  <c r="H96" i="20" s="1"/>
  <c r="I96" i="20" s="1"/>
  <c r="F84" i="20"/>
  <c r="H84" i="20" s="1"/>
  <c r="I84" i="20" s="1"/>
  <c r="F23" i="20"/>
  <c r="H23" i="20" s="1"/>
  <c r="I23" i="20" s="1"/>
  <c r="F59" i="20"/>
  <c r="H59" i="20" s="1"/>
  <c r="I59" i="20" s="1"/>
  <c r="F39" i="20"/>
  <c r="H39" i="20" s="1"/>
  <c r="I39" i="20" s="1"/>
  <c r="F35" i="20"/>
  <c r="H35" i="20" s="1"/>
  <c r="I35" i="20" s="1"/>
  <c r="F47" i="20"/>
  <c r="H47" i="20" s="1"/>
  <c r="I47" i="20" s="1"/>
  <c r="F63" i="20"/>
  <c r="H63" i="20" s="1"/>
  <c r="I63" i="20" s="1"/>
  <c r="F48" i="20"/>
  <c r="H48" i="20" s="1"/>
  <c r="I48" i="20" s="1"/>
  <c r="J23" i="20" l="1"/>
  <c r="L23" i="20" s="1"/>
  <c r="J34" i="20"/>
  <c r="L34" i="20" s="1"/>
  <c r="J39" i="20"/>
  <c r="L39" i="20" s="1"/>
  <c r="J54" i="20"/>
  <c r="L54" i="20" s="1"/>
  <c r="J12" i="20"/>
  <c r="L12" i="20" s="1"/>
  <c r="J49" i="20"/>
  <c r="L49" i="20" s="1"/>
  <c r="J90" i="20"/>
  <c r="L90" i="20" s="1"/>
  <c r="J27" i="20"/>
  <c r="L27" i="20" s="1"/>
  <c r="J94" i="20"/>
  <c r="L94" i="20" s="1"/>
  <c r="J20" i="20"/>
  <c r="L20" i="20" s="1"/>
  <c r="J51" i="20"/>
  <c r="L51" i="20" s="1"/>
  <c r="J43" i="20"/>
  <c r="L43" i="20" s="1"/>
  <c r="J69" i="20"/>
  <c r="L69" i="20" s="1"/>
  <c r="J41" i="20"/>
  <c r="L41" i="20" s="1"/>
  <c r="J48" i="20"/>
  <c r="L48" i="20" s="1"/>
  <c r="J96" i="20"/>
  <c r="L96" i="20" s="1"/>
  <c r="J62" i="20"/>
  <c r="L62" i="20" s="1"/>
  <c r="J99" i="20"/>
  <c r="L99" i="20" s="1"/>
  <c r="J77" i="20"/>
  <c r="L77" i="20" s="1"/>
  <c r="J18" i="20"/>
  <c r="L18" i="20" s="1"/>
  <c r="J13" i="20"/>
  <c r="L13" i="20" s="1"/>
  <c r="J71" i="20"/>
  <c r="L71" i="20" s="1"/>
  <c r="J29" i="20"/>
  <c r="L29" i="20" s="1"/>
  <c r="J80" i="20"/>
  <c r="L80" i="20" s="1"/>
  <c r="J56" i="20"/>
  <c r="L56" i="20" s="1"/>
  <c r="J85" i="20"/>
  <c r="L85" i="20" s="1"/>
  <c r="J82" i="20"/>
  <c r="L82" i="20" s="1"/>
  <c r="J21" i="20"/>
  <c r="L21" i="20" s="1"/>
  <c r="J103" i="20"/>
  <c r="L103" i="20" s="1"/>
  <c r="J11" i="20"/>
  <c r="L11" i="20" s="1"/>
  <c r="J35" i="20"/>
  <c r="L35" i="20" s="1"/>
  <c r="J84" i="20"/>
  <c r="L84" i="20" s="1"/>
  <c r="J46" i="20"/>
  <c r="L46" i="20" s="1"/>
  <c r="J68" i="20"/>
  <c r="L68" i="20" s="1"/>
  <c r="J72" i="20"/>
  <c r="L72" i="20" s="1"/>
  <c r="J101" i="20"/>
  <c r="L101" i="20" s="1"/>
  <c r="J55" i="20"/>
  <c r="L55" i="20" s="1"/>
  <c r="J73" i="20"/>
  <c r="L73" i="20" s="1"/>
  <c r="J89" i="20"/>
  <c r="L89" i="20" s="1"/>
  <c r="J61" i="20"/>
  <c r="L61" i="20" s="1"/>
  <c r="J7" i="20"/>
  <c r="L7" i="20" s="1"/>
  <c r="J25" i="20"/>
  <c r="L25" i="20" s="1"/>
  <c r="J95" i="20"/>
  <c r="L95" i="20" s="1"/>
  <c r="J33" i="20"/>
  <c r="L33" i="20" s="1"/>
  <c r="J75" i="20"/>
  <c r="L75" i="20" s="1"/>
  <c r="J58" i="20"/>
  <c r="L58" i="20" s="1"/>
  <c r="J67" i="20"/>
  <c r="L67" i="20" s="1"/>
  <c r="J64" i="20"/>
  <c r="L64" i="20" s="1"/>
  <c r="J98" i="20"/>
  <c r="L98" i="20" s="1"/>
  <c r="J97" i="20"/>
  <c r="L97" i="20" s="1"/>
  <c r="J57" i="20"/>
  <c r="L57" i="20" s="1"/>
  <c r="J10" i="20"/>
  <c r="L10" i="20" s="1"/>
  <c r="J53" i="20"/>
  <c r="L53" i="20" s="1"/>
  <c r="J15" i="20"/>
  <c r="L15" i="20" s="1"/>
  <c r="J14" i="20"/>
  <c r="L14" i="20" s="1"/>
  <c r="J17" i="20"/>
  <c r="L17" i="20" s="1"/>
  <c r="J4" i="20"/>
  <c r="L4" i="20" s="1"/>
  <c r="J47" i="20"/>
  <c r="L47" i="20" s="1"/>
  <c r="J45" i="20"/>
  <c r="L45" i="20" s="1"/>
  <c r="J5" i="20"/>
  <c r="L5" i="20" s="1"/>
  <c r="J65" i="20"/>
  <c r="L65" i="20" s="1"/>
  <c r="J22" i="20"/>
  <c r="L22" i="20" s="1"/>
  <c r="J19" i="20"/>
  <c r="L19" i="20" s="1"/>
  <c r="J38" i="20"/>
  <c r="L38" i="20" s="1"/>
  <c r="J88" i="20"/>
  <c r="L88" i="20" s="1"/>
  <c r="J105" i="20"/>
  <c r="L105" i="20" s="1"/>
  <c r="J3" i="20"/>
  <c r="L3" i="20" s="1"/>
  <c r="J32" i="20"/>
  <c r="L32" i="20" s="1"/>
  <c r="J93" i="20"/>
  <c r="L93" i="20" s="1"/>
  <c r="J91" i="20"/>
  <c r="L91" i="20" s="1"/>
  <c r="J28" i="20"/>
  <c r="L28" i="20" s="1"/>
  <c r="J6" i="20"/>
  <c r="L6" i="20" s="1"/>
  <c r="J87" i="20"/>
  <c r="L87" i="20" s="1"/>
  <c r="J44" i="20"/>
  <c r="L44" i="20" s="1"/>
  <c r="J31" i="20"/>
  <c r="L31" i="20" s="1"/>
  <c r="J70" i="20"/>
  <c r="L70" i="20" s="1"/>
  <c r="J86" i="20"/>
  <c r="L86" i="20" s="1"/>
  <c r="J102" i="20"/>
  <c r="L102" i="20" s="1"/>
  <c r="J81" i="20"/>
  <c r="L81" i="20" s="1"/>
  <c r="J42" i="20"/>
  <c r="L42" i="20" s="1"/>
  <c r="J100" i="20"/>
  <c r="L100" i="20" s="1"/>
  <c r="J92" i="20"/>
  <c r="L92" i="20" s="1"/>
  <c r="J60" i="20"/>
  <c r="L60" i="20" s="1"/>
  <c r="J37" i="20"/>
  <c r="L37" i="20" s="1"/>
  <c r="J36" i="20"/>
  <c r="L36" i="20" s="1"/>
  <c r="J8" i="20"/>
  <c r="L8" i="20" s="1"/>
  <c r="J50" i="20"/>
  <c r="L50" i="20" s="1"/>
  <c r="J9" i="20"/>
  <c r="L9" i="20" s="1"/>
  <c r="J66" i="20"/>
  <c r="L66" i="20" s="1"/>
  <c r="J52" i="20"/>
  <c r="L52" i="20" s="1"/>
  <c r="J78" i="20"/>
  <c r="L78" i="20" s="1"/>
  <c r="J2" i="20"/>
  <c r="P2" i="20" s="1"/>
  <c r="J104" i="20"/>
  <c r="L104" i="20" s="1"/>
  <c r="J83" i="20"/>
  <c r="L83" i="20" s="1"/>
  <c r="J24" i="20"/>
  <c r="L24" i="20" s="1"/>
  <c r="J76" i="20"/>
  <c r="L76" i="20" s="1"/>
  <c r="J40" i="20"/>
  <c r="L40" i="20" s="1"/>
  <c r="J63" i="20"/>
  <c r="L63" i="20" s="1"/>
  <c r="J59" i="20"/>
  <c r="L59" i="20" s="1"/>
  <c r="J26" i="20"/>
  <c r="L26" i="20" s="1"/>
  <c r="J16" i="20"/>
  <c r="L16" i="20" s="1"/>
  <c r="J74" i="20"/>
  <c r="L74" i="20" s="1"/>
  <c r="J79" i="20"/>
  <c r="L79" i="20" s="1"/>
  <c r="J30" i="20"/>
  <c r="L30" i="20" s="1"/>
  <c r="J106" i="20"/>
  <c r="N2" i="20" l="1"/>
  <c r="K27" i="20"/>
  <c r="L2" i="20"/>
  <c r="M2" i="20" s="1"/>
  <c r="K87" i="20"/>
  <c r="L106" i="20"/>
  <c r="O2" i="20" s="1"/>
  <c r="K89" i="20"/>
  <c r="K67" i="20"/>
  <c r="K15" i="20"/>
  <c r="K22" i="20"/>
  <c r="K30" i="20"/>
  <c r="K26" i="20"/>
  <c r="K51" i="20"/>
  <c r="K90" i="20"/>
  <c r="K14" i="20"/>
  <c r="K58" i="20"/>
  <c r="K73" i="20"/>
  <c r="K9" i="20"/>
  <c r="K44" i="20"/>
  <c r="K37" i="20"/>
  <c r="K100" i="20"/>
  <c r="K78" i="20"/>
  <c r="K104" i="20"/>
  <c r="K19" i="20"/>
  <c r="K23" i="20"/>
  <c r="K4" i="20"/>
  <c r="K82" i="20"/>
  <c r="K71" i="20"/>
  <c r="K62" i="20"/>
  <c r="K2" i="20"/>
  <c r="K105" i="20"/>
  <c r="K49" i="20"/>
  <c r="K10" i="20"/>
  <c r="K75" i="20"/>
  <c r="K101" i="20"/>
  <c r="K79" i="20"/>
  <c r="K59" i="20"/>
  <c r="K20" i="20"/>
  <c r="K12" i="20"/>
  <c r="K53" i="20"/>
  <c r="K33" i="20"/>
  <c r="K55" i="20"/>
  <c r="K81" i="20"/>
  <c r="K91" i="20"/>
  <c r="K8" i="20"/>
  <c r="K60" i="20"/>
  <c r="K24" i="20"/>
  <c r="K40" i="20"/>
  <c r="K65" i="20"/>
  <c r="K46" i="20"/>
  <c r="K11" i="20"/>
  <c r="K85" i="20"/>
  <c r="K13" i="20"/>
  <c r="K96" i="20"/>
  <c r="K34" i="20"/>
  <c r="K6" i="20"/>
  <c r="K38" i="20"/>
  <c r="K99" i="20"/>
  <c r="K97" i="20"/>
  <c r="K95" i="20"/>
  <c r="K68" i="20"/>
  <c r="K74" i="20"/>
  <c r="K63" i="20"/>
  <c r="K94" i="20"/>
  <c r="K54" i="20"/>
  <c r="K57" i="20"/>
  <c r="K25" i="20"/>
  <c r="K72" i="20"/>
  <c r="K86" i="20"/>
  <c r="K93" i="20"/>
  <c r="K52" i="20"/>
  <c r="K36" i="20"/>
  <c r="K42" i="20"/>
  <c r="K3" i="20"/>
  <c r="K5" i="20"/>
  <c r="K84" i="20"/>
  <c r="K103" i="20"/>
  <c r="K56" i="20"/>
  <c r="K18" i="20"/>
  <c r="K48" i="20"/>
  <c r="K102" i="20"/>
  <c r="K28" i="20"/>
  <c r="K43" i="20"/>
  <c r="K17" i="20"/>
  <c r="K98" i="20"/>
  <c r="K7" i="20"/>
  <c r="K106" i="20"/>
  <c r="K16" i="20"/>
  <c r="K69" i="20"/>
  <c r="K29" i="20"/>
  <c r="K39" i="20"/>
  <c r="K64" i="20"/>
  <c r="K61" i="20"/>
  <c r="K76" i="20"/>
  <c r="K70" i="20"/>
  <c r="K92" i="20"/>
  <c r="K83" i="20"/>
  <c r="K50" i="20"/>
  <c r="K66" i="20"/>
  <c r="K88" i="20"/>
  <c r="K47" i="20"/>
  <c r="K35" i="20"/>
  <c r="K21" i="20"/>
  <c r="K80" i="20"/>
  <c r="K77" i="20"/>
  <c r="K41" i="20"/>
  <c r="K31" i="20"/>
  <c r="K32" i="20"/>
  <c r="K45" i="20"/>
  <c r="I1367" i="1" l="1"/>
  <c r="C27" i="3" l="1"/>
  <c r="B10" i="3"/>
  <c r="B12" i="3" s="1"/>
  <c r="B9" i="3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F155" i="17"/>
  <c r="C155" i="17"/>
  <c r="B46" i="3" s="1"/>
  <c r="F64" i="17"/>
  <c r="B43" i="3" s="1"/>
  <c r="C64" i="17"/>
  <c r="G2" i="17"/>
  <c r="C2" i="17"/>
  <c r="B52" i="3" s="1"/>
  <c r="B2" i="16"/>
  <c r="D65" i="5"/>
  <c r="D49" i="5"/>
  <c r="D36" i="5"/>
  <c r="D44" i="5"/>
  <c r="D62" i="5"/>
  <c r="D24" i="5"/>
  <c r="D92" i="5"/>
  <c r="D107" i="5"/>
  <c r="D43" i="5"/>
  <c r="D48" i="5"/>
  <c r="D47" i="5"/>
  <c r="D54" i="5"/>
  <c r="D106" i="5"/>
  <c r="D5" i="5"/>
  <c r="D72" i="5"/>
  <c r="D61" i="5"/>
  <c r="D27" i="5"/>
  <c r="D64" i="5"/>
  <c r="D71" i="5"/>
  <c r="D105" i="5"/>
  <c r="D15" i="5"/>
  <c r="D81" i="5"/>
  <c r="D22" i="5"/>
  <c r="D104" i="5"/>
  <c r="D80" i="5"/>
  <c r="D103" i="5"/>
  <c r="D18" i="5"/>
  <c r="D57" i="5"/>
  <c r="D11" i="5"/>
  <c r="D60" i="5"/>
  <c r="D38" i="5"/>
  <c r="D74" i="5"/>
  <c r="D17" i="5"/>
  <c r="D73" i="5"/>
  <c r="D91" i="5"/>
  <c r="D90" i="5"/>
  <c r="D46" i="5"/>
  <c r="D79" i="5"/>
  <c r="D34" i="5"/>
  <c r="D59" i="5"/>
  <c r="D14" i="5"/>
  <c r="D37" i="5"/>
  <c r="D102" i="5"/>
  <c r="D8" i="5"/>
  <c r="D89" i="5"/>
  <c r="D35" i="5"/>
  <c r="D4" i="5"/>
  <c r="D25" i="5"/>
  <c r="D70" i="5"/>
  <c r="D31" i="5"/>
  <c r="D32" i="5"/>
  <c r="D101" i="5"/>
  <c r="D30" i="5"/>
  <c r="D100" i="5"/>
  <c r="D99" i="5"/>
  <c r="D33" i="5"/>
  <c r="D78" i="5"/>
  <c r="D7" i="5"/>
  <c r="D88" i="5"/>
  <c r="D77" i="5"/>
  <c r="D26" i="5"/>
  <c r="D53" i="5"/>
  <c r="D29" i="5"/>
  <c r="D58" i="5"/>
  <c r="D56" i="5"/>
  <c r="D9" i="5"/>
  <c r="D6" i="5"/>
  <c r="D69" i="5"/>
  <c r="D98" i="5"/>
  <c r="D68" i="5"/>
  <c r="D42" i="5"/>
  <c r="D63" i="5"/>
  <c r="D87" i="5"/>
  <c r="D52" i="5"/>
  <c r="D86" i="5"/>
  <c r="D97" i="5"/>
  <c r="D21" i="5"/>
  <c r="D76" i="5"/>
  <c r="D41" i="5"/>
  <c r="D96" i="5"/>
  <c r="D84" i="5"/>
  <c r="D2" i="5"/>
  <c r="D28" i="5"/>
  <c r="D55" i="5"/>
  <c r="D51" i="5"/>
  <c r="D95" i="5"/>
  <c r="D67" i="5"/>
  <c r="D10" i="5"/>
  <c r="D20" i="5"/>
  <c r="D83" i="5"/>
  <c r="D85" i="5"/>
  <c r="D50" i="5"/>
  <c r="D40" i="5"/>
  <c r="D23" i="5"/>
  <c r="D94" i="5"/>
  <c r="D13" i="5"/>
  <c r="D93" i="5"/>
  <c r="D75" i="5"/>
  <c r="D82" i="5"/>
  <c r="D12" i="5"/>
  <c r="D66" i="5"/>
  <c r="D39" i="5"/>
  <c r="D3" i="5"/>
  <c r="D16" i="5"/>
  <c r="D19" i="5"/>
  <c r="D45" i="5"/>
  <c r="F45" i="5" s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B24" i="3"/>
  <c r="B18" i="3" l="1"/>
  <c r="F39" i="5"/>
  <c r="F75" i="5"/>
  <c r="F23" i="5"/>
  <c r="F83" i="5"/>
  <c r="F95" i="5"/>
  <c r="F2" i="5"/>
  <c r="F76" i="5"/>
  <c r="F52" i="5"/>
  <c r="F68" i="5"/>
  <c r="F9" i="5"/>
  <c r="F53" i="5"/>
  <c r="F7" i="5"/>
  <c r="F100" i="5"/>
  <c r="F31" i="5"/>
  <c r="F35" i="5"/>
  <c r="F37" i="5"/>
  <c r="F79" i="5"/>
  <c r="F73" i="5"/>
  <c r="F60" i="5"/>
  <c r="F103" i="5"/>
  <c r="F81" i="5"/>
  <c r="F64" i="5"/>
  <c r="F5" i="5"/>
  <c r="F48" i="5"/>
  <c r="F24" i="5"/>
  <c r="F49" i="5"/>
  <c r="F19" i="5"/>
  <c r="F66" i="5"/>
  <c r="F93" i="5"/>
  <c r="F40" i="5"/>
  <c r="F20" i="5"/>
  <c r="F51" i="5"/>
  <c r="F84" i="5"/>
  <c r="F21" i="5"/>
  <c r="F87" i="5"/>
  <c r="F98" i="5"/>
  <c r="F56" i="5"/>
  <c r="F26" i="5"/>
  <c r="F78" i="5"/>
  <c r="F30" i="5"/>
  <c r="F70" i="5"/>
  <c r="F89" i="5"/>
  <c r="F14" i="5"/>
  <c r="F46" i="5"/>
  <c r="F17" i="5"/>
  <c r="F11" i="5"/>
  <c r="F80" i="5"/>
  <c r="F15" i="5"/>
  <c r="F27" i="5"/>
  <c r="F106" i="5"/>
  <c r="F43" i="5"/>
  <c r="F62" i="5"/>
  <c r="F65" i="5"/>
  <c r="F16" i="5"/>
  <c r="F12" i="5"/>
  <c r="F13" i="5"/>
  <c r="F50" i="5"/>
  <c r="F10" i="5"/>
  <c r="F55" i="5"/>
  <c r="F96" i="5"/>
  <c r="F97" i="5"/>
  <c r="F63" i="5"/>
  <c r="F69" i="5"/>
  <c r="F58" i="5"/>
  <c r="F77" i="5"/>
  <c r="F33" i="5"/>
  <c r="F101" i="5"/>
  <c r="F25" i="5"/>
  <c r="F8" i="5"/>
  <c r="F59" i="5"/>
  <c r="F90" i="5"/>
  <c r="F74" i="5"/>
  <c r="F57" i="5"/>
  <c r="F104" i="5"/>
  <c r="F105" i="5"/>
  <c r="F61" i="5"/>
  <c r="F54" i="5"/>
  <c r="F107" i="5"/>
  <c r="F44" i="5"/>
  <c r="F3" i="5"/>
  <c r="F82" i="5"/>
  <c r="F94" i="5"/>
  <c r="F85" i="5"/>
  <c r="F67" i="5"/>
  <c r="F28" i="5"/>
  <c r="F41" i="5"/>
  <c r="F86" i="5"/>
  <c r="F42" i="5"/>
  <c r="F6" i="5"/>
  <c r="F29" i="5"/>
  <c r="F88" i="5"/>
  <c r="F99" i="5"/>
  <c r="F32" i="5"/>
  <c r="F4" i="5"/>
  <c r="F102" i="5"/>
  <c r="F34" i="5"/>
  <c r="F91" i="5"/>
  <c r="F38" i="5"/>
  <c r="F18" i="5"/>
  <c r="F22" i="5"/>
  <c r="F71" i="5"/>
  <c r="F72" i="5"/>
  <c r="F47" i="5"/>
  <c r="F92" i="5"/>
  <c r="F36" i="5"/>
  <c r="B40" i="3"/>
  <c r="I2" i="9"/>
  <c r="B13" i="3"/>
</calcChain>
</file>

<file path=xl/sharedStrings.xml><?xml version="1.0" encoding="utf-8"?>
<sst xmlns="http://schemas.openxmlformats.org/spreadsheetml/2006/main" count="7394" uniqueCount="823">
  <si>
    <t>SNo</t>
  </si>
  <si>
    <t>Participant Name</t>
  </si>
  <si>
    <t>Attended Duration</t>
  </si>
  <si>
    <t>Meeting code</t>
  </si>
  <si>
    <t>DURATION</t>
  </si>
  <si>
    <t>AMARA BAJAHA</t>
  </si>
  <si>
    <t>15 min 11s</t>
  </si>
  <si>
    <t>qko-gvfr-grx</t>
  </si>
  <si>
    <t>Day_38</t>
  </si>
  <si>
    <t>ANGULA ROSAMUNDE</t>
  </si>
  <si>
    <t>2 hr 12 min 45s</t>
  </si>
  <si>
    <t>ANTHONY GODSON AIDOO</t>
  </si>
  <si>
    <t>2 hr 12 min 40s</t>
  </si>
  <si>
    <t>AZEDRIS JAMIL KASANGO</t>
  </si>
  <si>
    <t>28 min 3s</t>
  </si>
  <si>
    <t>CHERUU JUL</t>
  </si>
  <si>
    <t>GODFREY BIRUNGI</t>
  </si>
  <si>
    <t>2 hr 12 min 46s</t>
  </si>
  <si>
    <t>JOHN RWARU</t>
  </si>
  <si>
    <t>1 hr 44 min 43s</t>
  </si>
  <si>
    <t>KAMAU RUTH</t>
  </si>
  <si>
    <t>2 hr 12 min 39s</t>
  </si>
  <si>
    <t>MARTIN LEMI</t>
  </si>
  <si>
    <t>MOHAMED SALLY KAMARA</t>
  </si>
  <si>
    <t>1 hr 58 min 27s</t>
  </si>
  <si>
    <t>OCI GEOFFREY</t>
  </si>
  <si>
    <t>25 min 23s</t>
  </si>
  <si>
    <t>YANGA SAMSON</t>
  </si>
  <si>
    <t>27 min 51s</t>
  </si>
  <si>
    <t>ALEX MUHEREZA</t>
  </si>
  <si>
    <t>2 hr 14 min 23s</t>
  </si>
  <si>
    <t>bvm-hrrr-qjc</t>
  </si>
  <si>
    <t>Day_37</t>
  </si>
  <si>
    <t>2 hr 23 min 26s</t>
  </si>
  <si>
    <t>9 min 0s</t>
  </si>
  <si>
    <t>BENJAMIN MALES LOKOYA</t>
  </si>
  <si>
    <t>EMMANUEL JOBS</t>
  </si>
  <si>
    <t>GEOFFREY OYET</t>
  </si>
  <si>
    <t>2 hr 23 min 35s</t>
  </si>
  <si>
    <t>GODFREY'S NOTETAKER</t>
  </si>
  <si>
    <t>2 hr 23 min 24s</t>
  </si>
  <si>
    <t>JOSEPH MBOGO</t>
  </si>
  <si>
    <t>2 hr 23 min 28s</t>
  </si>
  <si>
    <t>KIIR ABIEM</t>
  </si>
  <si>
    <t>LINUS SANKEI</t>
  </si>
  <si>
    <t>2 hr 23 min 33s</t>
  </si>
  <si>
    <t>MILDRED DRUSILA</t>
  </si>
  <si>
    <t>9 min 12s</t>
  </si>
  <si>
    <t>2 hr 22 min 48s</t>
  </si>
  <si>
    <t>MOZE KEYZ</t>
  </si>
  <si>
    <t>OMELLA OWEN</t>
  </si>
  <si>
    <t>PRINCESS MAJOLA</t>
  </si>
  <si>
    <t>2 hr 16 min 22s</t>
  </si>
  <si>
    <t>RTN JOSES KAYUNGA</t>
  </si>
  <si>
    <t>SARAH NAKAMATTE</t>
  </si>
  <si>
    <t>YUSUPHA SEESAY</t>
  </si>
  <si>
    <t>1 hr 23 min 20s</t>
  </si>
  <si>
    <t>ijr-ghhn-krq</t>
  </si>
  <si>
    <t>Day_36</t>
  </si>
  <si>
    <t>CHRISTOPHER MODI</t>
  </si>
  <si>
    <t>KAKOOZA GODFREY</t>
  </si>
  <si>
    <t>MARY NAMUKOKO</t>
  </si>
  <si>
    <t>ONESMUS KORIR</t>
  </si>
  <si>
    <t>1 hr 15 min 37s</t>
  </si>
  <si>
    <t>mig-ququ-qez</t>
  </si>
  <si>
    <t>Day_35</t>
  </si>
  <si>
    <t>1 hr 17 min 46s</t>
  </si>
  <si>
    <t>1 hr 17 min 45s</t>
  </si>
  <si>
    <t>1 hr 17 min 29s</t>
  </si>
  <si>
    <t>57 min 47s</t>
  </si>
  <si>
    <t>CHRISTINA MOTHOBI</t>
  </si>
  <si>
    <t>1 hr 0 min 18s</t>
  </si>
  <si>
    <t>1 hr 44 min 5s</t>
  </si>
  <si>
    <t>2 hr 18 min 4s</t>
  </si>
  <si>
    <t>1 hr 13 min 32s</t>
  </si>
  <si>
    <t>1 hr 30 min 16s</t>
  </si>
  <si>
    <t>1 hr 17 min 6s</t>
  </si>
  <si>
    <t>1 hr 17 min 44s</t>
  </si>
  <si>
    <t>MR ADRAWA CHARLES YOUNG</t>
  </si>
  <si>
    <t>2 hr 17 min 53s</t>
  </si>
  <si>
    <t>22 min 56s</t>
  </si>
  <si>
    <t>1 hr 39 min 1s</t>
  </si>
  <si>
    <t>PRINCESS.MAJOLA</t>
  </si>
  <si>
    <t>RACHEAL KYALIMPA</t>
  </si>
  <si>
    <t>31 min 8s</t>
  </si>
  <si>
    <t>ROBERT MAKUBUYA</t>
  </si>
  <si>
    <t>53 min 27s</t>
  </si>
  <si>
    <t>2 hr 9 min 40s</t>
  </si>
  <si>
    <t>1 hr 53 min 4s</t>
  </si>
  <si>
    <t>TORY MOLS</t>
  </si>
  <si>
    <t>18 min 33s</t>
  </si>
  <si>
    <t>2 hr 3 min 31s</t>
  </si>
  <si>
    <t>ezh-nfwk-fuu</t>
  </si>
  <si>
    <t>Day_34</t>
  </si>
  <si>
    <t>0 min 2s</t>
  </si>
  <si>
    <t>2 hr 3 min 43s</t>
  </si>
  <si>
    <t>0 min 12s</t>
  </si>
  <si>
    <t>CPAJULIUS CHERUIYOT</t>
  </si>
  <si>
    <t>2 hr 3 min 40s</t>
  </si>
  <si>
    <t>LOKOSE ABEL</t>
  </si>
  <si>
    <t>MOHAMED KABIA</t>
  </si>
  <si>
    <t>RODNEY MUKUNZI</t>
  </si>
  <si>
    <t>0 min 22s</t>
  </si>
  <si>
    <t>1 hr 32 min 1s</t>
  </si>
  <si>
    <t>syj-qorq-zij</t>
  </si>
  <si>
    <t>Day_31</t>
  </si>
  <si>
    <t>1 hr 34 min 10s</t>
  </si>
  <si>
    <t>1 hr 25 min 19s</t>
  </si>
  <si>
    <t>1 hr 24 min 54s</t>
  </si>
  <si>
    <t>22 min 12s</t>
  </si>
  <si>
    <t>1 hr 22 min 39s</t>
  </si>
  <si>
    <t>20 min 44s</t>
  </si>
  <si>
    <t>DIMA JAMES</t>
  </si>
  <si>
    <t>1 hr 18 min 20s</t>
  </si>
  <si>
    <t>JACQUELINE NAMYALO</t>
  </si>
  <si>
    <t>1 hr 11 min 50s</t>
  </si>
  <si>
    <t>1 hr 32 min 57s</t>
  </si>
  <si>
    <t>1 hr 24 min 30s</t>
  </si>
  <si>
    <t>JOSHUA MHAKURE</t>
  </si>
  <si>
    <t>1 hr 14 min 19s</t>
  </si>
  <si>
    <t>1 hr 24 min 18s</t>
  </si>
  <si>
    <t>1 hr 32 min 50s</t>
  </si>
  <si>
    <t>KORIR</t>
  </si>
  <si>
    <t>1 hr 32 min 36s</t>
  </si>
  <si>
    <t>1 hr 32 min 53s</t>
  </si>
  <si>
    <t>1 hr 3 min 47s</t>
  </si>
  <si>
    <t>1 hr 30 min 49s</t>
  </si>
  <si>
    <t>1 hr 25 min 58s</t>
  </si>
  <si>
    <t>23 min 48s</t>
  </si>
  <si>
    <t>NUHUH MUTEBI</t>
  </si>
  <si>
    <t>1 hr 23 min 52s</t>
  </si>
  <si>
    <t>1 hr 24 min 44s</t>
  </si>
  <si>
    <t>1 hr 32 min 19s</t>
  </si>
  <si>
    <t>36 min 33s</t>
  </si>
  <si>
    <t>RODGERS AHEBWA</t>
  </si>
  <si>
    <t>35 min 55s</t>
  </si>
  <si>
    <t>1 hr 25 min 16s</t>
  </si>
  <si>
    <t>1 hr 26 min 2s</t>
  </si>
  <si>
    <t>TURINAWE PATIENCE</t>
  </si>
  <si>
    <t>44 min 4s</t>
  </si>
  <si>
    <t>1 hr 24 min 34s</t>
  </si>
  <si>
    <t>24 min 39s</t>
  </si>
  <si>
    <t>nmp-jvoq-txs</t>
  </si>
  <si>
    <t>Day_30</t>
  </si>
  <si>
    <t>53 min 14s</t>
  </si>
  <si>
    <t>27 min 26s</t>
  </si>
  <si>
    <t>1 hr 57 min 25s</t>
  </si>
  <si>
    <t>1 hr 17 min 7s</t>
  </si>
  <si>
    <t>33 min 5s</t>
  </si>
  <si>
    <t>1 hr 58 min 40s</t>
  </si>
  <si>
    <t>1 hr 35 min 46s</t>
  </si>
  <si>
    <t>1 hr 58 min 41s</t>
  </si>
  <si>
    <t>1 hr 46 min 15s</t>
  </si>
  <si>
    <t>39 min 18s</t>
  </si>
  <si>
    <t>1 hr 16 min 52s</t>
  </si>
  <si>
    <t>1 hr 58 min 0s</t>
  </si>
  <si>
    <t>MAGHOGHO BOB</t>
  </si>
  <si>
    <t>36 min 30s</t>
  </si>
  <si>
    <t>1 hr 57 min 47s</t>
  </si>
  <si>
    <t>0 min 41s</t>
  </si>
  <si>
    <t>9 min 38s</t>
  </si>
  <si>
    <t>1 hr 57 min 33s</t>
  </si>
  <si>
    <t>1 hr 57 min 35s</t>
  </si>
  <si>
    <t>1 hr 40 min 2s</t>
  </si>
  <si>
    <t>1 hr 12 min 34s</t>
  </si>
  <si>
    <t>1 hr 25 min 5s</t>
  </si>
  <si>
    <t>1 hr 54 min 16s</t>
  </si>
  <si>
    <t>1 hr 57 min 26s</t>
  </si>
  <si>
    <t>1 hr 4 min 15s</t>
  </si>
  <si>
    <t>57 min 28s</t>
  </si>
  <si>
    <t>53 min 37s</t>
  </si>
  <si>
    <t>1 hr 57 min 10s</t>
  </si>
  <si>
    <t>44 min 41s</t>
  </si>
  <si>
    <t>7 min 27s</t>
  </si>
  <si>
    <t>0 hr 16 min 31s</t>
  </si>
  <si>
    <t>hke-ohwj-cwy</t>
  </si>
  <si>
    <t>Day_29</t>
  </si>
  <si>
    <t>1 hr 16 min 31s</t>
  </si>
  <si>
    <t>2 hr 3 min 3s</t>
  </si>
  <si>
    <t>48 min 19s</t>
  </si>
  <si>
    <t>1 hr 14 min 50s</t>
  </si>
  <si>
    <t>EL MAJID SWALEH</t>
  </si>
  <si>
    <t>36 min 28s</t>
  </si>
  <si>
    <t>2 hr 3 min 50s</t>
  </si>
  <si>
    <t>HAROLD SUCCESS GOLAFALE</t>
  </si>
  <si>
    <t>1 hr 17 min 21s</t>
  </si>
  <si>
    <t>HENRY CHELELE</t>
  </si>
  <si>
    <t>1 hr 56 min 35s</t>
  </si>
  <si>
    <t>2 hr 3 min 6s</t>
  </si>
  <si>
    <t>2 hr 2 min 58s</t>
  </si>
  <si>
    <t>2 hr 3 min 19s</t>
  </si>
  <si>
    <t>2 hr 3 min 7s</t>
  </si>
  <si>
    <t>2 hr 3 min 1s</t>
  </si>
  <si>
    <t>OKABO GEOFFREY</t>
  </si>
  <si>
    <t>2 hr 1 min 48s</t>
  </si>
  <si>
    <t>2 hr 2 min 59s</t>
  </si>
  <si>
    <t>1 hr 47 min 55s</t>
  </si>
  <si>
    <t>gma-zhih-uwt</t>
  </si>
  <si>
    <t>Day_28</t>
  </si>
  <si>
    <t>1 hr 47 min 53s</t>
  </si>
  <si>
    <t>OCHOKI OMBASO</t>
  </si>
  <si>
    <t>0 min 15s</t>
  </si>
  <si>
    <t>dei-dnjy-xwn</t>
  </si>
  <si>
    <t>Day_27</t>
  </si>
  <si>
    <t>1 hr 58 min 52s</t>
  </si>
  <si>
    <t>0 min 24s</t>
  </si>
  <si>
    <t>1 hr 58 min 28s</t>
  </si>
  <si>
    <t>1 hr 58 min 47s</t>
  </si>
  <si>
    <t>FIDELIS SKIPPER AMWEENYE EMOSHO (SKIPPER)</t>
  </si>
  <si>
    <t>1 hr 50 min 15s</t>
  </si>
  <si>
    <t>0 min 8s</t>
  </si>
  <si>
    <t>1 hr 50 min 39s</t>
  </si>
  <si>
    <t>1 hr 50 min 16s</t>
  </si>
  <si>
    <t>OMBASO JARED</t>
  </si>
  <si>
    <t>11 min 43s</t>
  </si>
  <si>
    <t>utm-dhtc-qab</t>
  </si>
  <si>
    <t>Day_26</t>
  </si>
  <si>
    <t>11 min 58s</t>
  </si>
  <si>
    <t>2 hr 19 min 2s</t>
  </si>
  <si>
    <t>2 hr 6 min 50s</t>
  </si>
  <si>
    <t>2 hr 18 min 47s</t>
  </si>
  <si>
    <t>2 hr 7 min 4s</t>
  </si>
  <si>
    <t>FREDY BAHILI</t>
  </si>
  <si>
    <t>KIP ROBERTOH</t>
  </si>
  <si>
    <t>1 hr 40 min 29s</t>
  </si>
  <si>
    <t>xcg-iedr-bvk</t>
  </si>
  <si>
    <t>Day_25</t>
  </si>
  <si>
    <t>1 hr 39 min 24s</t>
  </si>
  <si>
    <t>1 hr 18 min 55s</t>
  </si>
  <si>
    <t>1 hr 10 min 2s</t>
  </si>
  <si>
    <t>1 hr 43 min 21s</t>
  </si>
  <si>
    <t>23 min 50s</t>
  </si>
  <si>
    <t>1 hr 40 min 12s</t>
  </si>
  <si>
    <t>1 hr 21 min 41s</t>
  </si>
  <si>
    <t>1 hr 39 min 39s</t>
  </si>
  <si>
    <t>13 min 12s</t>
  </si>
  <si>
    <t>KAMARA</t>
  </si>
  <si>
    <t>23 min 41s</t>
  </si>
  <si>
    <t>MARGARET NASSOLO</t>
  </si>
  <si>
    <t>1 hr 40 min 23s</t>
  </si>
  <si>
    <t>1 hr 40 min 53s</t>
  </si>
  <si>
    <t>29 min 57s</t>
  </si>
  <si>
    <t>1 hr 23 min 42s</t>
  </si>
  <si>
    <t>NDAGIRE AGNES</t>
  </si>
  <si>
    <t>4 min 33s</t>
  </si>
  <si>
    <t>1 hr 37 min 51s</t>
  </si>
  <si>
    <t>1 hr 25 min 10s</t>
  </si>
  <si>
    <t>1 hr 23 min 10s</t>
  </si>
  <si>
    <t>1 hr 23 min 41s</t>
  </si>
  <si>
    <t>1 hr 37 min 40s</t>
  </si>
  <si>
    <t>1 hr 26 min 55s</t>
  </si>
  <si>
    <t>29 min 51s</t>
  </si>
  <si>
    <t>33 min 19s</t>
  </si>
  <si>
    <t>1 hr 43 min 17s</t>
  </si>
  <si>
    <t>biw-tumb-mxh</t>
  </si>
  <si>
    <t>Day_24</t>
  </si>
  <si>
    <t>1 hr 43 min 15s</t>
  </si>
  <si>
    <t>1 hr 43 min 10s</t>
  </si>
  <si>
    <t>6 min 5s</t>
  </si>
  <si>
    <t>1 hr 37 min 5s</t>
  </si>
  <si>
    <t>1 hr 37 min 26s</t>
  </si>
  <si>
    <t>ROBERT ESSUON</t>
  </si>
  <si>
    <t>SABO MIKE</t>
  </si>
  <si>
    <t>1 hr 22 min 51s</t>
  </si>
  <si>
    <t>gzo-xsdr-gbk</t>
  </si>
  <si>
    <t>Day_23</t>
  </si>
  <si>
    <t>1 hr 35 min 13s</t>
  </si>
  <si>
    <t>JOSEPH MUTIE</t>
  </si>
  <si>
    <t>NASSAMULA JOSEPHINE</t>
  </si>
  <si>
    <t>1 hr 47 min 59s</t>
  </si>
  <si>
    <t>nkc-hvzh-vkm</t>
  </si>
  <si>
    <t>Day_22</t>
  </si>
  <si>
    <t>2 hr 9 min 12s</t>
  </si>
  <si>
    <t>2 hr 11 min 19s</t>
  </si>
  <si>
    <t>2 hr 8 min 1s</t>
  </si>
  <si>
    <t>1 hr 17 min 28s</t>
  </si>
  <si>
    <t>1 hr 26 min 9s</t>
  </si>
  <si>
    <t>2 hr 11 min 33s</t>
  </si>
  <si>
    <t>2 hr 7 min 36s</t>
  </si>
  <si>
    <t>2 hr 7 min 50s</t>
  </si>
  <si>
    <t>2 hr 8 min 45s</t>
  </si>
  <si>
    <t>1 hr 58 min 25s</t>
  </si>
  <si>
    <t>54 min 5s</t>
  </si>
  <si>
    <t>2 hr 10 min 57s</t>
  </si>
  <si>
    <t>2 hr 7 min 11s</t>
  </si>
  <si>
    <t>3 min 52s</t>
  </si>
  <si>
    <t>2 hr 9 min 19s</t>
  </si>
  <si>
    <t>50 min 34s</t>
  </si>
  <si>
    <t>1 hr 45 min 48s</t>
  </si>
  <si>
    <t>2 hr 1 min 52s</t>
  </si>
  <si>
    <t>2 hr 10 min 45s</t>
  </si>
  <si>
    <t>1 hr 43 min 31s</t>
  </si>
  <si>
    <t>bcx-rdnv-qnb</t>
  </si>
  <si>
    <t>Day_21</t>
  </si>
  <si>
    <t>1 hr 49 min 24s</t>
  </si>
  <si>
    <t>1 hr 47 min 6s</t>
  </si>
  <si>
    <t>ARON NTULIZE</t>
  </si>
  <si>
    <t>1 hr 28 min 52s</t>
  </si>
  <si>
    <t>1 hr 46 min 16s</t>
  </si>
  <si>
    <t>1 hr 5 min 3s</t>
  </si>
  <si>
    <t>1 hr 27 min 40s</t>
  </si>
  <si>
    <t>23 min 49s</t>
  </si>
  <si>
    <t>1 hr 42 min 40s</t>
  </si>
  <si>
    <t>1 hr 10 min 4s</t>
  </si>
  <si>
    <t>1 hr 45 min 43s</t>
  </si>
  <si>
    <t>1 hr 32 min 40s</t>
  </si>
  <si>
    <t>1 hr 45 min 25s</t>
  </si>
  <si>
    <t>1 hr 4 min 31s</t>
  </si>
  <si>
    <t>1 hr 28 min 45s</t>
  </si>
  <si>
    <t>1 hr 8 min 25s</t>
  </si>
  <si>
    <t>1 hr 48 min 24s</t>
  </si>
  <si>
    <t>33 min 13s</t>
  </si>
  <si>
    <t>1 hr 48 min 37s</t>
  </si>
  <si>
    <t>44 min 18s</t>
  </si>
  <si>
    <t>30 min 35s</t>
  </si>
  <si>
    <t>PRINCESS</t>
  </si>
  <si>
    <t>44 min 14s</t>
  </si>
  <si>
    <t>1 hr 49 min 17s</t>
  </si>
  <si>
    <t>1 hr 36 min 30s</t>
  </si>
  <si>
    <t>1 hr 49 min 19s</t>
  </si>
  <si>
    <t>37 min 37s</t>
  </si>
  <si>
    <t>WANDA FORTUNATE</t>
  </si>
  <si>
    <t>1 hr 38 min 37s</t>
  </si>
  <si>
    <t>evq-epfh-ove</t>
  </si>
  <si>
    <t>Day_20</t>
  </si>
  <si>
    <t>6 min 43s</t>
  </si>
  <si>
    <t>1 hr 58 min 36s</t>
  </si>
  <si>
    <t>1 hr 1 min 7s</t>
  </si>
  <si>
    <t>26 min 14s</t>
  </si>
  <si>
    <t>1 hr 7 min 1s</t>
  </si>
  <si>
    <t>40 min 28s</t>
  </si>
  <si>
    <t>1 hr 58 min 14s</t>
  </si>
  <si>
    <t>18 min 13s</t>
  </si>
  <si>
    <t>1 hr 59 min 36s</t>
  </si>
  <si>
    <t>1 hr 14 min 20s</t>
  </si>
  <si>
    <t>JOHN NJOROGE</t>
  </si>
  <si>
    <t>1 hr 50 min 2s</t>
  </si>
  <si>
    <t>1 hr 11 min 31s</t>
  </si>
  <si>
    <t>34 min 57s</t>
  </si>
  <si>
    <t>46 min 32s</t>
  </si>
  <si>
    <t>1 hr 1 min 57s</t>
  </si>
  <si>
    <t>23 min 59s</t>
  </si>
  <si>
    <t>1 hr 58 min 15s</t>
  </si>
  <si>
    <t>1 hr 10 min 59s</t>
  </si>
  <si>
    <t>9 min 34s</t>
  </si>
  <si>
    <t>1 hr 59 min 15s</t>
  </si>
  <si>
    <t>22 min 17s</t>
  </si>
  <si>
    <t>1 hr 50 min 20s</t>
  </si>
  <si>
    <t>VITALIS KOECH</t>
  </si>
  <si>
    <t>1 min 51s</t>
  </si>
  <si>
    <t>54 min 6s</t>
  </si>
  <si>
    <t>2 hr 2 min 23s</t>
  </si>
  <si>
    <t>icw-azvu-nzm</t>
  </si>
  <si>
    <t>Day_19</t>
  </si>
  <si>
    <t>2 hr 2 min 0s</t>
  </si>
  <si>
    <t>2 hr 2 min 4s</t>
  </si>
  <si>
    <t>1 hr 3 min 54s</t>
  </si>
  <si>
    <t>1 hr 42 min 23s</t>
  </si>
  <si>
    <t>1 hr 31 min 16s</t>
  </si>
  <si>
    <t>EL-MAJID SWALEH</t>
  </si>
  <si>
    <t>27 min 22s</t>
  </si>
  <si>
    <t>1 hr 29 min 9s</t>
  </si>
  <si>
    <t>1 hr 29 min 11s</t>
  </si>
  <si>
    <t>57 min 12s</t>
  </si>
  <si>
    <t>2 hr 1 min 53s</t>
  </si>
  <si>
    <t>1 hr 34 min 38s</t>
  </si>
  <si>
    <t>1 hr 36 min 40s</t>
  </si>
  <si>
    <t>1 hr 53 min 11s</t>
  </si>
  <si>
    <t>58 min 9s</t>
  </si>
  <si>
    <t>1 hr 54 min 57s</t>
  </si>
  <si>
    <t>28 min 36s</t>
  </si>
  <si>
    <t>2 hr 1 min 55s</t>
  </si>
  <si>
    <t>58 min 29s</t>
  </si>
  <si>
    <t>1 hr 37 min 20s</t>
  </si>
  <si>
    <t>bvd-kjfs-mft</t>
  </si>
  <si>
    <t>Day_18</t>
  </si>
  <si>
    <t>1 hr 39 min 9s</t>
  </si>
  <si>
    <t>1 hr 37 min 19s</t>
  </si>
  <si>
    <t>1 hr 39 min 10s</t>
  </si>
  <si>
    <t>CHERUIYOT JULIUS</t>
  </si>
  <si>
    <t>DANIEL ERABU</t>
  </si>
  <si>
    <t>1 hr 37 min 33s</t>
  </si>
  <si>
    <t>1 hr 39 min 6s</t>
  </si>
  <si>
    <t>JULIUS K CHERUIYOT</t>
  </si>
  <si>
    <t>MAHAMADOU MAMANE</t>
  </si>
  <si>
    <t>1 hr 39 min 4s</t>
  </si>
  <si>
    <t>1 hr 37 min 34s</t>
  </si>
  <si>
    <t>1 hr 37 min 23s</t>
  </si>
  <si>
    <t>efd-qhwb-ejp</t>
  </si>
  <si>
    <t>Day_17</t>
  </si>
  <si>
    <t>1 hr 43 min 37s</t>
  </si>
  <si>
    <t>1 hr 43 min 38s</t>
  </si>
  <si>
    <t>0 min 20s</t>
  </si>
  <si>
    <t>1 hr 43 min 36s</t>
  </si>
  <si>
    <t>CHRISTOPHER MARK MODI</t>
  </si>
  <si>
    <t>1 hr 43 min 27s</t>
  </si>
  <si>
    <t>0 min 36s</t>
  </si>
  <si>
    <t>THIS IS LINUS SANKEI</t>
  </si>
  <si>
    <t>1 hr 43 min 32s</t>
  </si>
  <si>
    <t>1 hr 43 min 13s</t>
  </si>
  <si>
    <t>pou-vdvr-wih</t>
  </si>
  <si>
    <t>Day_16</t>
  </si>
  <si>
    <t>1 hr 54 min 2s</t>
  </si>
  <si>
    <t>1 hr 54 min 8s</t>
  </si>
  <si>
    <t>1 hr 54 min 6s</t>
  </si>
  <si>
    <t>0 min 9s</t>
  </si>
  <si>
    <t>1 hr 53 min 59s</t>
  </si>
  <si>
    <t>DEUS NABIBASA</t>
  </si>
  <si>
    <t>1 min 15s</t>
  </si>
  <si>
    <t>ISAAC OGWANG</t>
  </si>
  <si>
    <t>JAMES KAYONGO</t>
  </si>
  <si>
    <t>0 min 1s</t>
  </si>
  <si>
    <t>MERGED AUDIO</t>
  </si>
  <si>
    <t>1 min 9s</t>
  </si>
  <si>
    <t>2 hr 36 min 39s</t>
  </si>
  <si>
    <t>vum-zrrm-fqa</t>
  </si>
  <si>
    <t>Day_15</t>
  </si>
  <si>
    <t>2 hr 37 min 15s</t>
  </si>
  <si>
    <t>32 min 1s</t>
  </si>
  <si>
    <t>1 hr 56 min 29s</t>
  </si>
  <si>
    <t>2 hr 5 min 33s</t>
  </si>
  <si>
    <t>22 min 28s</t>
  </si>
  <si>
    <t>2 hr 37 min 12s</t>
  </si>
  <si>
    <t>1 hr 59 min 44s</t>
  </si>
  <si>
    <t>11 min 49s</t>
  </si>
  <si>
    <t>2 hr 24 min 29s</t>
  </si>
  <si>
    <t>2 hr 19 min 59s</t>
  </si>
  <si>
    <t>40 min 46s</t>
  </si>
  <si>
    <t>2 hr 12 min 43s</t>
  </si>
  <si>
    <t>2 hr 5 min 1s</t>
  </si>
  <si>
    <t>18 min 16s</t>
  </si>
  <si>
    <t>1 hr 56 min 45s</t>
  </si>
  <si>
    <t>2 hr 31 min 59s</t>
  </si>
  <si>
    <t>14 min 8s</t>
  </si>
  <si>
    <t>2 hr 9 min 54s</t>
  </si>
  <si>
    <t>2 hr 12 min 11s</t>
  </si>
  <si>
    <t>2 hr 30 min 40s</t>
  </si>
  <si>
    <t>24 min 7s</t>
  </si>
  <si>
    <t>2 hr 8 min 15s</t>
  </si>
  <si>
    <t>37 min 26s</t>
  </si>
  <si>
    <t>2 hr 17 min 41s</t>
  </si>
  <si>
    <t>8 min 58s</t>
  </si>
  <si>
    <t>13 min 30s</t>
  </si>
  <si>
    <t>cap-fywb-wck</t>
  </si>
  <si>
    <t>Day_14</t>
  </si>
  <si>
    <t>2 hr 14 min 33s</t>
  </si>
  <si>
    <t>1 hr 32 min 30s</t>
  </si>
  <si>
    <t>2 hr 14 min 17s</t>
  </si>
  <si>
    <t>1 hr 59 min 29s</t>
  </si>
  <si>
    <t>2 hr 5 min 16s</t>
  </si>
  <si>
    <t>42 min 29s</t>
  </si>
  <si>
    <t>2 hr 14 min 16s</t>
  </si>
  <si>
    <t>1 hr 33 min 45s</t>
  </si>
  <si>
    <t>1 hr 44 min 30s</t>
  </si>
  <si>
    <t>2 hr 14 min 59s</t>
  </si>
  <si>
    <t>1 hr 47 min 50s</t>
  </si>
  <si>
    <t>34 min 16s</t>
  </si>
  <si>
    <t>37 min 30s</t>
  </si>
  <si>
    <t>41 min 34s</t>
  </si>
  <si>
    <t>2 hr 10 min 59s</t>
  </si>
  <si>
    <t>3 min 2s</t>
  </si>
  <si>
    <t>2 hr 14 min 30s</t>
  </si>
  <si>
    <t>2 hr 14 min 20s</t>
  </si>
  <si>
    <t>42 min 2s</t>
  </si>
  <si>
    <t>1 hr 59 min 52s</t>
  </si>
  <si>
    <t>2 hr 10 min 10s</t>
  </si>
  <si>
    <t>2 hr 14 min 22s</t>
  </si>
  <si>
    <t>2 hr 14 min 3s</t>
  </si>
  <si>
    <t>2 hr 14 min 19s</t>
  </si>
  <si>
    <t>1 hr 31 min 58s</t>
  </si>
  <si>
    <t>SIMONPETER OUMA</t>
  </si>
  <si>
    <t>42 min 4s</t>
  </si>
  <si>
    <t>2 hr 11 min 57s</t>
  </si>
  <si>
    <t>1 hr 51 min 10s</t>
  </si>
  <si>
    <t>41 min 54s</t>
  </si>
  <si>
    <t>2 hr 18 min 24s</t>
  </si>
  <si>
    <t>qiv-znga-pbm</t>
  </si>
  <si>
    <t>Day_13</t>
  </si>
  <si>
    <t>2 hr 21 min 48s</t>
  </si>
  <si>
    <t>2 hr 18 min 43s</t>
  </si>
  <si>
    <t>2 hr 23 min 47s</t>
  </si>
  <si>
    <t>2 hr 19 min 11s</t>
  </si>
  <si>
    <t>5 min 47s</t>
  </si>
  <si>
    <t>OWEKA WELL-BORN</t>
  </si>
  <si>
    <t>3 min 18s</t>
  </si>
  <si>
    <t>2 hr 18 min 39s</t>
  </si>
  <si>
    <t>TINDERET SUGARBELT</t>
  </si>
  <si>
    <t>0 min 32s</t>
  </si>
  <si>
    <t>2 hr 18 min 7s</t>
  </si>
  <si>
    <t>59 min 23s</t>
  </si>
  <si>
    <t>pip-nwdr-msi</t>
  </si>
  <si>
    <t>Day_12</t>
  </si>
  <si>
    <t>2 hr 17 min 47s</t>
  </si>
  <si>
    <t>2 hr 32 min 12s</t>
  </si>
  <si>
    <t>2 hr 28 min 5s</t>
  </si>
  <si>
    <t>1 hr 43 min 49s</t>
  </si>
  <si>
    <t>2 hr 32 min 11s</t>
  </si>
  <si>
    <t>2 hr 30 min 37s</t>
  </si>
  <si>
    <t>1 hr 49 min 38s</t>
  </si>
  <si>
    <t>2 hr 32 min 37s</t>
  </si>
  <si>
    <t>1 hr 2 min 9s</t>
  </si>
  <si>
    <t>41 min 40s</t>
  </si>
  <si>
    <t>1 hr 30 min 28s</t>
  </si>
  <si>
    <t>ISINGOMA MAURICE</t>
  </si>
  <si>
    <t>1 hr 30 min 25s</t>
  </si>
  <si>
    <t>1 hr 53 min 58s</t>
  </si>
  <si>
    <t>JOSEPH SAMILA</t>
  </si>
  <si>
    <t>2 hr 23 min 16s</t>
  </si>
  <si>
    <t>2 hr 2 min 20s</t>
  </si>
  <si>
    <t>19 min 25s</t>
  </si>
  <si>
    <t>2 hr 10 min 33s</t>
  </si>
  <si>
    <t>MORIBA KOROMA</t>
  </si>
  <si>
    <t>2 hr 32 min 34s</t>
  </si>
  <si>
    <t>1 hr 8 min 24s</t>
  </si>
  <si>
    <t>2 hr 32 min 36s</t>
  </si>
  <si>
    <t>1 hr 55 min 31s</t>
  </si>
  <si>
    <t>PETET KOROMA</t>
  </si>
  <si>
    <t>2 hr 10 min 27s</t>
  </si>
  <si>
    <t>47 min 34s</t>
  </si>
  <si>
    <t>52 min 36s</t>
  </si>
  <si>
    <t>2 hr 7 min 7s</t>
  </si>
  <si>
    <t>2 hr 10 min 7s</t>
  </si>
  <si>
    <t>wkf-aivh-zve</t>
  </si>
  <si>
    <t>Day_11</t>
  </si>
  <si>
    <t>2 hr 10 min 20s</t>
  </si>
  <si>
    <t>2 hr 7 min 57s</t>
  </si>
  <si>
    <t>1 hr 52 min 37s</t>
  </si>
  <si>
    <t>1 hr 27 min 13s</t>
  </si>
  <si>
    <t>17 min 43s</t>
  </si>
  <si>
    <t>2 hr 10 min 13s</t>
  </si>
  <si>
    <t>ERIK</t>
  </si>
  <si>
    <t>1 hr 19 min 27s</t>
  </si>
  <si>
    <t>9 min 43s</t>
  </si>
  <si>
    <t>1 hr 44 min 18s</t>
  </si>
  <si>
    <t>HELLEN ARIMPA</t>
  </si>
  <si>
    <t>1 hr 18 min 43s</t>
  </si>
  <si>
    <t>1 hr 9 min 30s</t>
  </si>
  <si>
    <t>41 min 38s</t>
  </si>
  <si>
    <t>IZARUKU RONALD</t>
  </si>
  <si>
    <t>1 hr 46 min 46s</t>
  </si>
  <si>
    <t>KANANURA GASTON</t>
  </si>
  <si>
    <t>2 hr 10 min 15s</t>
  </si>
  <si>
    <t>1 hr 1 min 0s</t>
  </si>
  <si>
    <t>2 hr 9 min 50s</t>
  </si>
  <si>
    <t>1 hr 57 min 59s</t>
  </si>
  <si>
    <t>51 min 37s</t>
  </si>
  <si>
    <t>ODUTI SAVIOUR</t>
  </si>
  <si>
    <t>2 hr 4 min 0s</t>
  </si>
  <si>
    <t>2 hr 10 min 11s</t>
  </si>
  <si>
    <t>ROBERT MAKUBS</t>
  </si>
  <si>
    <t>1 hr 11 min 10s</t>
  </si>
  <si>
    <t>2 hr 10 min 9s</t>
  </si>
  <si>
    <t>1 hr 26 min 34s</t>
  </si>
  <si>
    <t>ztp-nrxc-seu</t>
  </si>
  <si>
    <t>Day_10</t>
  </si>
  <si>
    <t>1 hr 17 min 53s</t>
  </si>
  <si>
    <t>49 min 19s</t>
  </si>
  <si>
    <t>54 min 19s</t>
  </si>
  <si>
    <t>7 min 23s</t>
  </si>
  <si>
    <t>1 hr 21 min 42s</t>
  </si>
  <si>
    <t>1 hr 25 min 36s</t>
  </si>
  <si>
    <t>42 min 1s</t>
  </si>
  <si>
    <t>42 min 46s</t>
  </si>
  <si>
    <t>1 hr 1 min 42s</t>
  </si>
  <si>
    <t>1 hr 36 min 15s</t>
  </si>
  <si>
    <t>1 hr 37 min 50s</t>
  </si>
  <si>
    <t>1 hr 42 min 25s</t>
  </si>
  <si>
    <t>48 min 59s</t>
  </si>
  <si>
    <t>1 hr 9 min 53s</t>
  </si>
  <si>
    <t>1 hr 36 min 6s</t>
  </si>
  <si>
    <t>ONE MAN</t>
  </si>
  <si>
    <t>1 hr 42 min 59s</t>
  </si>
  <si>
    <t>1 hr 25 min 39s</t>
  </si>
  <si>
    <t>35 min 34s</t>
  </si>
  <si>
    <t>1 hr 33 min 32s</t>
  </si>
  <si>
    <t>TIMOTENGINEERING LIMITED</t>
  </si>
  <si>
    <t>5 min 55s</t>
  </si>
  <si>
    <t>10 min 50s</t>
  </si>
  <si>
    <t>1 hr 8 min 40s</t>
  </si>
  <si>
    <t>1 hr 38 min 4s</t>
  </si>
  <si>
    <t>1 hr 34 min 3s</t>
  </si>
  <si>
    <t>rhi-fugx-kpy</t>
  </si>
  <si>
    <t>Day_9</t>
  </si>
  <si>
    <t>33 min 8s</t>
  </si>
  <si>
    <t>1 hr 33 min 20s</t>
  </si>
  <si>
    <t>CHANDIA FRED</t>
  </si>
  <si>
    <t>33 min 39s</t>
  </si>
  <si>
    <t>FIDELIS AMWEENYE</t>
  </si>
  <si>
    <t>34 min 12s</t>
  </si>
  <si>
    <t>5 min 49s</t>
  </si>
  <si>
    <t>31 min 52s</t>
  </si>
  <si>
    <t>28 min 27s</t>
  </si>
  <si>
    <t>KAMARA MOHAMED SALLU</t>
  </si>
  <si>
    <t>59 min 47s</t>
  </si>
  <si>
    <t>0 min 21s</t>
  </si>
  <si>
    <t>1 hr 31 min 55s</t>
  </si>
  <si>
    <t>MOHAMED DIXON KABIA/INTERNATIONAL/SIERRALEONE/BRAC</t>
  </si>
  <si>
    <t>1 hr 5 min 36s</t>
  </si>
  <si>
    <t>1 hr 33 min 19s</t>
  </si>
  <si>
    <t>1 hr 28 min 14s</t>
  </si>
  <si>
    <t>1 hr 33 min 42s</t>
  </si>
  <si>
    <t>2 hr 8 min 48s</t>
  </si>
  <si>
    <t>uhx-ocez-tyy</t>
  </si>
  <si>
    <t>Day_8</t>
  </si>
  <si>
    <t>2 hr 8 min 20s</t>
  </si>
  <si>
    <t>0 min 10s</t>
  </si>
  <si>
    <t>0 min 5s</t>
  </si>
  <si>
    <t>2 hr 8 min 39s</t>
  </si>
  <si>
    <t>0 min 28s</t>
  </si>
  <si>
    <t>2 hr 8 min 42s</t>
  </si>
  <si>
    <t>1 hr 8 min 18s</t>
  </si>
  <si>
    <t>kdm-nwwh-zkg</t>
  </si>
  <si>
    <t>Day_7</t>
  </si>
  <si>
    <t>3 min 29s</t>
  </si>
  <si>
    <t>33 min 59s</t>
  </si>
  <si>
    <t>1 hr 42 min 17s</t>
  </si>
  <si>
    <t>1 hr 42 min 9s</t>
  </si>
  <si>
    <t>ymy-awtg-ykd</t>
  </si>
  <si>
    <t>Day_6</t>
  </si>
  <si>
    <t>1 hr 40 min 36s</t>
  </si>
  <si>
    <t>1 hr 40 min 28s</t>
  </si>
  <si>
    <t>1 hr 38 min 33s</t>
  </si>
  <si>
    <t>1 hr 40 min 26s</t>
  </si>
  <si>
    <t>1 hr 40 min 33s</t>
  </si>
  <si>
    <t>54 min 34s</t>
  </si>
  <si>
    <t>IBRAHIM JALLOH</t>
  </si>
  <si>
    <t>54 min 24s</t>
  </si>
  <si>
    <t>1 hr 40 min 32s</t>
  </si>
  <si>
    <t>46 min 12s</t>
  </si>
  <si>
    <t>1 hr 38 min 40s</t>
  </si>
  <si>
    <t>2 hr 9 min 18s</t>
  </si>
  <si>
    <t>1 hr 40 min 27s</t>
  </si>
  <si>
    <t>1 hr 40 min 30s</t>
  </si>
  <si>
    <t>14 min 17s</t>
  </si>
  <si>
    <t>dua-unee-xss</t>
  </si>
  <si>
    <t>Day_5</t>
  </si>
  <si>
    <t>BIRUNGI'S AI NOTETAKER</t>
  </si>
  <si>
    <t>49 min 17s</t>
  </si>
  <si>
    <t>2 hr 10 min 2s</t>
  </si>
  <si>
    <t>3 hr 31 min 36s</t>
  </si>
  <si>
    <t>19 min 35s</t>
  </si>
  <si>
    <t>15 min 57s</t>
  </si>
  <si>
    <t>2 hr 24 min 19s</t>
  </si>
  <si>
    <t>50 min 32s</t>
  </si>
  <si>
    <t>55 min 23s</t>
  </si>
  <si>
    <t>1 hr 4 min 8s</t>
  </si>
  <si>
    <t>21 min 21s</t>
  </si>
  <si>
    <t>1 hr 49 min 44s</t>
  </si>
  <si>
    <t>Day_4</t>
  </si>
  <si>
    <t>1 hr 43 min 0s</t>
  </si>
  <si>
    <t>1 hr 42 min 56s</t>
  </si>
  <si>
    <t>RWARU@YAHOO.COM</t>
  </si>
  <si>
    <t>0 hr 59 min 23s</t>
  </si>
  <si>
    <t>Day_3</t>
  </si>
  <si>
    <t>1 hr 59 min 23s</t>
  </si>
  <si>
    <t>2 hr 9 min 15s</t>
  </si>
  <si>
    <t>2 hr 2 min 43s</t>
  </si>
  <si>
    <t>2 hr 2 min 39s</t>
  </si>
  <si>
    <t>2 hr 6 min 32s</t>
  </si>
  <si>
    <t>2 hr 12 min 35s</t>
  </si>
  <si>
    <t>2 hr 8 min 3s</t>
  </si>
  <si>
    <t>3 min 20s</t>
  </si>
  <si>
    <t>2 hr 6 min 34s</t>
  </si>
  <si>
    <t>2 hr 12 min 31s</t>
  </si>
  <si>
    <t>1 hr 49 min 8s</t>
  </si>
  <si>
    <t>Day_2</t>
  </si>
  <si>
    <t>1 hr 48 min 51s</t>
  </si>
  <si>
    <t>1 hr 48 min 54s</t>
  </si>
  <si>
    <t>JIMMY AKENA KAMUNDA</t>
  </si>
  <si>
    <t>1 min 45s</t>
  </si>
  <si>
    <t>1 hr 48 min 57s</t>
  </si>
  <si>
    <t>LIZJOS AGENCIES</t>
  </si>
  <si>
    <t>2 min 2s</t>
  </si>
  <si>
    <t>1 hr 49 min 3s</t>
  </si>
  <si>
    <t>1 hr 48 min 55s</t>
  </si>
  <si>
    <t>1 hr 49 min 39s</t>
  </si>
  <si>
    <t>Day_1</t>
  </si>
  <si>
    <t>0 min 56s</t>
  </si>
  <si>
    <t>1 hr 23 min 18s</t>
  </si>
  <si>
    <t>1 hr 52 min 3s</t>
  </si>
  <si>
    <t>1 hr 52 min 59s</t>
  </si>
  <si>
    <t>1 hr 52 min 15s</t>
  </si>
  <si>
    <t>1 hr 52 min 6s</t>
  </si>
  <si>
    <t>1 hr 51 min 51s</t>
  </si>
  <si>
    <t>1 hr 52 min 30s</t>
  </si>
  <si>
    <t>1 hr 52 min 5s</t>
  </si>
  <si>
    <t>GOOD LORD</t>
  </si>
  <si>
    <t>1 min 37s</t>
  </si>
  <si>
    <t>1 hr 24 min 56s</t>
  </si>
  <si>
    <t>HUGUES GAKWAVU</t>
  </si>
  <si>
    <t>1 hr 23 min 21s</t>
  </si>
  <si>
    <t>1 hr 49 min 14s</t>
  </si>
  <si>
    <t>1 hr 51 min 25s</t>
  </si>
  <si>
    <t>1 hr 52 min 22s</t>
  </si>
  <si>
    <t>1 hr 49 min 11s</t>
  </si>
  <si>
    <t>1 hr 49 min 6s</t>
  </si>
  <si>
    <t>1 hr 48 min 16s</t>
  </si>
  <si>
    <t>1 hr 24 min 14s</t>
  </si>
  <si>
    <t>1 hr 49 min 7s</t>
  </si>
  <si>
    <t>1 hr 52 min 13s</t>
  </si>
  <si>
    <t>0 min 3s</t>
  </si>
  <si>
    <t>1 hr 48 min 0s</t>
  </si>
  <si>
    <t>1 hr 52 min 16s</t>
  </si>
  <si>
    <t>1 hr 52 min 7s</t>
  </si>
  <si>
    <t>1 hr 47 min 4s</t>
  </si>
  <si>
    <t>1 hr 49 min 35s</t>
  </si>
  <si>
    <t>RAMATA M KEITA</t>
  </si>
  <si>
    <t>1 hr 51 min 56s</t>
  </si>
  <si>
    <t>1 hr 52 min 20s</t>
  </si>
  <si>
    <t>1 hr 51 min 17s</t>
  </si>
  <si>
    <t>1 hr 47 min 58s</t>
  </si>
  <si>
    <t>1 hr 23 min 24s</t>
  </si>
  <si>
    <t>0 min 53s</t>
  </si>
  <si>
    <t>25 min 1s</t>
  </si>
  <si>
    <t>Count of DURATION</t>
  </si>
  <si>
    <t>Row Labels</t>
  </si>
  <si>
    <t>Grand Total</t>
  </si>
  <si>
    <t>Column Labels</t>
  </si>
  <si>
    <t>DAYS</t>
  </si>
  <si>
    <t>Count of AVERAGE DURATION</t>
  </si>
  <si>
    <t>[=COUNTA(C:C)-1]</t>
  </si>
  <si>
    <t>[COUNTA(C:C)]</t>
  </si>
  <si>
    <t>Count of Name</t>
  </si>
  <si>
    <t>SECTION B</t>
  </si>
  <si>
    <t>Sum of DURATION</t>
  </si>
  <si>
    <t>TOTAL NUMBER OF SESSIONS=36</t>
  </si>
  <si>
    <t>AVERAGE HOURS=GRAND TOTAL/NUMBER OF SESSIONS</t>
  </si>
  <si>
    <t>PLANNED HOURS=NUMBER OF SESSIONS *2 HOURS PER SESSION</t>
  </si>
  <si>
    <t>GOTTEN FROM PIVOT TABLE</t>
  </si>
  <si>
    <t>COUNT OF DAY/36</t>
  </si>
  <si>
    <t xml:space="preserve">FROM THE PIVOT TABLE </t>
  </si>
  <si>
    <t>COUNT OF DURATION</t>
  </si>
  <si>
    <t>TOTAL HOURS ATTENDED/POSSIBLE CLASS ATTENDANCE TIME</t>
  </si>
  <si>
    <t>Count of Attendance Started at</t>
  </si>
  <si>
    <t>DAY NUMBER</t>
  </si>
  <si>
    <t>SESSION TO SESSION DECLINE RATE</t>
  </si>
  <si>
    <t>PARTICIPANTS NAME</t>
  </si>
  <si>
    <t>COUNT(DAYS ATTENDED)</t>
  </si>
  <si>
    <t>COUNT(DURATION)</t>
  </si>
  <si>
    <t>TARGET SESSIONS(DAYS)</t>
  </si>
  <si>
    <t>ATTENDANCE(%)DAYS</t>
  </si>
  <si>
    <t>[=ANSWERS!A39:H147,,,THE TABLE GIVES A SUMMARY OF THOSE STUDENTS WHO QUALIFY FOR CERTIFICATION</t>
  </si>
  <si>
    <t>[=ANSWERS!B39:I147],,THE TABLE GIVES A SUMMARY OF STUDENTS AT RISK OFFAIING DUE TO POOR PERFORMANCE</t>
  </si>
  <si>
    <t>END SESSIONS</t>
  </si>
  <si>
    <t>START SESSIONS</t>
  </si>
  <si>
    <t>START SESSION</t>
  </si>
  <si>
    <t>Sum of START SESSION</t>
  </si>
  <si>
    <t>Sum of END SESSIONS</t>
  </si>
  <si>
    <t>DROP OFF COLUMN</t>
  </si>
  <si>
    <t>15.31% SHOWS THE MOST COMPREHENSIVE BLENDED MEASURE</t>
  </si>
  <si>
    <t>{=ANSWERS!E1},THE NUMBER OF STUDENTS DROP OFF = 10</t>
  </si>
  <si>
    <t>PERFORMANCE</t>
  </si>
  <si>
    <t>AT RISK</t>
  </si>
  <si>
    <t>Column1</t>
  </si>
  <si>
    <t>[=ANSWERS!B2]; THE TOTAL NUMBER OF UNIQUE STUDENTS IS 108</t>
  </si>
  <si>
    <t>OVERALL ATTENDANCE RATE=ACTUAL ATTENDANCE /TOTAL POSSIBLE ATTENDANCE</t>
  </si>
  <si>
    <t>TOTAL POSSIBLE RECORDS</t>
  </si>
  <si>
    <t>OVERALL ATTENDANCE RATE WAS 35.83%</t>
  </si>
  <si>
    <t>AVERAGE ATTENDANCE PER SESSION=ACTUAL ATTENDANCES/POSSIBLE ATTENDANCES</t>
  </si>
  <si>
    <t>AVERAGE ATTENDANCE PER SESSION WAS 0.35828193</t>
  </si>
  <si>
    <t>AVERAGE HOURS PER SESSION= 79.39533179 HOURS</t>
  </si>
  <si>
    <t>THE PLANNED HOURS FOR THE WHOLE SESSION WERE 72</t>
  </si>
  <si>
    <t>TARGET</t>
  </si>
  <si>
    <t>COMPARISON</t>
  </si>
  <si>
    <t>Count of Participant Name</t>
  </si>
  <si>
    <t>PARTICIPANTS FOR DAY 1</t>
  </si>
  <si>
    <t>THE RETION RATE FOR DAY 1-7</t>
  </si>
  <si>
    <t>DAY 7 PARTICIPANTS</t>
  </si>
  <si>
    <t>Column2</t>
  </si>
  <si>
    <t>Column3</t>
  </si>
  <si>
    <t>Column4</t>
  </si>
  <si>
    <t>Column5</t>
  </si>
  <si>
    <t>RETENTION FOR DAY16-20</t>
  </si>
  <si>
    <t>PARTICIPANTS DAY 16</t>
  </si>
  <si>
    <t>PARTICIPANTS DAY 20</t>
  </si>
  <si>
    <t>RETENTION RATE FINAL WEEK</t>
  </si>
  <si>
    <t>DAY 36 PARTICIPANTS</t>
  </si>
  <si>
    <t>PARTICIPANTS DAY 31</t>
  </si>
  <si>
    <t>SECTION D</t>
  </si>
  <si>
    <t>VOLATILITY INDEX</t>
  </si>
  <si>
    <t>BASED ON THE RETENTION RATES OBTAINED, THERE IS A CLEAR DOWNWARD TREND IN ATTENDANCE, AND A PROGRESSIVE AND ACCELERATING LOSS OF STUDENT ENGAGEMENT.</t>
  </si>
  <si>
    <t>DAY 1 HAD THE HIGHESTATTENDANCE OF 60 WHILE DAY 34 HAD THE LOWEST ATTENDANCE OF 18</t>
  </si>
  <si>
    <t>THE STUDENTS WITH THE BEST PERFORMANCE WERE;</t>
  </si>
  <si>
    <t>STATISTICALLY, THEIR ATTENDANCE FOR THE SESSIONS WAS THE HIGHEST COMPARED TO ANY OTHER STUDENTS, MAKING THEM THE HIGHEST IN PERFORMANCE</t>
  </si>
  <si>
    <t>EXTERNAL AND LOGISTIC CAUSES</t>
  </si>
  <si>
    <t>TIME CONFLICT/COMPETING PRIORITIES</t>
  </si>
  <si>
    <t>POOR SCHEDULING</t>
  </si>
  <si>
    <t>INTERNAL AND INSTRUCTIONAL CAUSES</t>
  </si>
  <si>
    <t>CONTENT OVERALOAD OR DIFFICULTY</t>
  </si>
  <si>
    <t>LACK OF PERCEUVED RELEVANCE</t>
  </si>
  <si>
    <t>UNCLEAR MILESTONES OR BENCHMARK</t>
  </si>
  <si>
    <t>PACING AND MONOTONY</t>
  </si>
  <si>
    <t>IMPLEMENT A PHASED ACCOUNTABILITY AND CHECK-IN SYSTEM</t>
  </si>
  <si>
    <t>SHIFT FOCUS TO MODULAR, HIGH, VALUE CONTENT</t>
  </si>
  <si>
    <t>HIGH PERFORMANCE</t>
  </si>
  <si>
    <t>MODERATE PERFORMANCE</t>
  </si>
  <si>
    <t>AT-RISK PERFORMANCE</t>
  </si>
  <si>
    <t>RANK</t>
  </si>
  <si>
    <t>AttendanceStartedat</t>
  </si>
  <si>
    <t>Joinedat(beta)</t>
  </si>
  <si>
    <t>Attendance Stoppedat</t>
  </si>
  <si>
    <t>SUM OF DURATION</t>
  </si>
  <si>
    <t>COUNT OF NAME</t>
  </si>
  <si>
    <t>Count of DAYS</t>
  </si>
  <si>
    <t>COUNT OF DAYS</t>
  </si>
  <si>
    <t>PLANNED DAYS</t>
  </si>
  <si>
    <t>PLANNED DURATION</t>
  </si>
  <si>
    <t>SUM OF DURAION</t>
  </si>
  <si>
    <t>PERCENTAGE DAYS ATTENDED</t>
  </si>
  <si>
    <t>COMBINED PERCENTAGE</t>
  </si>
  <si>
    <t>% HOURS</t>
  </si>
  <si>
    <t>% STANDARD HOURS</t>
  </si>
  <si>
    <t>PERFORMANCE RATES</t>
  </si>
  <si>
    <t>HIGH PERFORMERS</t>
  </si>
  <si>
    <t>MODERATE</t>
  </si>
  <si>
    <t>SUM OF  START SESSION</t>
  </si>
  <si>
    <t>SUM OF END SESSIONS</t>
  </si>
  <si>
    <t>80% 0F SESSION ATTENDANCE</t>
  </si>
  <si>
    <t>15 STUDENTS ATTENDED 80% OF THE TOTAL TRAINING TIME</t>
  </si>
  <si>
    <t>TOP 10 RANK STUDENTS TABLE , AND THE AQI CHART GENERATION</t>
  </si>
  <si>
    <t>DAYS AND PARTICIPANTS COUNT TABLE GENERATING VOLATILITY INDEX</t>
  </si>
  <si>
    <t>PARTICIPANTS COUNT</t>
  </si>
  <si>
    <t>DAILY CHANGE IN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</si>
</sst>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h:mm:ss"/>
    <numFmt numFmtId="165" formatCode="[$-F400]h:mm:ss\ AM/PM"/>
    <numFmt numFmtId="166" formatCode="h:mm:ss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ck">
        <color theme="3" tint="0.24994659260841701"/>
      </left>
      <right style="thick">
        <color theme="3" tint="0.24994659260841701"/>
      </right>
      <top style="thick">
        <color theme="3" tint="0.24994659260841701"/>
      </top>
      <bottom style="thick">
        <color theme="3" tint="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6" fontId="0" fillId="0" borderId="0" xfId="0" applyNumberFormat="1"/>
    <xf numFmtId="19" fontId="0" fillId="0" borderId="0" xfId="0" applyNumberFormat="1"/>
    <xf numFmtId="0" fontId="0" fillId="33" borderId="10" xfId="0" applyFill="1" applyBorder="1"/>
    <xf numFmtId="0" fontId="0" fillId="0" borderId="10" xfId="0" applyBorder="1"/>
    <xf numFmtId="19" fontId="16" fillId="0" borderId="0" xfId="0" applyNumberFormat="1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46" fontId="0" fillId="0" borderId="0" xfId="0" applyNumberFormat="1" applyAlignment="1">
      <alignment wrapText="1" shrinkToFit="1"/>
    </xf>
    <xf numFmtId="0" fontId="0" fillId="33" borderId="11" xfId="0" applyFill="1" applyBorder="1"/>
    <xf numFmtId="0" fontId="0" fillId="0" borderId="11" xfId="0" applyBorder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9" fontId="0" fillId="0" borderId="0" xfId="0" applyNumberFormat="1" applyAlignment="1">
      <alignment shrinkToFit="1"/>
    </xf>
    <xf numFmtId="0" fontId="0" fillId="34" borderId="0" xfId="0" applyFill="1"/>
    <xf numFmtId="0" fontId="0" fillId="0" borderId="12" xfId="0" applyBorder="1"/>
    <xf numFmtId="0" fontId="16" fillId="0" borderId="12" xfId="0" applyFont="1" applyBorder="1"/>
    <xf numFmtId="0" fontId="0" fillId="0" borderId="12" xfId="0" applyBorder="1" applyAlignment="1">
      <alignment horizontal="left"/>
    </xf>
    <xf numFmtId="10" fontId="0" fillId="0" borderId="12" xfId="0" applyNumberFormat="1" applyBorder="1"/>
    <xf numFmtId="165" fontId="0" fillId="0" borderId="0" xfId="0" applyNumberFormat="1"/>
    <xf numFmtId="166" fontId="0" fillId="0" borderId="0" xfId="0" applyNumberFormat="1"/>
    <xf numFmtId="0" fontId="17" fillId="13" borderId="0" xfId="22"/>
    <xf numFmtId="0" fontId="17" fillId="13" borderId="10" xfId="22" applyBorder="1"/>
    <xf numFmtId="0" fontId="17" fillId="13" borderId="11" xfId="22" applyBorder="1"/>
    <xf numFmtId="0" fontId="0" fillId="0" borderId="0" xfId="0"/>
    <xf numFmtId="0" fontId="17" fillId="13" borderId="0" xfId="22" applyAlignment="1"/>
    <xf numFmtId="0" fontId="1" fillId="20" borderId="0" xfId="29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h:mm:ss\ "/>
    </dxf>
    <dxf>
      <numFmt numFmtId="165" formatCode="[$-F400]h:mm:ss\ AM/PM"/>
    </dxf>
    <dxf>
      <numFmt numFmtId="165" formatCode="[$-F400]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BEST</a:t>
            </a:r>
          </a:p>
          <a:p>
            <a:pPr>
              <a:defRPr/>
            </a:pPr>
            <a:r>
              <a:rPr lang="en-US" baseline="0"/>
              <a:t> STUDENTS BY QUALITY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'PERFOEMANCE TABLE'!$B$114</c:f>
              <c:strCache>
                <c:ptCount val="1"/>
                <c:pt idx="0">
                  <c:v>PERCENTAGE DAYS ATTENDED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'PERFOEMANCE TABLE'!$A$115:$A$124</c:f>
              <c:strCache>
                <c:ptCount val="10"/>
                <c:pt idx="0">
                  <c:v>GODFREY BIRUNGI</c:v>
                </c:pt>
                <c:pt idx="1">
                  <c:v>MARTIN LEMI</c:v>
                </c:pt>
                <c:pt idx="2">
                  <c:v>ANTHONY GODSON AIDOO</c:v>
                </c:pt>
                <c:pt idx="3">
                  <c:v>RTN JOSES KAYUNGA</c:v>
                </c:pt>
                <c:pt idx="4">
                  <c:v>JOHN RWARU</c:v>
                </c:pt>
                <c:pt idx="5">
                  <c:v>MILDRED DRUSILA</c:v>
                </c:pt>
                <c:pt idx="6">
                  <c:v>KAMAU RUTH</c:v>
                </c:pt>
                <c:pt idx="7">
                  <c:v>JOSEPH MBOGO</c:v>
                </c:pt>
                <c:pt idx="8">
                  <c:v>EMMANUEL JOBS</c:v>
                </c:pt>
                <c:pt idx="9">
                  <c:v>AMARA BAJAHA</c:v>
                </c:pt>
              </c:strCache>
            </c:strRef>
          </c:cat>
          <c:val>
            <c:numRef>
              <c:f>'PERFOEMANCE TABLE'!$B$115:$B$124</c:f>
              <c:numCache>
                <c:formatCode>0.00%</c:formatCode>
                <c:ptCount val="10"/>
                <c:pt idx="0">
                  <c:v>1</c:v>
                </c:pt>
                <c:pt idx="1">
                  <c:v>0.97222222222222221</c:v>
                </c:pt>
                <c:pt idx="2">
                  <c:v>0.97222222222222221</c:v>
                </c:pt>
                <c:pt idx="3">
                  <c:v>0.94444444444444442</c:v>
                </c:pt>
                <c:pt idx="4">
                  <c:v>0.91666666666666663</c:v>
                </c:pt>
                <c:pt idx="5">
                  <c:v>0.91666666666666663</c:v>
                </c:pt>
                <c:pt idx="6">
                  <c:v>0.91666666666666663</c:v>
                </c:pt>
                <c:pt idx="7">
                  <c:v>0.86111111111111116</c:v>
                </c:pt>
                <c:pt idx="8">
                  <c:v>0.83333333333333337</c:v>
                </c:pt>
                <c:pt idx="9">
                  <c:v>0.69444444444444442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A-4340-8B7F-0D25364C7C5C}"/>
            </c:ext>
          </c:extLst>
        </c:ser>
        <c:ser>
          <c:idx val="1"/>
          <c:order val="1"/>
          <c:tx>
            <c:strRef>
              <c:f>'PERFOEMANCE TABLE'!$C$114</c:f>
              <c:strCache>
                <c:ptCount val="1"/>
                <c:pt idx="0">
                  <c:v>% STANDARD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'PERFOEMANCE TABLE'!$A$115:$A$124</c:f>
              <c:strCache>
                <c:ptCount val="10"/>
                <c:pt idx="0">
                  <c:v>GODFREY BIRUNGI</c:v>
                </c:pt>
                <c:pt idx="1">
                  <c:v>MARTIN LEMI</c:v>
                </c:pt>
                <c:pt idx="2">
                  <c:v>ANTHONY GODSON AIDOO</c:v>
                </c:pt>
                <c:pt idx="3">
                  <c:v>RTN JOSES KAYUNGA</c:v>
                </c:pt>
                <c:pt idx="4">
                  <c:v>JOHN RWARU</c:v>
                </c:pt>
                <c:pt idx="5">
                  <c:v>MILDRED DRUSILA</c:v>
                </c:pt>
                <c:pt idx="6">
                  <c:v>KAMAU RUTH</c:v>
                </c:pt>
                <c:pt idx="7">
                  <c:v>JOSEPH MBOGO</c:v>
                </c:pt>
                <c:pt idx="8">
                  <c:v>EMMANUEL JOBS</c:v>
                </c:pt>
                <c:pt idx="9">
                  <c:v>AMARA BAJAHA</c:v>
                </c:pt>
              </c:strCache>
            </c:strRef>
          </c:cat>
          <c:val>
            <c:numRef>
              <c:f>'PERFOEMANCE TABLE'!$C$115:$C$124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0.97462577160493835</c:v>
                </c:pt>
                <c:pt idx="3">
                  <c:v>0.97396990740740741</c:v>
                </c:pt>
                <c:pt idx="4">
                  <c:v>0.94011959876543194</c:v>
                </c:pt>
                <c:pt idx="5">
                  <c:v>0.93147376543209881</c:v>
                </c:pt>
                <c:pt idx="6">
                  <c:v>0.92771990740740717</c:v>
                </c:pt>
                <c:pt idx="7">
                  <c:v>0.87085262345679026</c:v>
                </c:pt>
                <c:pt idx="8">
                  <c:v>0.85536265432098757</c:v>
                </c:pt>
                <c:pt idx="9">
                  <c:v>0.9801350308641974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A-4340-8B7F-0D25364C7C5C}"/>
            </c:ext>
          </c:extLst>
        </c:ser>
        <c:ser>
          <c:idx val="2"/>
          <c:order val="2"/>
          <c:tx>
            <c:strRef>
              <c:f>'PERFOEMANCE TABLE'!$D$114</c:f>
              <c:strCache>
                <c:ptCount val="1"/>
                <c:pt idx="0">
                  <c:v>COMBINED 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'PERFOEMANCE TABLE'!$A$115:$A$124</c:f>
              <c:strCache>
                <c:ptCount val="10"/>
                <c:pt idx="0">
                  <c:v>GODFREY BIRUNGI</c:v>
                </c:pt>
                <c:pt idx="1">
                  <c:v>MARTIN LEMI</c:v>
                </c:pt>
                <c:pt idx="2">
                  <c:v>ANTHONY GODSON AIDOO</c:v>
                </c:pt>
                <c:pt idx="3">
                  <c:v>RTN JOSES KAYUNGA</c:v>
                </c:pt>
                <c:pt idx="4">
                  <c:v>JOHN RWARU</c:v>
                </c:pt>
                <c:pt idx="5">
                  <c:v>MILDRED DRUSILA</c:v>
                </c:pt>
                <c:pt idx="6">
                  <c:v>KAMAU RUTH</c:v>
                </c:pt>
                <c:pt idx="7">
                  <c:v>JOSEPH MBOGO</c:v>
                </c:pt>
                <c:pt idx="8">
                  <c:v>EMMANUEL JOBS</c:v>
                </c:pt>
                <c:pt idx="9">
                  <c:v>AMARA BAJAHA</c:v>
                </c:pt>
              </c:strCache>
            </c:strRef>
          </c:cat>
          <c:val>
            <c:numRef>
              <c:f>'PERFOEMANCE TABLE'!$D$115:$D$124</c:f>
              <c:numCache>
                <c:formatCode>0.00%</c:formatCode>
                <c:ptCount val="10"/>
                <c:pt idx="0">
                  <c:v>1</c:v>
                </c:pt>
                <c:pt idx="1">
                  <c:v>0.98611111111111116</c:v>
                </c:pt>
                <c:pt idx="2">
                  <c:v>0.97342399691358028</c:v>
                </c:pt>
                <c:pt idx="3">
                  <c:v>0.95920717592592597</c:v>
                </c:pt>
                <c:pt idx="4">
                  <c:v>0.92839313271604929</c:v>
                </c:pt>
                <c:pt idx="5">
                  <c:v>0.92407021604938278</c:v>
                </c:pt>
                <c:pt idx="6">
                  <c:v>0.92219328703703685</c:v>
                </c:pt>
                <c:pt idx="7">
                  <c:v>0.86598186728395077</c:v>
                </c:pt>
                <c:pt idx="8">
                  <c:v>0.84434799382716053</c:v>
                </c:pt>
                <c:pt idx="9">
                  <c:v>0.83728973765432091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A-4340-8B7F-0D25364C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459936"/>
        <c:axId val="2040466176"/>
      </c:barChart>
      <c:catAx>
        <c:axId val="20404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66176"/>
        <c:crosses val="autoZero"/>
        <c:auto val="1"/>
        <c:lblAlgn val="ctr"/>
        <c:lblOffset val="100"/>
        <c:noMultiLvlLbl val="0"/>
      </c:catAx>
      <c:valAx>
        <c:axId val="20404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5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SEGMENT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8EC-4DCA-88C7-EC84F92E78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8EC-4DCA-88C7-EC84F92E78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8EC-4DCA-88C7-EC84F92E781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'PERFOEMANCE TABLE'!$M$1:$O$1</c:f>
              <c:strCache>
                <c:ptCount val="3"/>
                <c:pt idx="0">
                  <c:v>HIGH PERFORMERS</c:v>
                </c:pt>
                <c:pt idx="1">
                  <c:v>MODERATE</c:v>
                </c:pt>
                <c:pt idx="2">
                  <c:v>AT RISK</c:v>
                </c:pt>
              </c:strCache>
            </c:strRef>
          </c:cat>
          <c:val>
            <c:numRef>
              <c:f>'PERFOEMANCE TABLE'!$M$2:$O$2</c:f>
              <c:numCache>
                <c:formatCode>General</c:formatCode>
                <c:ptCount val="3"/>
                <c:pt idx="0">
                  <c:v>16</c:v>
                </c:pt>
                <c:pt idx="1">
                  <c:v>15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EC-4DCA-88C7-EC84F92E7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[EXCELL ANALYSIS.xlsx]PIVOT 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NUMBER AND COUNT OF PARTICIPANTS BAR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TABLES'!$E$337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TABLES'!$D$338:$D$374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'PIVOT TABLES'!$E$338:$E$374</c:f>
              <c:numCache>
                <c:formatCode>General</c:formatCode>
                <c:ptCount val="36"/>
                <c:pt idx="0">
                  <c:v>60</c:v>
                </c:pt>
                <c:pt idx="1">
                  <c:v>53</c:v>
                </c:pt>
                <c:pt idx="2">
                  <c:v>53</c:v>
                </c:pt>
                <c:pt idx="3">
                  <c:v>45</c:v>
                </c:pt>
                <c:pt idx="4">
                  <c:v>24</c:v>
                </c:pt>
                <c:pt idx="5">
                  <c:v>50</c:v>
                </c:pt>
                <c:pt idx="6">
                  <c:v>48</c:v>
                </c:pt>
                <c:pt idx="7">
                  <c:v>47</c:v>
                </c:pt>
                <c:pt idx="8">
                  <c:v>56</c:v>
                </c:pt>
                <c:pt idx="9">
                  <c:v>58</c:v>
                </c:pt>
                <c:pt idx="10">
                  <c:v>49</c:v>
                </c:pt>
                <c:pt idx="11">
                  <c:v>52</c:v>
                </c:pt>
                <c:pt idx="12">
                  <c:v>40</c:v>
                </c:pt>
                <c:pt idx="13">
                  <c:v>44</c:v>
                </c:pt>
                <c:pt idx="14">
                  <c:v>48</c:v>
                </c:pt>
                <c:pt idx="15">
                  <c:v>53</c:v>
                </c:pt>
                <c:pt idx="16">
                  <c:v>43</c:v>
                </c:pt>
                <c:pt idx="17">
                  <c:v>39</c:v>
                </c:pt>
                <c:pt idx="18">
                  <c:v>35</c:v>
                </c:pt>
                <c:pt idx="19">
                  <c:v>34</c:v>
                </c:pt>
                <c:pt idx="20">
                  <c:v>38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32</c:v>
                </c:pt>
                <c:pt idx="25">
                  <c:v>27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31</c:v>
                </c:pt>
                <c:pt idx="30">
                  <c:v>36</c:v>
                </c:pt>
                <c:pt idx="31">
                  <c:v>24</c:v>
                </c:pt>
                <c:pt idx="32">
                  <c:v>29</c:v>
                </c:pt>
                <c:pt idx="33">
                  <c:v>18</c:v>
                </c:pt>
                <c:pt idx="34">
                  <c:v>27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F-4F68-AEE5-0D5A717FD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40483936"/>
        <c:axId val="2040463296"/>
        <c:axId val="0"/>
      </c:bar3DChart>
      <c:catAx>
        <c:axId val="20404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63296"/>
        <c:crosses val="autoZero"/>
        <c:auto val="1"/>
        <c:lblAlgn val="ctr"/>
        <c:lblOffset val="100"/>
        <c:noMultiLvlLbl val="0"/>
      </c:catAx>
      <c:valAx>
        <c:axId val="20404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50</xdr:row>
      <xdr:rowOff>47624</xdr:rowOff>
    </xdr:from>
    <xdr:to>
      <xdr:col>11</xdr:col>
      <xdr:colOff>447674</xdr:colOff>
      <xdr:row>73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22BFC4-1B9D-4553-95A3-8BCC630F4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27</xdr:row>
      <xdr:rowOff>123824</xdr:rowOff>
    </xdr:from>
    <xdr:to>
      <xdr:col>8</xdr:col>
      <xdr:colOff>228600</xdr:colOff>
      <xdr:row>47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BEB93C-FA5A-4C5F-AF36-04BE3F1F9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</xdr:colOff>
      <xdr:row>0</xdr:row>
      <xdr:rowOff>0</xdr:rowOff>
    </xdr:from>
    <xdr:to>
      <xdr:col>9</xdr:col>
      <xdr:colOff>571500</xdr:colOff>
      <xdr:row>26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06592C-D5B7-41D4-BF64-FB31CFBCF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\AppData\Local\Microsoft\Windows\INetCache\IE\C39TZ3RP\Copy%20of%20COMBINEDD%20COMPLETE(1)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opy%20of%20COMBINEDD%20COMPLETE(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opy%20of%20COMBINEDD%20COMPLETE(1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5952.707726620371" createdVersion="8" refreshedVersion="8" minRefreshableVersion="3" recordCount="1393" xr:uid="{97509C81-0B70-42E7-8575-1A8E1B20045B}">
  <cacheSource type="worksheet">
    <worksheetSource ref="A1:L1394" sheet=".xlsx].xlsx]COMBINED ATTENDANCE TABLE" r:id="rId2"/>
  </cacheSource>
  <cacheFields count="12">
    <cacheField name="SNo" numFmtId="0">
      <sharedItems containsSemiMixedTypes="0" containsString="0" containsNumber="1" containsInteger="1" minValue="1" maxValue="60"/>
    </cacheField>
    <cacheField name="Participant Name" numFmtId="0">
      <sharedItems/>
    </cacheField>
    <cacheField name="Attendance Started at" numFmtId="19">
      <sharedItems containsSemiMixedTypes="0" containsNonDate="0" containsDate="1" containsString="0" minDate="1899-12-30T00:00:00" maxDate="1899-12-30T20:42:52"/>
    </cacheField>
    <cacheField name="Joined at(beta)" numFmtId="19">
      <sharedItems containsSemiMixedTypes="0" containsNonDate="0" containsDate="1" containsString="0" minDate="1899-12-30T20:06:48" maxDate="1899-12-30T23:07:41"/>
    </cacheField>
    <cacheField name="Attendance Stopped at" numFmtId="19">
      <sharedItems containsSemiMixedTypes="0" containsNonDate="0" containsDate="1" containsString="0" minDate="1899-12-30T22:04:52" maxDate="1899-12-30T23:45:34"/>
    </cacheField>
    <cacheField name="Attended Duration" numFmtId="0">
      <sharedItems/>
    </cacheField>
    <cacheField name="Meeting code" numFmtId="0">
      <sharedItems/>
    </cacheField>
    <cacheField name="DAYS" numFmtId="0">
      <sharedItems containsSemiMixedTypes="0" containsString="0" containsNumber="1" containsInteger="1" minValue="1" maxValue="36" count="36"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DURATION" numFmtId="46">
      <sharedItems containsSemiMixedTypes="0" containsNonDate="0" containsDate="1" containsString="0" minDate="1899-12-30T01:23:25" maxDate="1899-12-30T22:23:06"/>
    </cacheField>
    <cacheField name="AVERAGE DURATION" numFmtId="46">
      <sharedItems containsSemiMixedTypes="0" containsNonDate="0" containsDate="1" containsString="0" minDate="1899-12-30T01:53:35" maxDate="1899-12-30T02:15:59"/>
    </cacheField>
    <cacheField name="START SESSIONS" numFmtId="0">
      <sharedItems containsSemiMixedTypes="0" containsString="0" containsNumber="1" containsInteger="1" minValue="0" maxValue="1"/>
    </cacheField>
    <cacheField name="END SESSION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5952.707726620371" createdVersion="8" refreshedVersion="8" minRefreshableVersion="3" recordCount="1393" xr:uid="{DBF96C65-A977-4893-9716-154F0F30C363}">
  <cacheSource type="worksheet">
    <worksheetSource ref="A1:L1394" sheet="COMBINED ATTENDANCE TABLE" r:id="rId2"/>
  </cacheSource>
  <cacheFields count="12">
    <cacheField name="SNo" numFmtId="0">
      <sharedItems containsSemiMixedTypes="0" containsString="0" containsNumber="1" containsInteger="1" minValue="1" maxValue="60"/>
    </cacheField>
    <cacheField name="Participant Name" numFmtId="0">
      <sharedItems count="108">
        <s v="AMARA BAJAHA"/>
        <s v="ANGULA ROSAMUNDE"/>
        <s v="ANTHONY GODSON AIDOO"/>
        <s v="AZEDRIS JAMIL KASANGO"/>
        <s v="CHERUU JUL"/>
        <s v="GODFREY BIRUNGI"/>
        <s v="JOHN RWARU"/>
        <s v="KAMAU RUTH"/>
        <s v="MARTIN LEMI"/>
        <s v="MOHAMED SALLY KAMARA"/>
        <s v="OCI GEOFFREY"/>
        <s v="YANGA SAMSON"/>
        <s v="ALEX MUHEREZA"/>
        <s v="BENJAMIN MALES LOKOYA"/>
        <s v="EMMANUEL JOBS"/>
        <s v="GEOFFREY OYET"/>
        <s v="GODFREY'S NOTETAKER"/>
        <s v="JOSEPH MBOGO"/>
        <s v="KIIR ABIEM"/>
        <s v="LINUS SANKEI"/>
        <s v="MILDRED DRUSILA"/>
        <s v="MOZE KEYZ"/>
        <s v="OMELLA OWEN"/>
        <s v="PRINCESS MAJOLA"/>
        <s v="RTN JOSES KAYUNGA"/>
        <s v="SARAH NAKAMATTE"/>
        <s v="YUSUPHA SEESAY"/>
        <s v="CHRISTOPHER MODI"/>
        <s v="KAKOOZA GODFREY"/>
        <s v="MARY NAMUKOKO"/>
        <s v="ONESMUS KORIR"/>
        <s v="CHRISTINA MOTHOBI"/>
        <s v="MR ADRAWA CHARLES YOUNG"/>
        <s v="PRINCESS.MAJOLA"/>
        <s v="RACHEAL KYALIMPA"/>
        <s v="ROBERT MAKUBUYA"/>
        <s v="TORY MOLS"/>
        <s v="CPAJULIUS CHERUIYOT"/>
        <s v="LOKOSE ABEL"/>
        <s v="MOHAMED KABIA"/>
        <s v="RODNEY MUKUNZI"/>
        <s v="DIMA JAMES"/>
        <s v="JACQUELINE NAMYALO"/>
        <s v="JOSHUA MHAKURE"/>
        <s v="KORIR"/>
        <s v="NUHUH MUTEBI"/>
        <s v="RODGERS AHEBWA"/>
        <s v="TURINAWE PATIENCE"/>
        <s v="MAGHOGHO BOB"/>
        <s v="EL MAJID SWALEH"/>
        <s v="HAROLD SUCCESS GOLAFALE"/>
        <s v="HENRY CHELELE"/>
        <s v="OKABO GEOFFREY"/>
        <s v="OCHOKI OMBASO"/>
        <s v="FIDELIS SKIPPER AMWEENYE EMOSHO (SKIPPER)"/>
        <s v="OMBASO JARED"/>
        <s v="FREDY BAHILI"/>
        <s v="KIP ROBERTOH"/>
        <s v="KAMARA"/>
        <s v="MARGARET NASSOLO"/>
        <s v="NDAGIRE AGNES"/>
        <s v="ROBERT ESSUON"/>
        <s v="SABO MIKE"/>
        <s v="JOSEPH MUTIE"/>
        <s v="NASSAMULA JOSEPHINE"/>
        <s v="ARON NTULIZE"/>
        <s v="PRINCESS"/>
        <s v="WANDA FORTUNATE"/>
        <s v="JOHN NJOROGE"/>
        <s v="VITALIS KOECH"/>
        <s v="EL-MAJID SWALEH"/>
        <s v="CHERUIYOT JULIUS"/>
        <s v="DANIEL ERABU"/>
        <s v="JULIUS K CHERUIYOT"/>
        <s v="MAHAMADOU MAMANE"/>
        <s v="CHRISTOPHER MARK MODI"/>
        <s v="THIS IS LINUS SANKEI"/>
        <s v="DEUS NABIBASA"/>
        <s v="ISAAC OGWANG"/>
        <s v="JAMES KAYONGO"/>
        <s v="MERGED AUDIO"/>
        <s v="SIMONPETER OUMA"/>
        <s v="OWEKA WELL-BORN"/>
        <s v="TINDERET SUGARBELT"/>
        <s v="ISINGOMA MAURICE"/>
        <s v="JOSEPH SAMILA"/>
        <s v="MORIBA KOROMA"/>
        <s v="PETET KOROMA"/>
        <s v="ERIK"/>
        <s v="HELLEN ARIMPA"/>
        <s v="IZARUKU RONALD"/>
        <s v="KANANURA GASTON"/>
        <s v="ODUTI SAVIOUR"/>
        <s v="ROBERT MAKUBS"/>
        <s v="ONE MAN"/>
        <s v="TIMOTENGINEERING LIMITED"/>
        <s v="CHANDIA FRED"/>
        <s v="FIDELIS AMWEENYE"/>
        <s v="KAMARA MOHAMED SALLU"/>
        <s v="MOHAMED DIXON KABIA/INTERNATIONAL/SIERRALEONE/BRAC"/>
        <s v="IBRAHIM JALLOH"/>
        <s v="BIRUNGI'S AI NOTETAKER"/>
        <s v="RWARU@YAHOO.COM"/>
        <s v="JIMMY AKENA KAMUNDA"/>
        <s v="LIZJOS AGENCIES"/>
        <s v="GOOD LORD"/>
        <s v="HUGUES GAKWAVU"/>
        <s v="RAMATA M KEITA"/>
      </sharedItems>
    </cacheField>
    <cacheField name="Attendance Started at" numFmtId="19">
      <sharedItems containsSemiMixedTypes="0" containsNonDate="0" containsDate="1" containsString="0" minDate="1899-12-30T00:00:00" maxDate="1899-12-30T20:42:52"/>
    </cacheField>
    <cacheField name="Joined at(beta)" numFmtId="19">
      <sharedItems containsSemiMixedTypes="0" containsNonDate="0" containsDate="1" containsString="0" minDate="1899-12-30T20:06:48" maxDate="1899-12-30T23:07:41"/>
    </cacheField>
    <cacheField name="Attendance Stopped at" numFmtId="19">
      <sharedItems containsSemiMixedTypes="0" containsNonDate="0" containsDate="1" containsString="0" minDate="1899-12-30T22:04:52" maxDate="1899-12-30T23:45:34"/>
    </cacheField>
    <cacheField name="Attended Duration" numFmtId="0">
      <sharedItems/>
    </cacheField>
    <cacheField name="Meeting code" numFmtId="0">
      <sharedItems/>
    </cacheField>
    <cacheField name="DAYS" numFmtId="0">
      <sharedItems containsSemiMixedTypes="0" containsString="0" containsNumber="1" containsInteger="1" minValue="1" maxValue="36" count="36"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DURATION" numFmtId="46">
      <sharedItems containsSemiMixedTypes="0" containsNonDate="0" containsDate="1" containsString="0" minDate="1899-12-30T01:23:25" maxDate="1899-12-30T22:23:06"/>
    </cacheField>
    <cacheField name="AVERAGE DURATION" numFmtId="46">
      <sharedItems containsSemiMixedTypes="0" containsNonDate="0" containsDate="1" containsString="0" minDate="1899-12-30T01:53:35" maxDate="1899-12-30T02:15:59"/>
    </cacheField>
    <cacheField name="START SESSIONS" numFmtId="0">
      <sharedItems containsSemiMixedTypes="0" containsString="0" containsNumber="1" containsInteger="1" minValue="0" maxValue="1"/>
    </cacheField>
    <cacheField name="END SESSION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5952.707726620371" createdVersion="8" refreshedVersion="8" minRefreshableVersion="3" recordCount="1393" xr:uid="{0D1DB3AA-ADFF-475D-9826-6E63C3E6356C}">
  <cacheSource type="worksheet">
    <worksheetSource ref="A1:L1394" sheet="COMBINED ATTENDANCE TABLE" r:id="rId2"/>
  </cacheSource>
  <cacheFields count="12">
    <cacheField name="SNo" numFmtId="0">
      <sharedItems containsSemiMixedTypes="0" containsString="0" containsNumber="1" containsInteger="1" minValue="1" maxValue="60"/>
    </cacheField>
    <cacheField name="Participant Name" numFmtId="0">
      <sharedItems count="108">
        <s v="AMARA BAJAHA"/>
        <s v="ANGULA ROSAMUNDE"/>
        <s v="ANTHONY GODSON AIDOO"/>
        <s v="AZEDRIS JAMIL KASANGO"/>
        <s v="CHERUU JUL"/>
        <s v="GODFREY BIRUNGI"/>
        <s v="JOHN RWARU"/>
        <s v="KAMAU RUTH"/>
        <s v="MARTIN LEMI"/>
        <s v="MOHAMED SALLY KAMARA"/>
        <s v="OCI GEOFFREY"/>
        <s v="YANGA SAMSON"/>
        <s v="ALEX MUHEREZA"/>
        <s v="BENJAMIN MALES LOKOYA"/>
        <s v="EMMANUEL JOBS"/>
        <s v="GEOFFREY OYET"/>
        <s v="GODFREY'S NOTETAKER"/>
        <s v="JOSEPH MBOGO"/>
        <s v="KIIR ABIEM"/>
        <s v="LINUS SANKEI"/>
        <s v="MILDRED DRUSILA"/>
        <s v="MOZE KEYZ"/>
        <s v="OMELLA OWEN"/>
        <s v="PRINCESS MAJOLA"/>
        <s v="RTN JOSES KAYUNGA"/>
        <s v="SARAH NAKAMATTE"/>
        <s v="YUSUPHA SEESAY"/>
        <s v="CHRISTOPHER MODI"/>
        <s v="KAKOOZA GODFREY"/>
        <s v="MARY NAMUKOKO"/>
        <s v="ONESMUS KORIR"/>
        <s v="CHRISTINA MOTHOBI"/>
        <s v="MR ADRAWA CHARLES YOUNG"/>
        <s v="PRINCESS.MAJOLA"/>
        <s v="RACHEAL KYALIMPA"/>
        <s v="ROBERT MAKUBUYA"/>
        <s v="TORY MOLS"/>
        <s v="CPAJULIUS CHERUIYOT"/>
        <s v="LOKOSE ABEL"/>
        <s v="MOHAMED KABIA"/>
        <s v="RODNEY MUKUNZI"/>
        <s v="DIMA JAMES"/>
        <s v="JACQUELINE NAMYALO"/>
        <s v="JOSHUA MHAKURE"/>
        <s v="KORIR"/>
        <s v="NUHUH MUTEBI"/>
        <s v="RODGERS AHEBWA"/>
        <s v="TURINAWE PATIENCE"/>
        <s v="MAGHOGHO BOB"/>
        <s v="EL MAJID SWALEH"/>
        <s v="HAROLD SUCCESS GOLAFALE"/>
        <s v="HENRY CHELELE"/>
        <s v="OKABO GEOFFREY"/>
        <s v="OCHOKI OMBASO"/>
        <s v="FIDELIS SKIPPER AMWEENYE EMOSHO (SKIPPER)"/>
        <s v="OMBASO JARED"/>
        <s v="FREDY BAHILI"/>
        <s v="KIP ROBERTOH"/>
        <s v="KAMARA"/>
        <s v="MARGARET NASSOLO"/>
        <s v="NDAGIRE AGNES"/>
        <s v="ROBERT ESSUON"/>
        <s v="SABO MIKE"/>
        <s v="JOSEPH MUTIE"/>
        <s v="NASSAMULA JOSEPHINE"/>
        <s v="ARON NTULIZE"/>
        <s v="PRINCESS"/>
        <s v="WANDA FORTUNATE"/>
        <s v="JOHN NJOROGE"/>
        <s v="VITALIS KOECH"/>
        <s v="EL-MAJID SWALEH"/>
        <s v="CHERUIYOT JULIUS"/>
        <s v="DANIEL ERABU"/>
        <s v="JULIUS K CHERUIYOT"/>
        <s v="MAHAMADOU MAMANE"/>
        <s v="CHRISTOPHER MARK MODI"/>
        <s v="THIS IS LINUS SANKEI"/>
        <s v="DEUS NABIBASA"/>
        <s v="ISAAC OGWANG"/>
        <s v="JAMES KAYONGO"/>
        <s v="MERGED AUDIO"/>
        <s v="SIMONPETER OUMA"/>
        <s v="OWEKA WELL-BORN"/>
        <s v="TINDERET SUGARBELT"/>
        <s v="ISINGOMA MAURICE"/>
        <s v="JOSEPH SAMILA"/>
        <s v="MORIBA KOROMA"/>
        <s v="PETET KOROMA"/>
        <s v="ERIK"/>
        <s v="HELLEN ARIMPA"/>
        <s v="IZARUKU RONALD"/>
        <s v="KANANURA GASTON"/>
        <s v="ODUTI SAVIOUR"/>
        <s v="ROBERT MAKUBS"/>
        <s v="ONE MAN"/>
        <s v="TIMOTENGINEERING LIMITED"/>
        <s v="CHANDIA FRED"/>
        <s v="FIDELIS AMWEENYE"/>
        <s v="KAMARA MOHAMED SALLU"/>
        <s v="MOHAMED DIXON KABIA/INTERNATIONAL/SIERRALEONE/BRAC"/>
        <s v="IBRAHIM JALLOH"/>
        <s v="BIRUNGI'S AI NOTETAKER"/>
        <s v="RWARU@YAHOO.COM"/>
        <s v="JIMMY AKENA KAMUNDA"/>
        <s v="LIZJOS AGENCIES"/>
        <s v="GOOD LORD"/>
        <s v="HUGUES GAKWAVU"/>
        <s v="RAMATA M KEITA"/>
      </sharedItems>
    </cacheField>
    <cacheField name="Attendance Started at" numFmtId="19">
      <sharedItems containsSemiMixedTypes="0" containsNonDate="0" containsDate="1" containsString="0" minDate="1899-12-30T00:00:00" maxDate="1899-12-30T20:42:52"/>
    </cacheField>
    <cacheField name="Joined at(beta)" numFmtId="19">
      <sharedItems containsSemiMixedTypes="0" containsNonDate="0" containsDate="1" containsString="0" minDate="1899-12-30T20:06:48" maxDate="1899-12-30T23:07:41"/>
    </cacheField>
    <cacheField name="Attendance Stopped at" numFmtId="19">
      <sharedItems containsSemiMixedTypes="0" containsNonDate="0" containsDate="1" containsString="0" minDate="1899-12-30T22:04:52" maxDate="1899-12-30T23:45:34"/>
    </cacheField>
    <cacheField name="Attended Duration" numFmtId="0">
      <sharedItems/>
    </cacheField>
    <cacheField name="Meeting code" numFmtId="0">
      <sharedItems/>
    </cacheField>
    <cacheField name="DAYS" numFmtId="0">
      <sharedItems containsSemiMixedTypes="0" containsString="0" containsNumber="1" containsInteger="1" minValue="1" maxValue="36" count="36"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DURATION" numFmtId="46">
      <sharedItems containsSemiMixedTypes="0" containsNonDate="0" containsDate="1" containsString="0" minDate="1899-12-30T01:23:25" maxDate="1899-12-30T22:23:06"/>
    </cacheField>
    <cacheField name="AVERAGE DURATION" numFmtId="46">
      <sharedItems containsSemiMixedTypes="0" containsNonDate="0" containsDate="1" containsString="0" minDate="1899-12-30T01:53:35" maxDate="1899-12-30T02:15:59"/>
    </cacheField>
    <cacheField name="START SESSIONS" numFmtId="0">
      <sharedItems containsSemiMixedTypes="0" containsString="0" containsNumber="1" containsInteger="1" minValue="0" maxValue="1"/>
    </cacheField>
    <cacheField name="END SESSION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n v="1"/>
    <s v="AMARA BAJAHA"/>
    <d v="1899-12-30T20:38:11"/>
    <d v="1899-12-30T22:23:00"/>
    <d v="1899-12-30T22:51:02"/>
    <s v="15 min 11s"/>
    <s v="qko-gvfr-grx"/>
    <x v="0"/>
    <d v="1899-12-30T02:12:51"/>
    <d v="1899-12-30T02:03:07"/>
    <n v="0"/>
    <n v="1"/>
  </r>
  <r>
    <n v="2"/>
    <s v="ANGULA ROSAMUNDE"/>
    <d v="1899-12-30T20:38:11"/>
    <d v="1899-12-30T20:38:14"/>
    <d v="1899-12-30T22:51:02"/>
    <s v="2 hr 12 min 45s"/>
    <s v="qko-gvfr-grx"/>
    <x v="0"/>
    <d v="1899-12-30T02:12:51"/>
    <d v="1899-12-30T02:03:06"/>
    <n v="0"/>
    <n v="1"/>
  </r>
  <r>
    <n v="3"/>
    <s v="ANTHONY GODSON AIDOO"/>
    <d v="1899-12-30T20:38:11"/>
    <d v="1899-12-30T20:38:14"/>
    <d v="1899-12-30T22:51:02"/>
    <s v="2 hr 12 min 40s"/>
    <s v="qko-gvfr-grx"/>
    <x v="0"/>
    <d v="1899-12-30T02:12:51"/>
    <d v="1899-12-30T02:03:06"/>
    <n v="0"/>
    <n v="1"/>
  </r>
  <r>
    <n v="4"/>
    <s v="AZEDRIS JAMIL KASANGO"/>
    <d v="1899-12-30T20:38:11"/>
    <d v="1899-12-30T22:23:00"/>
    <d v="1899-12-30T22:51:02"/>
    <s v="28 min 3s"/>
    <s v="qko-gvfr-grx"/>
    <x v="0"/>
    <d v="1899-12-30T02:12:51"/>
    <d v="1899-12-30T02:03:05"/>
    <n v="0"/>
    <n v="1"/>
  </r>
  <r>
    <n v="5"/>
    <s v="CHERUU JUL"/>
    <d v="1899-12-30T20:38:11"/>
    <d v="1899-12-30T22:23:00"/>
    <d v="1899-12-30T22:51:02"/>
    <s v="17 min 38s"/>
    <s v="qko-gvfr-grx"/>
    <x v="0"/>
    <d v="1899-12-30T02:12:51"/>
    <d v="1899-12-30T02:03:05"/>
    <n v="0"/>
    <n v="1"/>
  </r>
  <r>
    <n v="6"/>
    <s v="GODFREY BIRUNGI"/>
    <d v="1899-12-30T20:38:11"/>
    <d v="1899-12-30T20:38:14"/>
    <d v="1899-12-30T22:51:02"/>
    <s v="2 hr 12 min 46s"/>
    <s v="qko-gvfr-grx"/>
    <x v="0"/>
    <d v="1899-12-30T02:12:51"/>
    <d v="1899-12-30T02:03:05"/>
    <n v="0"/>
    <n v="1"/>
  </r>
  <r>
    <n v="7"/>
    <s v="JOHN RWARU"/>
    <d v="1899-12-30T20:38:11"/>
    <d v="1899-12-30T20:38:14"/>
    <d v="1899-12-30T22:51:02"/>
    <s v="1 hr 44 min 43s"/>
    <s v="qko-gvfr-grx"/>
    <x v="0"/>
    <d v="1899-12-30T02:12:51"/>
    <d v="1899-12-30T02:03:04"/>
    <n v="0"/>
    <n v="1"/>
  </r>
  <r>
    <n v="8"/>
    <s v="KAMAU RUTH"/>
    <d v="1899-12-30T20:38:11"/>
    <d v="1899-12-30T20:38:14"/>
    <d v="1899-12-30T22:51:02"/>
    <s v="2 hr 12 min 39s"/>
    <s v="qko-gvfr-grx"/>
    <x v="0"/>
    <d v="1899-12-30T02:12:51"/>
    <d v="1899-12-30T02:03:04"/>
    <n v="0"/>
    <n v="1"/>
  </r>
  <r>
    <n v="9"/>
    <s v="MARTIN LEMI"/>
    <d v="1899-12-30T20:38:11"/>
    <d v="1899-12-30T20:38:14"/>
    <d v="1899-12-30T22:51:02"/>
    <s v="2 hr 12 min 46s"/>
    <s v="qko-gvfr-grx"/>
    <x v="0"/>
    <d v="1899-12-30T02:12:51"/>
    <d v="1899-12-30T02:03:03"/>
    <n v="0"/>
    <n v="1"/>
  </r>
  <r>
    <n v="10"/>
    <s v="MOHAMED SALLY KAMARA"/>
    <d v="1899-12-30T20:38:11"/>
    <d v="1899-12-30T20:38:14"/>
    <d v="1899-12-30T22:51:02"/>
    <s v="1 hr 58 min 27s"/>
    <s v="qko-gvfr-grx"/>
    <x v="0"/>
    <d v="1899-12-30T02:12:51"/>
    <d v="1899-12-30T02:03:03"/>
    <n v="0"/>
    <n v="1"/>
  </r>
  <r>
    <n v="11"/>
    <s v="OCI GEOFFREY"/>
    <d v="1899-12-30T20:38:11"/>
    <d v="1899-12-30T22:23:00"/>
    <d v="1899-12-30T22:51:02"/>
    <s v="25 min 23s"/>
    <s v="qko-gvfr-grx"/>
    <x v="0"/>
    <d v="1899-12-30T02:12:51"/>
    <d v="1899-12-30T02:03:02"/>
    <n v="0"/>
    <n v="1"/>
  </r>
  <r>
    <n v="12"/>
    <s v="YANGA SAMSON"/>
    <d v="1899-12-30T20:38:11"/>
    <d v="1899-12-30T22:23:00"/>
    <d v="1899-12-30T22:51:02"/>
    <s v="27 min 51s"/>
    <s v="qko-gvfr-grx"/>
    <x v="0"/>
    <d v="1899-12-30T02:12:51"/>
    <d v="1899-12-30T02:03:02"/>
    <n v="0"/>
    <n v="1"/>
  </r>
  <r>
    <n v="1"/>
    <s v="ALEX MUHEREZA"/>
    <d v="1899-12-30T20:41:24"/>
    <d v="1899-12-30T20:41:27"/>
    <d v="1899-12-30T23:05:28"/>
    <s v="2 hr 14 min 23s"/>
    <s v="bvm-hrrr-qjc"/>
    <x v="1"/>
    <d v="1899-12-30T02:24:04"/>
    <d v="1899-12-30T02:03:02"/>
    <n v="0"/>
    <n v="1"/>
  </r>
  <r>
    <n v="2"/>
    <s v="AMARA BAJAHA"/>
    <d v="1899-12-30T20:41:24"/>
    <d v="1899-12-30T20:41:27"/>
    <d v="1899-12-30T23:05:28"/>
    <s v="2 hr 14 min 23s"/>
    <s v="bvm-hrrr-qjc"/>
    <x v="1"/>
    <d v="1899-12-30T02:24:04"/>
    <d v="1899-12-30T02:03:01"/>
    <n v="0"/>
    <n v="1"/>
  </r>
  <r>
    <n v="3"/>
    <s v="ANGULA ROSAMUNDE"/>
    <d v="1899-12-30T20:41:24"/>
    <d v="1899-12-30T20:41:27"/>
    <d v="1899-12-30T23:05:28"/>
    <s v="2 hr 23 min 26s"/>
    <s v="bvm-hrrr-qjc"/>
    <x v="1"/>
    <d v="1899-12-30T02:24:04"/>
    <d v="1899-12-30T02:03:00"/>
    <n v="0"/>
    <n v="1"/>
  </r>
  <r>
    <n v="4"/>
    <s v="ANTHONY GODSON AIDOO"/>
    <d v="1899-12-30T20:41:24"/>
    <d v="1899-12-30T20:41:27"/>
    <d v="1899-12-30T23:05:28"/>
    <s v="2 hr 23 min 26s"/>
    <s v="bvm-hrrr-qjc"/>
    <x v="1"/>
    <d v="1899-12-30T02:24:04"/>
    <d v="1899-12-30T02:02:59"/>
    <n v="0"/>
    <n v="1"/>
  </r>
  <r>
    <n v="5"/>
    <s v="AZEDRIS JAMIL KASANGO"/>
    <d v="1899-12-30T20:41:24"/>
    <d v="1899-12-30T22:56:12"/>
    <d v="1899-12-30T23:05:28"/>
    <s v="9 min 0s"/>
    <s v="bvm-hrrr-qjc"/>
    <x v="1"/>
    <d v="1899-12-30T02:24:04"/>
    <d v="1899-12-30T02:02:58"/>
    <n v="0"/>
    <n v="1"/>
  </r>
  <r>
    <n v="6"/>
    <s v="BENJAMIN MALES LOKOYA"/>
    <d v="1899-12-30T20:41:24"/>
    <d v="1899-12-30T20:41:27"/>
    <d v="1899-12-30T23:05:28"/>
    <s v="2 hr 14 min 23s"/>
    <s v="bvm-hrrr-qjc"/>
    <x v="1"/>
    <d v="1899-12-30T02:24:04"/>
    <d v="1899-12-30T02:02:57"/>
    <n v="0"/>
    <n v="1"/>
  </r>
  <r>
    <n v="7"/>
    <s v="CHERUU JUL"/>
    <d v="1899-12-30T20:41:24"/>
    <d v="1899-12-30T20:41:27"/>
    <d v="1899-12-30T23:05:28"/>
    <s v="2 hr 14 min 23s"/>
    <s v="bvm-hrrr-qjc"/>
    <x v="1"/>
    <d v="1899-12-30T02:24:04"/>
    <d v="1899-12-30T02:02:56"/>
    <n v="0"/>
    <n v="1"/>
  </r>
  <r>
    <n v="8"/>
    <s v="EMMANUEL JOBS"/>
    <d v="1899-12-30T20:41:24"/>
    <d v="1899-12-30T20:41:27"/>
    <d v="1899-12-30T23:05:28"/>
    <s v="2 hr 14 min 23s"/>
    <s v="bvm-hrrr-qjc"/>
    <x v="1"/>
    <d v="1899-12-30T02:24:04"/>
    <d v="1899-12-30T02:02:55"/>
    <n v="0"/>
    <n v="1"/>
  </r>
  <r>
    <n v="9"/>
    <s v="GEOFFREY OYET"/>
    <d v="1899-12-30T20:41:24"/>
    <d v="1899-12-30T20:41:27"/>
    <d v="1899-12-30T23:05:28"/>
    <s v="2 hr 14 min 23s"/>
    <s v="bvm-hrrr-qjc"/>
    <x v="1"/>
    <d v="1899-12-30T02:24:04"/>
    <d v="1899-12-30T02:02:54"/>
    <n v="0"/>
    <n v="1"/>
  </r>
  <r>
    <n v="10"/>
    <s v="GODFREY BIRUNGI"/>
    <d v="1899-12-30T20:41:24"/>
    <d v="1899-12-30T20:41:27"/>
    <d v="1899-12-30T23:05:28"/>
    <s v="2 hr 23 min 35s"/>
    <s v="bvm-hrrr-qjc"/>
    <x v="1"/>
    <d v="1899-12-30T02:24:04"/>
    <d v="1899-12-30T02:02:53"/>
    <n v="0"/>
    <n v="1"/>
  </r>
  <r>
    <n v="11"/>
    <s v="GODFREY'S NOTETAKER"/>
    <d v="1899-12-30T20:41:24"/>
    <d v="1899-12-30T20:41:27"/>
    <d v="1899-12-30T23:05:28"/>
    <s v="2 hr 14 min 23s"/>
    <s v="bvm-hrrr-qjc"/>
    <x v="1"/>
    <d v="1899-12-30T02:24:04"/>
    <d v="1899-12-30T02:02:52"/>
    <n v="0"/>
    <n v="1"/>
  </r>
  <r>
    <n v="12"/>
    <s v="JOHN RWARU"/>
    <d v="1899-12-30T20:41:24"/>
    <d v="1899-12-30T20:41:27"/>
    <d v="1899-12-30T23:05:28"/>
    <s v="2 hr 23 min 24s"/>
    <s v="bvm-hrrr-qjc"/>
    <x v="1"/>
    <d v="1899-12-30T02:24:04"/>
    <d v="1899-12-30T02:02:51"/>
    <n v="0"/>
    <n v="1"/>
  </r>
  <r>
    <n v="13"/>
    <s v="JOSEPH MBOGO"/>
    <d v="1899-12-30T20:41:24"/>
    <d v="1899-12-30T20:41:27"/>
    <d v="1899-12-30T23:05:28"/>
    <s v="2 hr 14 min 23s"/>
    <s v="bvm-hrrr-qjc"/>
    <x v="1"/>
    <d v="1899-12-30T02:24:04"/>
    <d v="1899-12-30T02:02:51"/>
    <n v="0"/>
    <n v="1"/>
  </r>
  <r>
    <n v="14"/>
    <s v="KAMAU RUTH"/>
    <d v="1899-12-30T20:41:24"/>
    <d v="1899-12-30T20:41:27"/>
    <d v="1899-12-30T23:05:28"/>
    <s v="2 hr 23 min 28s"/>
    <s v="bvm-hrrr-qjc"/>
    <x v="1"/>
    <d v="1899-12-30T02:24:04"/>
    <d v="1899-12-30T02:02:50"/>
    <n v="0"/>
    <n v="1"/>
  </r>
  <r>
    <n v="15"/>
    <s v="KIIR ABIEM"/>
    <d v="1899-12-30T20:41:24"/>
    <d v="1899-12-30T20:41:27"/>
    <d v="1899-12-30T23:05:28"/>
    <s v="2 hr 14 min 23s"/>
    <s v="bvm-hrrr-qjc"/>
    <x v="1"/>
    <d v="1899-12-30T02:24:04"/>
    <d v="1899-12-30T02:02:49"/>
    <n v="0"/>
    <n v="1"/>
  </r>
  <r>
    <n v="16"/>
    <s v="LINUS SANKEI"/>
    <d v="1899-12-30T20:41:24"/>
    <d v="1899-12-30T20:41:27"/>
    <d v="1899-12-30T23:05:28"/>
    <s v="2 hr 23 min 35s"/>
    <s v="bvm-hrrr-qjc"/>
    <x v="1"/>
    <d v="1899-12-30T02:24:04"/>
    <d v="1899-12-30T02:02:48"/>
    <n v="0"/>
    <n v="1"/>
  </r>
  <r>
    <n v="17"/>
    <s v="MARTIN LEMI"/>
    <d v="1899-12-30T20:41:24"/>
    <d v="1899-12-30T20:41:27"/>
    <d v="1899-12-30T23:05:28"/>
    <s v="2 hr 23 min 33s"/>
    <s v="bvm-hrrr-qjc"/>
    <x v="1"/>
    <d v="1899-12-30T02:24:04"/>
    <d v="1899-12-30T02:02:47"/>
    <n v="0"/>
    <n v="1"/>
  </r>
  <r>
    <n v="18"/>
    <s v="MILDRED DRUSILA"/>
    <d v="1899-12-30T20:41:24"/>
    <d v="1899-12-30T22:56:12"/>
    <d v="1899-12-30T23:05:28"/>
    <s v="9 min 12s"/>
    <s v="bvm-hrrr-qjc"/>
    <x v="1"/>
    <d v="1899-12-30T02:24:04"/>
    <d v="1899-12-30T02:02:46"/>
    <n v="0"/>
    <n v="1"/>
  </r>
  <r>
    <n v="19"/>
    <s v="MOHAMED SALLY KAMARA"/>
    <d v="1899-12-30T20:41:24"/>
    <d v="1899-12-30T20:41:27"/>
    <d v="1899-12-30T23:05:28"/>
    <s v="2 hr 22 min 48s"/>
    <s v="bvm-hrrr-qjc"/>
    <x v="1"/>
    <d v="1899-12-30T02:24:04"/>
    <d v="1899-12-30T02:02:45"/>
    <n v="0"/>
    <n v="1"/>
  </r>
  <r>
    <n v="20"/>
    <s v="MOZE KEYZ"/>
    <d v="1899-12-30T20:41:24"/>
    <d v="1899-12-30T20:41:27"/>
    <d v="1899-12-30T23:05:28"/>
    <s v="2 hr 14 min 23s"/>
    <s v="bvm-hrrr-qjc"/>
    <x v="1"/>
    <d v="1899-12-30T02:24:04"/>
    <d v="1899-12-30T02:02:44"/>
    <n v="0"/>
    <n v="1"/>
  </r>
  <r>
    <n v="21"/>
    <s v="OCI GEOFFREY"/>
    <d v="1899-12-30T20:41:24"/>
    <d v="1899-12-30T20:41:27"/>
    <d v="1899-12-30T23:05:28"/>
    <s v="2 hr 23 min 24s"/>
    <s v="bvm-hrrr-qjc"/>
    <x v="1"/>
    <d v="1899-12-30T02:24:04"/>
    <d v="1899-12-30T02:02:43"/>
    <n v="0"/>
    <n v="1"/>
  </r>
  <r>
    <n v="22"/>
    <s v="OMELLA OWEN"/>
    <d v="1899-12-30T20:41:24"/>
    <d v="1899-12-30T20:41:27"/>
    <d v="1899-12-30T23:05:28"/>
    <s v="2 hr 14 min 23s"/>
    <s v="bvm-hrrr-qjc"/>
    <x v="1"/>
    <d v="1899-12-30T02:24:04"/>
    <d v="1899-12-30T02:02:42"/>
    <n v="0"/>
    <n v="1"/>
  </r>
  <r>
    <n v="23"/>
    <s v="PRINCESS MAJOLA"/>
    <d v="1899-12-30T20:41:24"/>
    <d v="1899-12-30T20:41:27"/>
    <d v="1899-12-30T23:05:28"/>
    <s v="2 hr 16 min 22s"/>
    <s v="bvm-hrrr-qjc"/>
    <x v="1"/>
    <d v="1899-12-30T02:24:04"/>
    <d v="1899-12-30T02:02:41"/>
    <n v="0"/>
    <n v="1"/>
  </r>
  <r>
    <n v="24"/>
    <s v="RTN JOSES KAYUNGA"/>
    <d v="1899-12-30T20:41:24"/>
    <d v="1899-12-30T20:41:27"/>
    <d v="1899-12-30T23:05:28"/>
    <s v="2 hr 14 min 23s"/>
    <s v="bvm-hrrr-qjc"/>
    <x v="1"/>
    <d v="1899-12-30T02:24:04"/>
    <d v="1899-12-30T02:02:40"/>
    <n v="0"/>
    <n v="1"/>
  </r>
  <r>
    <n v="25"/>
    <s v="SARAH NAKAMATTE"/>
    <d v="1899-12-30T20:41:24"/>
    <d v="1899-12-30T20:41:27"/>
    <d v="1899-12-30T23:05:28"/>
    <s v="2 hr 14 min 23s"/>
    <s v="bvm-hrrr-qjc"/>
    <x v="1"/>
    <d v="1899-12-30T02:24:04"/>
    <d v="1899-12-30T02:02:39"/>
    <n v="0"/>
    <n v="1"/>
  </r>
  <r>
    <n v="26"/>
    <s v="YANGA SAMSON"/>
    <d v="1899-12-30T20:41:24"/>
    <d v="1899-12-30T20:41:27"/>
    <d v="1899-12-30T23:05:28"/>
    <s v="2 hr 14 min 23s"/>
    <s v="bvm-hrrr-qjc"/>
    <x v="1"/>
    <d v="1899-12-30T02:24:04"/>
    <d v="1899-12-30T02:02:38"/>
    <n v="0"/>
    <n v="1"/>
  </r>
  <r>
    <n v="27"/>
    <s v="YUSUPHA SEESAY"/>
    <d v="1899-12-30T20:41:24"/>
    <d v="1899-12-30T20:41:27"/>
    <d v="1899-12-30T23:05:28"/>
    <s v="2 hr 14 min 23s"/>
    <s v="bvm-hrrr-qjc"/>
    <x v="1"/>
    <d v="1899-12-30T02:24:04"/>
    <d v="1899-12-30T02:02:37"/>
    <n v="0"/>
    <n v="1"/>
  </r>
  <r>
    <n v="1"/>
    <s v="AMARA BAJAHA"/>
    <d v="1899-12-30T20:41:27"/>
    <d v="1899-12-30T20:41:30"/>
    <d v="1899-12-30T22:04:52"/>
    <s v="1 hr 23 min 20s"/>
    <s v="ijr-ghhn-krq"/>
    <x v="2"/>
    <d v="1899-12-30T01:23:25"/>
    <d v="1899-12-30T02:02:36"/>
    <n v="0"/>
    <n v="1"/>
  </r>
  <r>
    <n v="2"/>
    <s v="ANTHONY GODSON AIDOO"/>
    <d v="1899-12-30T20:41:27"/>
    <d v="1899-12-30T20:41:30"/>
    <d v="1899-12-30T22:04:52"/>
    <s v="1 hr 23 min 20s"/>
    <s v="ijr-ghhn-krq"/>
    <x v="2"/>
    <d v="1899-12-30T01:23:25"/>
    <d v="1899-12-30T02:02:38"/>
    <n v="0"/>
    <n v="1"/>
  </r>
  <r>
    <n v="3"/>
    <s v="BENJAMIN MALES LOKOYA"/>
    <d v="1899-12-30T20:41:27"/>
    <d v="1899-12-30T20:41:30"/>
    <d v="1899-12-30T22:04:52"/>
    <s v="1 hr 23 min 20s"/>
    <s v="ijr-ghhn-krq"/>
    <x v="2"/>
    <d v="1899-12-30T01:23:25"/>
    <d v="1899-12-30T02:02:40"/>
    <n v="0"/>
    <n v="1"/>
  </r>
  <r>
    <n v="4"/>
    <s v="CHRISTOPHER MODI"/>
    <d v="1899-12-30T20:41:27"/>
    <d v="1899-12-30T20:41:30"/>
    <d v="1899-12-30T22:04:52"/>
    <s v="1 hr 23 min 20s"/>
    <s v="ijr-ghhn-krq"/>
    <x v="2"/>
    <d v="1899-12-30T01:23:25"/>
    <d v="1899-12-30T02:02:42"/>
    <n v="0"/>
    <n v="1"/>
  </r>
  <r>
    <n v="5"/>
    <s v="EMMANUEL JOBS"/>
    <d v="1899-12-30T20:41:27"/>
    <d v="1899-12-30T20:41:30"/>
    <d v="1899-12-30T22:04:52"/>
    <s v="1 hr 23 min 20s"/>
    <s v="ijr-ghhn-krq"/>
    <x v="2"/>
    <d v="1899-12-30T01:23:25"/>
    <d v="1899-12-30T02:02:43"/>
    <n v="0"/>
    <n v="1"/>
  </r>
  <r>
    <n v="6"/>
    <s v="GODFREY BIRUNGI"/>
    <d v="1899-12-30T20:41:27"/>
    <d v="1899-12-30T20:41:30"/>
    <d v="1899-12-30T22:04:52"/>
    <s v="1 hr 23 min 20s"/>
    <s v="ijr-ghhn-krq"/>
    <x v="2"/>
    <d v="1899-12-30T01:23:25"/>
    <d v="1899-12-30T02:02:45"/>
    <n v="0"/>
    <n v="1"/>
  </r>
  <r>
    <n v="7"/>
    <s v="GODFREY'S NOTETAKER"/>
    <d v="1899-12-30T20:41:27"/>
    <d v="1899-12-30T20:41:30"/>
    <d v="1899-12-30T22:04:52"/>
    <s v="1 hr 23 min 20s"/>
    <s v="ijr-ghhn-krq"/>
    <x v="2"/>
    <d v="1899-12-30T01:23:25"/>
    <d v="1899-12-30T02:02:47"/>
    <n v="0"/>
    <n v="1"/>
  </r>
  <r>
    <n v="8"/>
    <s v="JOHN RWARU"/>
    <d v="1899-12-30T20:41:27"/>
    <d v="1899-12-30T20:41:30"/>
    <d v="1899-12-30T22:04:52"/>
    <s v="1 hr 23 min 20s"/>
    <s v="ijr-ghhn-krq"/>
    <x v="2"/>
    <d v="1899-12-30T01:23:25"/>
    <d v="1899-12-30T02:02:49"/>
    <n v="0"/>
    <n v="1"/>
  </r>
  <r>
    <n v="9"/>
    <s v="KAKOOZA GODFREY"/>
    <d v="1899-12-30T20:41:27"/>
    <d v="1899-12-30T20:41:30"/>
    <d v="1899-12-30T22:04:52"/>
    <s v="1 hr 23 min 20s"/>
    <s v="ijr-ghhn-krq"/>
    <x v="2"/>
    <d v="1899-12-30T01:23:25"/>
    <d v="1899-12-30T02:02:50"/>
    <n v="0"/>
    <n v="1"/>
  </r>
  <r>
    <n v="10"/>
    <s v="KIIR ABIEM"/>
    <d v="1899-12-30T20:41:27"/>
    <d v="1899-12-30T20:41:30"/>
    <d v="1899-12-30T22:04:52"/>
    <s v="1 hr 23 min 20s"/>
    <s v="ijr-ghhn-krq"/>
    <x v="2"/>
    <d v="1899-12-30T01:23:25"/>
    <d v="1899-12-30T02:02:52"/>
    <n v="0"/>
    <n v="1"/>
  </r>
  <r>
    <n v="11"/>
    <s v="LINUS SANKEI"/>
    <d v="1899-12-30T20:41:27"/>
    <d v="1899-12-30T20:41:30"/>
    <d v="1899-12-30T22:04:52"/>
    <s v="1 hr 23 min 20s"/>
    <s v="ijr-ghhn-krq"/>
    <x v="2"/>
    <d v="1899-12-30T01:23:25"/>
    <d v="1899-12-30T02:02:54"/>
    <n v="0"/>
    <n v="1"/>
  </r>
  <r>
    <n v="12"/>
    <s v="MARTIN LEMI"/>
    <d v="1899-12-30T20:41:27"/>
    <d v="1899-12-30T20:41:30"/>
    <d v="1899-12-30T22:04:52"/>
    <s v="1 hr 23 min 20s"/>
    <s v="ijr-ghhn-krq"/>
    <x v="2"/>
    <d v="1899-12-30T01:23:25"/>
    <d v="1899-12-30T02:02:56"/>
    <n v="0"/>
    <n v="1"/>
  </r>
  <r>
    <n v="13"/>
    <s v="MARY NAMUKOKO"/>
    <d v="1899-12-30T20:41:27"/>
    <d v="1899-12-30T20:41:30"/>
    <d v="1899-12-30T22:04:52"/>
    <s v="1 hr 23 min 20s"/>
    <s v="ijr-ghhn-krq"/>
    <x v="2"/>
    <d v="1899-12-30T01:23:25"/>
    <d v="1899-12-30T02:02:57"/>
    <n v="0"/>
    <n v="1"/>
  </r>
  <r>
    <n v="14"/>
    <s v="MILDRED DRUSILA"/>
    <d v="1899-12-30T20:41:27"/>
    <d v="1899-12-30T20:41:30"/>
    <d v="1899-12-30T22:04:52"/>
    <s v="1 hr 23 min 20s"/>
    <s v="ijr-ghhn-krq"/>
    <x v="2"/>
    <d v="1899-12-30T01:23:25"/>
    <d v="1899-12-30T02:02:59"/>
    <n v="0"/>
    <n v="1"/>
  </r>
  <r>
    <n v="15"/>
    <s v="OCI GEOFFREY"/>
    <d v="1899-12-30T20:41:27"/>
    <d v="1899-12-30T20:41:30"/>
    <d v="1899-12-30T22:04:52"/>
    <s v="1 hr 23 min 20s"/>
    <s v="ijr-ghhn-krq"/>
    <x v="2"/>
    <d v="1899-12-30T01:23:25"/>
    <d v="1899-12-30T02:03:01"/>
    <n v="0"/>
    <n v="1"/>
  </r>
  <r>
    <n v="16"/>
    <s v="OMELLA OWEN"/>
    <d v="1899-12-30T20:41:27"/>
    <d v="1899-12-30T20:41:30"/>
    <d v="1899-12-30T22:04:52"/>
    <s v="1 hr 23 min 20s"/>
    <s v="ijr-ghhn-krq"/>
    <x v="2"/>
    <d v="1899-12-30T01:23:25"/>
    <d v="1899-12-30T02:03:03"/>
    <n v="0"/>
    <n v="1"/>
  </r>
  <r>
    <n v="17"/>
    <s v="ONESMUS KORIR"/>
    <d v="1899-12-30T20:41:27"/>
    <d v="1899-12-30T20:41:30"/>
    <d v="1899-12-30T22:04:52"/>
    <s v="1 hr 23 min 20s"/>
    <s v="ijr-ghhn-krq"/>
    <x v="2"/>
    <d v="1899-12-30T01:23:25"/>
    <d v="1899-12-30T02:03:05"/>
    <n v="0"/>
    <n v="1"/>
  </r>
  <r>
    <n v="18"/>
    <s v="PRINCESS MAJOLA"/>
    <d v="1899-12-30T20:41:27"/>
    <d v="1899-12-30T20:41:30"/>
    <d v="1899-12-30T22:04:52"/>
    <s v="1 hr 23 min 20s"/>
    <s v="ijr-ghhn-krq"/>
    <x v="2"/>
    <d v="1899-12-30T01:23:25"/>
    <d v="1899-12-30T02:03:06"/>
    <n v="0"/>
    <n v="1"/>
  </r>
  <r>
    <n v="1"/>
    <s v="AMARA BAJAHA"/>
    <d v="1899-12-30T20:35:42"/>
    <d v="1899-12-30T21:36:11"/>
    <d v="1899-12-30T22:53:56"/>
    <s v="1 hr 15 min 37s"/>
    <s v="mig-ququ-qez"/>
    <x v="3"/>
    <d v="1899-12-30T02:18:14"/>
    <d v="1899-12-30T02:03:08"/>
    <n v="0"/>
    <n v="1"/>
  </r>
  <r>
    <n v="2"/>
    <s v="ANGULA ROSAMUNDE"/>
    <d v="1899-12-30T20:35:42"/>
    <d v="1899-12-30T21:36:11"/>
    <d v="1899-12-30T22:53:56"/>
    <s v="1 hr 17 min 46s"/>
    <s v="mig-ququ-qez"/>
    <x v="3"/>
    <d v="1899-12-30T02:18:14"/>
    <d v="1899-12-30T02:03:07"/>
    <n v="0"/>
    <n v="1"/>
  </r>
  <r>
    <n v="3"/>
    <s v="ANTHONY GODSON AIDOO"/>
    <d v="1899-12-30T20:35:42"/>
    <d v="1899-12-30T21:36:11"/>
    <d v="1899-12-30T22:53:56"/>
    <s v="1 hr 17 min 45s"/>
    <s v="mig-ququ-qez"/>
    <x v="3"/>
    <d v="1899-12-30T02:18:14"/>
    <d v="1899-12-30T02:03:07"/>
    <n v="0"/>
    <n v="1"/>
  </r>
  <r>
    <n v="4"/>
    <s v="AZEDRIS JAMIL KASANGO"/>
    <d v="1899-12-30T20:35:42"/>
    <d v="1899-12-30T21:36:11"/>
    <d v="1899-12-30T22:53:56"/>
    <s v="1 hr 17 min 29s"/>
    <s v="mig-ququ-qez"/>
    <x v="3"/>
    <d v="1899-12-30T02:18:14"/>
    <d v="1899-12-30T02:03:06"/>
    <n v="0"/>
    <n v="1"/>
  </r>
  <r>
    <n v="5"/>
    <s v="BENJAMIN MALES LOKOYA"/>
    <d v="1899-12-30T20:35:42"/>
    <d v="1899-12-30T21:36:11"/>
    <d v="1899-12-30T22:53:56"/>
    <s v="57 min 47s"/>
    <s v="mig-ququ-qez"/>
    <x v="3"/>
    <d v="1899-12-30T02:18:14"/>
    <d v="1899-12-30T02:03:05"/>
    <n v="0"/>
    <n v="1"/>
  </r>
  <r>
    <n v="6"/>
    <s v="CHERUU JUL"/>
    <d v="1899-12-30T20:35:42"/>
    <d v="1899-12-30T20:35:45"/>
    <d v="1899-12-30T22:53:56"/>
    <s v="1 hr 56 min 55s"/>
    <s v="mig-ququ-qez"/>
    <x v="3"/>
    <d v="1899-12-30T02:18:14"/>
    <d v="1899-12-30T02:03:05"/>
    <n v="0"/>
    <n v="1"/>
  </r>
  <r>
    <n v="7"/>
    <s v="CHRISTINA MOTHOBI"/>
    <d v="1899-12-30T20:35:42"/>
    <d v="1899-12-30T20:35:45"/>
    <d v="1899-12-30T22:53:56"/>
    <s v="1 hr 0 min 18s"/>
    <s v="mig-ququ-qez"/>
    <x v="3"/>
    <d v="1899-12-30T02:18:14"/>
    <d v="1899-12-30T02:03:04"/>
    <n v="0"/>
    <n v="1"/>
  </r>
  <r>
    <n v="8"/>
    <s v="EMMANUEL JOBS"/>
    <d v="1899-12-30T20:35:42"/>
    <d v="1899-12-30T20:35:45"/>
    <d v="1899-12-30T22:53:56"/>
    <s v="1 hr 44 min 5s"/>
    <s v="mig-ququ-qez"/>
    <x v="3"/>
    <d v="1899-12-30T02:18:14"/>
    <d v="1899-12-30T02:03:03"/>
    <n v="0"/>
    <n v="1"/>
  </r>
  <r>
    <n v="9"/>
    <s v="GEOFFREY OYET"/>
    <d v="1899-12-30T20:35:42"/>
    <d v="1899-12-30T21:36:11"/>
    <d v="1899-12-30T22:53:56"/>
    <s v="1 hr 17 min 46s"/>
    <s v="mig-ququ-qez"/>
    <x v="3"/>
    <d v="1899-12-30T02:18:14"/>
    <d v="1899-12-30T02:03:03"/>
    <n v="0"/>
    <n v="1"/>
  </r>
  <r>
    <n v="10"/>
    <s v="GODFREY BIRUNGI"/>
    <d v="1899-12-30T20:35:42"/>
    <d v="1899-12-30T20:35:45"/>
    <d v="1899-12-30T22:53:56"/>
    <s v="2 hr 18 min 4s"/>
    <s v="mig-ququ-qez"/>
    <x v="3"/>
    <d v="1899-12-30T02:18:14"/>
    <d v="1899-12-30T02:03:02"/>
    <n v="0"/>
    <n v="1"/>
  </r>
  <r>
    <n v="11"/>
    <s v="GODFREY'S NOTETAKER"/>
    <d v="1899-12-30T20:35:42"/>
    <d v="1899-12-30T20:35:45"/>
    <d v="1899-12-30T22:53:56"/>
    <s v="1 hr 0 min 18s"/>
    <s v="mig-ququ-qez"/>
    <x v="3"/>
    <d v="1899-12-30T02:18:14"/>
    <d v="1899-12-30T02:03:01"/>
    <n v="0"/>
    <n v="1"/>
  </r>
  <r>
    <n v="12"/>
    <s v="JOHN RWARU"/>
    <d v="1899-12-30T20:35:42"/>
    <d v="1899-12-30T20:35:45"/>
    <d v="1899-12-30T22:53:56"/>
    <s v="2 hr 18 min 4s"/>
    <s v="mig-ququ-qez"/>
    <x v="3"/>
    <d v="1899-12-30T02:18:14"/>
    <d v="1899-12-30T02:03:01"/>
    <n v="0"/>
    <n v="1"/>
  </r>
  <r>
    <n v="13"/>
    <s v="JOSEPH MBOGO"/>
    <d v="1899-12-30T20:35:42"/>
    <d v="1899-12-30T21:36:11"/>
    <d v="1899-12-30T22:53:56"/>
    <s v="1 hr 13 min 32s"/>
    <s v="mig-ququ-qez"/>
    <x v="3"/>
    <d v="1899-12-30T02:18:14"/>
    <d v="1899-12-30T02:03:00"/>
    <n v="0"/>
    <n v="1"/>
  </r>
  <r>
    <n v="14"/>
    <s v="KAMAU RUTH"/>
    <d v="1899-12-30T20:35:42"/>
    <d v="1899-12-30T20:35:45"/>
    <d v="1899-12-30T22:53:56"/>
    <s v="1 hr 30 min 16s"/>
    <s v="mig-ququ-qez"/>
    <x v="3"/>
    <d v="1899-12-30T02:18:14"/>
    <d v="1899-12-30T02:02:59"/>
    <n v="0"/>
    <n v="1"/>
  </r>
  <r>
    <n v="15"/>
    <s v="LINUS SANKEI"/>
    <d v="1899-12-30T20:35:42"/>
    <d v="1899-12-30T21:36:11"/>
    <d v="1899-12-30T22:53:56"/>
    <s v="1 hr 17 min 6s"/>
    <s v="mig-ququ-qez"/>
    <x v="3"/>
    <d v="1899-12-30T02:18:14"/>
    <d v="1899-12-30T02:02:59"/>
    <n v="0"/>
    <n v="1"/>
  </r>
  <r>
    <n v="16"/>
    <s v="MARTIN LEMI"/>
    <d v="1899-12-30T20:35:42"/>
    <d v="1899-12-30T21:36:11"/>
    <d v="1899-12-30T22:53:56"/>
    <s v="1 hr 17 min 44s"/>
    <s v="mig-ququ-qez"/>
    <x v="3"/>
    <d v="1899-12-30T02:18:14"/>
    <d v="1899-12-30T02:02:58"/>
    <n v="0"/>
    <n v="1"/>
  </r>
  <r>
    <n v="17"/>
    <s v="MARY NAMUKOKO"/>
    <d v="1899-12-30T20:35:42"/>
    <d v="1899-12-30T20:35:45"/>
    <d v="1899-12-30T22:53:56"/>
    <s v="1 hr 0 min 18s"/>
    <s v="mig-ququ-qez"/>
    <x v="3"/>
    <d v="1899-12-30T02:18:14"/>
    <d v="1899-12-30T02:02:57"/>
    <n v="0"/>
    <n v="1"/>
  </r>
  <r>
    <n v="18"/>
    <s v="MILDRED DRUSILA"/>
    <d v="1899-12-30T20:35:42"/>
    <d v="1899-12-30T21:36:11"/>
    <d v="1899-12-30T22:53:56"/>
    <s v="1 hr 17 min 46s"/>
    <s v="mig-ququ-qez"/>
    <x v="3"/>
    <d v="1899-12-30T02:18:14"/>
    <d v="1899-12-30T02:02:56"/>
    <n v="0"/>
    <n v="1"/>
  </r>
  <r>
    <n v="19"/>
    <s v="MR ADRAWA CHARLES YOUNG"/>
    <d v="1899-12-30T20:35:42"/>
    <d v="1899-12-30T20:35:45"/>
    <d v="1899-12-30T22:53:56"/>
    <s v="1 hr 0 min 18s"/>
    <s v="mig-ququ-qez"/>
    <x v="3"/>
    <d v="1899-12-30T02:18:14"/>
    <d v="1899-12-30T02:02:56"/>
    <n v="0"/>
    <n v="1"/>
  </r>
  <r>
    <n v="20"/>
    <s v="OCI GEOFFREY"/>
    <d v="1899-12-30T20:35:42"/>
    <d v="1899-12-30T20:35:45"/>
    <d v="1899-12-30T22:53:56"/>
    <s v="2 hr 17 min 53s"/>
    <s v="mig-ququ-qez"/>
    <x v="3"/>
    <d v="1899-12-30T02:18:14"/>
    <d v="1899-12-30T02:02:55"/>
    <n v="0"/>
    <n v="1"/>
  </r>
  <r>
    <n v="21"/>
    <s v="OMELLA OWEN"/>
    <d v="1899-12-30T20:35:42"/>
    <d v="1899-12-30T21:36:11"/>
    <d v="1899-12-30T22:53:56"/>
    <s v="22 min 56s"/>
    <s v="mig-ququ-qez"/>
    <x v="3"/>
    <d v="1899-12-30T02:18:14"/>
    <d v="1899-12-30T02:02:54"/>
    <n v="0"/>
    <n v="1"/>
  </r>
  <r>
    <n v="22"/>
    <s v="ONESMUS KORIR"/>
    <d v="1899-12-30T20:35:42"/>
    <d v="1899-12-30T20:35:45"/>
    <d v="1899-12-30T22:53:56"/>
    <s v="1 hr 39 min 1s"/>
    <s v="mig-ququ-qez"/>
    <x v="3"/>
    <d v="1899-12-30T02:18:14"/>
    <d v="1899-12-30T02:02:54"/>
    <n v="0"/>
    <n v="1"/>
  </r>
  <r>
    <n v="23"/>
    <s v="PRINCESS.MAJOLA"/>
    <d v="1899-12-30T20:35:42"/>
    <d v="1899-12-30T21:36:11"/>
    <d v="1899-12-30T22:53:56"/>
    <s v="1 hr 15 min 8s"/>
    <s v="mig-ququ-qez"/>
    <x v="3"/>
    <d v="1899-12-30T02:18:14"/>
    <d v="1899-12-30T02:02:53"/>
    <n v="0"/>
    <n v="1"/>
  </r>
  <r>
    <n v="24"/>
    <s v="RACHEAL KYALIMPA"/>
    <d v="1899-12-30T20:35:42"/>
    <d v="1899-12-30T21:36:11"/>
    <d v="1899-12-30T22:53:56"/>
    <s v="31 min 8s"/>
    <s v="mig-ququ-qez"/>
    <x v="3"/>
    <d v="1899-12-30T02:18:14"/>
    <d v="1899-12-30T02:02:52"/>
    <n v="0"/>
    <n v="1"/>
  </r>
  <r>
    <n v="25"/>
    <s v="ROBERT MAKUBUYA"/>
    <d v="1899-12-30T20:35:42"/>
    <d v="1899-12-30T21:36:11"/>
    <d v="1899-12-30T22:53:56"/>
    <s v="53 min 27s"/>
    <s v="mig-ququ-qez"/>
    <x v="3"/>
    <d v="1899-12-30T02:18:14"/>
    <d v="1899-12-30T02:02:52"/>
    <n v="0"/>
    <n v="1"/>
  </r>
  <r>
    <n v="26"/>
    <s v="RTN JOSES KAYUNGA"/>
    <d v="1899-12-30T20:35:42"/>
    <d v="1899-12-30T20:35:45"/>
    <d v="1899-12-30T22:53:56"/>
    <s v="2 hr 9 min 40s"/>
    <s v="mig-ququ-qez"/>
    <x v="3"/>
    <d v="1899-12-30T02:18:14"/>
    <d v="1899-12-30T02:02:51"/>
    <n v="0"/>
    <n v="1"/>
  </r>
  <r>
    <n v="27"/>
    <s v="SARAH NAKAMATTE"/>
    <d v="1899-12-30T20:35:42"/>
    <d v="1899-12-30T20:35:45"/>
    <d v="1899-12-30T22:53:56"/>
    <s v="1 hr 53 min 4s"/>
    <s v="mig-ququ-qez"/>
    <x v="3"/>
    <d v="1899-12-30T02:18:14"/>
    <d v="1899-12-30T02:02:50"/>
    <n v="0"/>
    <n v="1"/>
  </r>
  <r>
    <n v="28"/>
    <s v="TORY MOLS"/>
    <d v="1899-12-30T20:35:42"/>
    <d v="1899-12-30T21:36:11"/>
    <d v="1899-12-30T22:53:56"/>
    <s v="1 hr 17 min 46s"/>
    <s v="mig-ququ-qez"/>
    <x v="3"/>
    <d v="1899-12-30T02:18:14"/>
    <d v="1899-12-30T02:02:49"/>
    <n v="0"/>
    <n v="1"/>
  </r>
  <r>
    <n v="29"/>
    <s v="YANGA SAMSON"/>
    <d v="1899-12-30T20:35:42"/>
    <d v="1899-12-30T21:36:11"/>
    <d v="1899-12-30T22:53:56"/>
    <s v="18 min 33s"/>
    <s v="mig-ququ-qez"/>
    <x v="3"/>
    <d v="1899-12-30T02:18:14"/>
    <d v="1899-12-30T02:02:49"/>
    <n v="0"/>
    <n v="1"/>
  </r>
  <r>
    <n v="1"/>
    <s v="AMARA BAJAHA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2"/>
    <s v="ANGULA ROSAMUNDE"/>
    <d v="1899-12-30T20:42:52"/>
    <d v="1899-12-30T22:46:40"/>
    <d v="1899-12-30T22:46:51"/>
    <s v="0 min 2s"/>
    <s v="ezh-nfwk-fuu"/>
    <x v="4"/>
    <d v="1899-12-30T02:03:59"/>
    <d v="1899-12-30T02:02:48"/>
    <n v="0"/>
    <n v="1"/>
  </r>
  <r>
    <n v="3"/>
    <s v="ANTHONY GODSON AIDOO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4"/>
    <s v="BENJAMIN MALES LOKOYA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5"/>
    <s v="CHERUU JUL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6"/>
    <s v="CHRISTINA MOTHOBI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7"/>
    <s v="CPAJULIUS CHERUIYOT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8"/>
    <s v="GODFREY BIRUNGI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9"/>
    <s v="GODFREY'S NOTETAKER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10"/>
    <s v="JOHN RWARU"/>
    <d v="1899-12-30T20:42:52"/>
    <d v="1899-12-30T20:42:56"/>
    <d v="1899-12-30T22:46:51"/>
    <s v="2 hr 3 min 40s"/>
    <s v="ezh-nfwk-fuu"/>
    <x v="4"/>
    <d v="1899-12-30T02:03:59"/>
    <d v="1899-12-30T02:02:48"/>
    <n v="0"/>
    <n v="1"/>
  </r>
  <r>
    <n v="11"/>
    <s v="JOSEPH MBOGO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2"/>
    <s v="KAMAU RUTH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3"/>
    <s v="LINUS SANKEI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4"/>
    <s v="LOKOSE ABEL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5"/>
    <s v="MARTIN LEMI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6"/>
    <s v="MILDRED DRUSILA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7"/>
    <s v="MOHAMED KABIA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8"/>
    <s v="OCI GEOFFREY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9"/>
    <s v="OMELLA OWEN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0"/>
    <s v="PRINCESS MAJOLA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1"/>
    <s v="RACHEAL KYALIMPA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2"/>
    <s v="RODNEY MUKUNZI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3"/>
    <s v="RTN JOSES KAYUNGA"/>
    <d v="1899-12-30T20:42:52"/>
    <d v="1899-12-30T20:42:56"/>
    <d v="1899-12-30T22:46:51"/>
    <s v="0 min 22s"/>
    <s v="ezh-nfwk-fuu"/>
    <x v="4"/>
    <d v="1899-12-30T02:03:59"/>
    <d v="1899-12-30T02:02:47"/>
    <n v="0"/>
    <n v="1"/>
  </r>
  <r>
    <n v="24"/>
    <s v="SARAH NAKAMATTE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"/>
    <s v="AMARA BAJAHA"/>
    <d v="1899-12-30T20:36:31"/>
    <d v="1899-12-30T20:36:34"/>
    <d v="1899-12-30T22:10:45"/>
    <s v="1 hr 32 min 1s"/>
    <s v="syj-qorq-zij"/>
    <x v="5"/>
    <d v="1899-12-30T01:34:14"/>
    <d v="1899-12-30T02:02:47"/>
    <n v="0"/>
    <n v="1"/>
  </r>
  <r>
    <n v="2"/>
    <s v="ANGULA ROSAMUNDE"/>
    <d v="1899-12-30T20:36:31"/>
    <d v="1899-12-30T20:36:34"/>
    <d v="1899-12-30T22:10:45"/>
    <s v="1 hr 34 min 10s"/>
    <s v="syj-qorq-zij"/>
    <x v="5"/>
    <d v="1899-12-30T01:34:14"/>
    <d v="1899-12-30T02:02:48"/>
    <n v="0"/>
    <n v="1"/>
  </r>
  <r>
    <n v="3"/>
    <s v="ANTHONY GODSON AIDOO"/>
    <d v="1899-12-30T20:36:31"/>
    <d v="1899-12-30T20:45:25"/>
    <d v="1899-12-30T22:10:45"/>
    <s v="1 hr 25 min 19s"/>
    <s v="syj-qorq-zij"/>
    <x v="5"/>
    <d v="1899-12-30T01:34:14"/>
    <d v="1899-12-30T02:02:49"/>
    <n v="0"/>
    <n v="1"/>
  </r>
  <r>
    <n v="4"/>
    <s v="AZEDRIS JAMIL KASANGO"/>
    <d v="1899-12-30T20:36:31"/>
    <d v="1899-12-30T20:44:43"/>
    <d v="1899-12-30T22:10:45"/>
    <s v="1 hr 24 min 54s"/>
    <s v="syj-qorq-zij"/>
    <x v="5"/>
    <d v="1899-12-30T01:34:14"/>
    <d v="1899-12-30T02:02:51"/>
    <n v="0"/>
    <n v="1"/>
  </r>
  <r>
    <n v="5"/>
    <s v="CHERUU JUL"/>
    <d v="1899-12-30T20:36:31"/>
    <d v="1899-12-30T20:36:34"/>
    <d v="1899-12-30T22:10:45"/>
    <s v="1 hr 33 min 0s"/>
    <s v="syj-qorq-zij"/>
    <x v="5"/>
    <d v="1899-12-30T01:34:14"/>
    <d v="1899-12-30T02:02:52"/>
    <n v="0"/>
    <n v="1"/>
  </r>
  <r>
    <n v="6"/>
    <s v="CHRISTINA MOTHOBI"/>
    <d v="1899-12-30T20:36:31"/>
    <d v="1899-12-30T20:36:34"/>
    <d v="1899-12-30T22:10:45"/>
    <s v="22 min 12s"/>
    <s v="syj-qorq-zij"/>
    <x v="5"/>
    <d v="1899-12-30T01:34:14"/>
    <d v="1899-12-30T02:02:53"/>
    <n v="0"/>
    <n v="1"/>
  </r>
  <r>
    <n v="7"/>
    <s v="CHRISTOPHER MODI"/>
    <d v="1899-12-30T20:36:31"/>
    <d v="1899-12-30T20:36:34"/>
    <d v="1899-12-30T22:10:45"/>
    <s v="1 hr 22 min 39s"/>
    <s v="syj-qorq-zij"/>
    <x v="5"/>
    <d v="1899-12-30T01:34:14"/>
    <d v="1899-12-30T02:02:55"/>
    <n v="0"/>
    <n v="1"/>
  </r>
  <r>
    <n v="8"/>
    <s v="CPAJULIUS CHERUIYOT"/>
    <d v="1899-12-30T20:36:31"/>
    <d v="1899-12-30T20:36:34"/>
    <d v="1899-12-30T22:10:45"/>
    <s v="20 min 44s"/>
    <s v="syj-qorq-zij"/>
    <x v="5"/>
    <d v="1899-12-30T01:34:14"/>
    <d v="1899-12-30T02:02:56"/>
    <n v="0"/>
    <n v="1"/>
  </r>
  <r>
    <n v="9"/>
    <s v="DIMA JAMES"/>
    <d v="1899-12-30T20:36:31"/>
    <d v="1899-12-30T20:44:43"/>
    <d v="1899-12-30T22:10:45"/>
    <s v="1 hr 18 min 20s"/>
    <s v="syj-qorq-zij"/>
    <x v="5"/>
    <d v="1899-12-30T01:34:14"/>
    <d v="1899-12-30T02:02:57"/>
    <n v="0"/>
    <n v="1"/>
  </r>
  <r>
    <n v="10"/>
    <s v="GEOFFREY OYET"/>
    <d v="1899-12-30T20:36:31"/>
    <d v="1899-12-30T20:36:34"/>
    <d v="1899-12-30T22:10:45"/>
    <s v="1 hr 34 min 10s"/>
    <s v="syj-qorq-zij"/>
    <x v="5"/>
    <d v="1899-12-30T01:34:14"/>
    <d v="1899-12-30T02:02:59"/>
    <n v="0"/>
    <n v="1"/>
  </r>
  <r>
    <n v="11"/>
    <s v="GODFREY BIRUNGI"/>
    <d v="1899-12-30T20:36:31"/>
    <d v="1899-12-30T20:36:34"/>
    <d v="1899-12-30T22:10:45"/>
    <s v="1 hr 34 min 10s"/>
    <s v="syj-qorq-zij"/>
    <x v="5"/>
    <d v="1899-12-30T01:34:14"/>
    <d v="1899-12-30T02:03:00"/>
    <n v="0"/>
    <n v="1"/>
  </r>
  <r>
    <n v="12"/>
    <s v="JACQUELINE NAMYALO"/>
    <d v="1899-12-30T20:36:31"/>
    <d v="1899-12-30T20:36:34"/>
    <d v="1899-12-30T22:10:45"/>
    <s v="1 hr 11 min 50s"/>
    <s v="syj-qorq-zij"/>
    <x v="5"/>
    <d v="1899-12-30T01:34:14"/>
    <d v="1899-12-30T02:03:01"/>
    <n v="0"/>
    <n v="1"/>
  </r>
  <r>
    <n v="13"/>
    <s v="JOHN RWARU"/>
    <d v="1899-12-30T20:36:31"/>
    <d v="1899-12-30T20:36:34"/>
    <d v="1899-12-30T22:10:45"/>
    <s v="1 hr 32 min 57s"/>
    <s v="syj-qorq-zij"/>
    <x v="5"/>
    <d v="1899-12-30T01:34:14"/>
    <d v="1899-12-30T02:03:03"/>
    <n v="0"/>
    <n v="1"/>
  </r>
  <r>
    <n v="14"/>
    <s v="JOSEPH MBOGO"/>
    <d v="1899-12-30T20:36:31"/>
    <d v="1899-12-30T20:46:14"/>
    <d v="1899-12-30T22:10:45"/>
    <s v="1 hr 24 min 30s"/>
    <s v="syj-qorq-zij"/>
    <x v="5"/>
    <d v="1899-12-30T01:34:14"/>
    <d v="1899-12-30T02:03:04"/>
    <n v="0"/>
    <n v="1"/>
  </r>
  <r>
    <n v="15"/>
    <s v="JOSHUA MHAKURE"/>
    <d v="1899-12-30T20:36:31"/>
    <d v="1899-12-30T20:44:43"/>
    <d v="1899-12-30T22:10:45"/>
    <s v="1 hr 14 min 19s"/>
    <s v="syj-qorq-zij"/>
    <x v="5"/>
    <d v="1899-12-30T01:34:14"/>
    <d v="1899-12-30T02:03:06"/>
    <n v="0"/>
    <n v="1"/>
  </r>
  <r>
    <n v="16"/>
    <s v="KAKOOZA GODFREY"/>
    <d v="1899-12-30T20:36:31"/>
    <d v="1899-12-30T20:36:34"/>
    <d v="1899-12-30T22:10:45"/>
    <s v="1 hr 24 min 18s"/>
    <s v="syj-qorq-zij"/>
    <x v="5"/>
    <d v="1899-12-30T01:34:14"/>
    <d v="1899-12-30T02:03:07"/>
    <n v="0"/>
    <n v="1"/>
  </r>
  <r>
    <n v="17"/>
    <s v="KAMAU RUTH"/>
    <d v="1899-12-30T20:36:31"/>
    <d v="1899-12-30T20:36:34"/>
    <d v="1899-12-30T22:10:45"/>
    <s v="1 hr 32 min 50s"/>
    <s v="syj-qorq-zij"/>
    <x v="5"/>
    <d v="1899-12-30T01:34:14"/>
    <d v="1899-12-30T02:03:08"/>
    <n v="0"/>
    <n v="1"/>
  </r>
  <r>
    <n v="18"/>
    <s v="KIIR ABIEM"/>
    <d v="1899-12-30T20:36:31"/>
    <d v="1899-12-30T20:36:34"/>
    <d v="1899-12-30T22:10:45"/>
    <s v="1 hr 22 min 39s"/>
    <s v="syj-qorq-zij"/>
    <x v="5"/>
    <d v="1899-12-30T01:34:14"/>
    <d v="1899-12-30T02:03:10"/>
    <n v="0"/>
    <n v="1"/>
  </r>
  <r>
    <n v="19"/>
    <s v="KORIR"/>
    <d v="1899-12-30T20:36:31"/>
    <d v="1899-12-30T20:36:34"/>
    <d v="1899-12-30T22:10:45"/>
    <s v="1 hr 32 min 36s"/>
    <s v="syj-qorq-zij"/>
    <x v="5"/>
    <d v="1899-12-30T01:34:14"/>
    <d v="1899-12-30T02:03:11"/>
    <n v="0"/>
    <n v="1"/>
  </r>
  <r>
    <n v="20"/>
    <s v="LINUS SANKEI"/>
    <d v="1899-12-30T20:36:31"/>
    <d v="1899-12-30T20:36:34"/>
    <d v="1899-12-30T22:10:45"/>
    <s v="1 hr 32 min 53s"/>
    <s v="syj-qorq-zij"/>
    <x v="5"/>
    <d v="1899-12-30T01:34:14"/>
    <d v="1899-12-30T02:03:12"/>
    <n v="0"/>
    <n v="1"/>
  </r>
  <r>
    <n v="21"/>
    <s v="MARTIN LEMI"/>
    <d v="1899-12-30T20:36:31"/>
    <d v="1899-12-30T21:05:46"/>
    <d v="1899-12-30T22:10:45"/>
    <s v="1 hr 3 min 47s"/>
    <s v="syj-qorq-zij"/>
    <x v="5"/>
    <d v="1899-12-30T01:34:14"/>
    <d v="1899-12-30T02:03:14"/>
    <n v="0"/>
    <n v="1"/>
  </r>
  <r>
    <n v="22"/>
    <s v="MARY NAMUKOKO"/>
    <d v="1899-12-30T20:36:31"/>
    <d v="1899-12-30T20:36:34"/>
    <d v="1899-12-30T22:10:45"/>
    <s v="1 hr 30 min 49s"/>
    <s v="syj-qorq-zij"/>
    <x v="5"/>
    <d v="1899-12-30T01:34:14"/>
    <d v="1899-12-30T02:03:15"/>
    <n v="0"/>
    <n v="1"/>
  </r>
  <r>
    <n v="23"/>
    <s v="MILDRED DRUSILA"/>
    <d v="1899-12-30T20:36:31"/>
    <d v="1899-12-30T20:44:43"/>
    <d v="1899-12-30T22:10:45"/>
    <s v="1 hr 25 min 58s"/>
    <s v="syj-qorq-zij"/>
    <x v="5"/>
    <d v="1899-12-30T01:34:14"/>
    <d v="1899-12-30T02:03:17"/>
    <n v="0"/>
    <n v="1"/>
  </r>
  <r>
    <n v="24"/>
    <s v="MOHAMED SALLY KAMARA"/>
    <d v="1899-12-30T20:36:31"/>
    <d v="1899-12-30T20:36:34"/>
    <d v="1899-12-30T22:10:45"/>
    <s v="1 hr 32 min 1s"/>
    <s v="syj-qorq-zij"/>
    <x v="5"/>
    <d v="1899-12-30T01:34:14"/>
    <d v="1899-12-30T02:03:18"/>
    <n v="0"/>
    <n v="1"/>
  </r>
  <r>
    <n v="25"/>
    <s v="MR ADRAWA CHARLES YOUNG"/>
    <d v="1899-12-30T20:36:31"/>
    <d v="1899-12-30T21:45:22"/>
    <d v="1899-12-30T22:10:45"/>
    <s v="23 min 48s"/>
    <s v="syj-qorq-zij"/>
    <x v="5"/>
    <d v="1899-12-30T01:34:14"/>
    <d v="1899-12-30T02:03:19"/>
    <n v="0"/>
    <n v="1"/>
  </r>
  <r>
    <n v="26"/>
    <s v="NUHUH MUTEBI"/>
    <d v="1899-12-30T20:36:31"/>
    <d v="1899-12-30T20:36:34"/>
    <d v="1899-12-30T22:10:45"/>
    <s v="1 hr 34 min 10s"/>
    <s v="syj-qorq-zij"/>
    <x v="5"/>
    <d v="1899-12-30T01:34:14"/>
    <d v="1899-12-30T02:03:21"/>
    <n v="0"/>
    <n v="1"/>
  </r>
  <r>
    <n v="27"/>
    <s v="OCI GEOFFREY"/>
    <d v="1899-12-30T20:36:31"/>
    <d v="1899-12-30T20:44:43"/>
    <d v="1899-12-30T22:10:45"/>
    <s v="1 hr 23 min 52s"/>
    <s v="syj-qorq-zij"/>
    <x v="5"/>
    <d v="1899-12-30T01:34:14"/>
    <d v="1899-12-30T02:03:22"/>
    <n v="0"/>
    <n v="1"/>
  </r>
  <r>
    <n v="28"/>
    <s v="OMELLA OWEN"/>
    <d v="1899-12-30T20:36:31"/>
    <d v="1899-12-30T20:44:43"/>
    <d v="1899-12-30T22:10:45"/>
    <s v="1 hr 24 min 44s"/>
    <s v="syj-qorq-zij"/>
    <x v="5"/>
    <d v="1899-12-30T01:34:14"/>
    <d v="1899-12-30T02:03:23"/>
    <n v="0"/>
    <n v="1"/>
  </r>
  <r>
    <n v="29"/>
    <s v="PRINCESS MAJOLA"/>
    <d v="1899-12-30T20:36:31"/>
    <d v="1899-12-30T20:36:51"/>
    <d v="1899-12-30T22:10:45"/>
    <s v="1 hr 32 min 19s"/>
    <s v="syj-qorq-zij"/>
    <x v="5"/>
    <d v="1899-12-30T01:34:14"/>
    <d v="1899-12-30T02:03:25"/>
    <n v="0"/>
    <n v="1"/>
  </r>
  <r>
    <n v="30"/>
    <s v="RACHEAL KYALIMPA"/>
    <d v="1899-12-30T20:36:31"/>
    <d v="1899-12-30T20:36:34"/>
    <d v="1899-12-30T22:10:45"/>
    <s v="1 hr 32 min 36s"/>
    <s v="syj-qorq-zij"/>
    <x v="5"/>
    <d v="1899-12-30T01:34:14"/>
    <d v="1899-12-30T02:03:26"/>
    <n v="0"/>
    <n v="1"/>
  </r>
  <r>
    <n v="31"/>
    <s v="ROBERT MAKUBUYA"/>
    <d v="1899-12-30T20:36:31"/>
    <d v="1899-12-30T21:31:40"/>
    <d v="1899-12-30T22:10:45"/>
    <s v="36 min 33s"/>
    <s v="syj-qorq-zij"/>
    <x v="5"/>
    <d v="1899-12-30T01:34:14"/>
    <d v="1899-12-30T02:03:28"/>
    <n v="0"/>
    <n v="1"/>
  </r>
  <r>
    <n v="32"/>
    <s v="RODGERS AHEBWA"/>
    <d v="1899-12-30T20:36:31"/>
    <d v="1899-12-30T20:36:34"/>
    <d v="1899-12-30T22:10:45"/>
    <s v="35 min 55s"/>
    <s v="syj-qorq-zij"/>
    <x v="5"/>
    <d v="1899-12-30T01:34:14"/>
    <d v="1899-12-30T02:03:29"/>
    <n v="0"/>
    <n v="1"/>
  </r>
  <r>
    <n v="33"/>
    <s v="RTN JOSES KAYUNGA"/>
    <d v="1899-12-30T20:36:31"/>
    <d v="1899-12-30T20:44:43"/>
    <d v="1899-12-30T22:10:45"/>
    <s v="1 hr 25 min 16s"/>
    <s v="syj-qorq-zij"/>
    <x v="5"/>
    <d v="1899-12-30T01:34:14"/>
    <d v="1899-12-30T02:03:30"/>
    <n v="0"/>
    <n v="1"/>
  </r>
  <r>
    <n v="34"/>
    <s v="TORY MOLS"/>
    <d v="1899-12-30T20:36:31"/>
    <d v="1899-12-30T20:44:43"/>
    <d v="1899-12-30T22:10:45"/>
    <s v="1 hr 26 min 2s"/>
    <s v="syj-qorq-zij"/>
    <x v="5"/>
    <d v="1899-12-30T01:34:14"/>
    <d v="1899-12-30T02:03:32"/>
    <n v="0"/>
    <n v="1"/>
  </r>
  <r>
    <n v="35"/>
    <s v="TURINAWE PATIENCE"/>
    <d v="1899-12-30T20:36:31"/>
    <d v="1899-12-30T20:36:34"/>
    <d v="1899-12-30T22:10:45"/>
    <s v="44 min 4s"/>
    <s v="syj-qorq-zij"/>
    <x v="5"/>
    <d v="1899-12-30T01:34:14"/>
    <d v="1899-12-30T02:03:33"/>
    <n v="0"/>
    <n v="1"/>
  </r>
  <r>
    <n v="36"/>
    <s v="YANGA SAMSON"/>
    <d v="1899-12-30T20:36:31"/>
    <d v="1899-12-30T20:36:34"/>
    <d v="1899-12-30T22:10:45"/>
    <s v="1 hr 24 min 34s"/>
    <s v="syj-qorq-zij"/>
    <x v="5"/>
    <d v="1899-12-30T01:34:14"/>
    <d v="1899-12-30T02:03:35"/>
    <n v="0"/>
    <n v="1"/>
  </r>
  <r>
    <n v="1"/>
    <s v="ALEX MUHEREZA"/>
    <d v="1899-12-30T20:37:20"/>
    <d v="1899-12-30T21:04:08"/>
    <d v="1899-12-30T22:36:05"/>
    <s v="24 min 39s"/>
    <s v="nmp-jvoq-txs"/>
    <x v="6"/>
    <d v="1899-12-30T01:58:45"/>
    <d v="1899-12-30T02:03:36"/>
    <n v="0"/>
    <n v="1"/>
  </r>
  <r>
    <n v="2"/>
    <s v="ANTHONY GODSON AIDOO"/>
    <d v="1899-12-30T20:37:20"/>
    <d v="1899-12-30T21:41:52"/>
    <d v="1899-12-30T22:36:05"/>
    <s v="53 min 14s"/>
    <s v="nmp-jvoq-txs"/>
    <x v="6"/>
    <d v="1899-12-30T01:58:45"/>
    <d v="1899-12-30T02:03:36"/>
    <n v="0"/>
    <n v="1"/>
  </r>
  <r>
    <n v="3"/>
    <s v="CHRISTINA MOTHOBI"/>
    <d v="1899-12-30T20:37:20"/>
    <d v="1899-12-30T20:37:23"/>
    <d v="1899-12-30T22:36:05"/>
    <s v="27 min 26s"/>
    <s v="nmp-jvoq-txs"/>
    <x v="6"/>
    <d v="1899-12-30T01:58:45"/>
    <d v="1899-12-30T02:03:37"/>
    <n v="0"/>
    <n v="1"/>
  </r>
  <r>
    <n v="4"/>
    <s v="CHRISTOPHER MODI"/>
    <d v="1899-12-30T20:37:20"/>
    <d v="1899-12-30T20:37:23"/>
    <d v="1899-12-30T22:36:05"/>
    <s v="1 hr 57 min 25s"/>
    <s v="nmp-jvoq-txs"/>
    <x v="6"/>
    <d v="1899-12-30T01:58:45"/>
    <d v="1899-12-30T02:03:37"/>
    <n v="0"/>
    <n v="1"/>
  </r>
  <r>
    <n v="5"/>
    <s v="CPAJULIUS CHERUIYOT"/>
    <d v="1899-12-30T20:37:20"/>
    <d v="1899-12-30T20:37:23"/>
    <d v="1899-12-30T22:36:05"/>
    <s v="1 hr 17 min 7s"/>
    <s v="nmp-jvoq-txs"/>
    <x v="6"/>
    <d v="1899-12-30T01:58:45"/>
    <d v="1899-12-30T02:03:37"/>
    <n v="0"/>
    <n v="1"/>
  </r>
  <r>
    <n v="6"/>
    <s v="GEOFFREY OYET"/>
    <d v="1899-12-30T20:37:20"/>
    <d v="1899-12-30T20:47:02"/>
    <d v="1899-12-30T22:36:05"/>
    <s v="33 min 5s"/>
    <s v="nmp-jvoq-txs"/>
    <x v="6"/>
    <d v="1899-12-30T01:58:45"/>
    <d v="1899-12-30T02:03:37"/>
    <n v="0"/>
    <n v="1"/>
  </r>
  <r>
    <n v="7"/>
    <s v="GODFREY BIRUNGI"/>
    <d v="1899-12-30T20:37:20"/>
    <d v="1899-12-30T20:37:23"/>
    <d v="1899-12-30T22:36:05"/>
    <s v="1 hr 58 min 40s"/>
    <s v="nmp-jvoq-txs"/>
    <x v="6"/>
    <d v="1899-12-30T01:58:45"/>
    <d v="1899-12-30T02:03:38"/>
    <n v="0"/>
    <n v="1"/>
  </r>
  <r>
    <n v="8"/>
    <s v="JOHN RWARU"/>
    <d v="1899-12-30T20:37:20"/>
    <d v="1899-12-30T20:37:23"/>
    <d v="1899-12-30T22:36:05"/>
    <s v="1 hr 35 min 46s"/>
    <s v="nmp-jvoq-txs"/>
    <x v="6"/>
    <d v="1899-12-30T01:58:45"/>
    <d v="1899-12-30T02:03:38"/>
    <n v="0"/>
    <n v="1"/>
  </r>
  <r>
    <n v="9"/>
    <s v="JOSEPH MBOGO"/>
    <d v="1899-12-30T20:37:20"/>
    <d v="1899-12-30T20:37:23"/>
    <d v="1899-12-30T22:36:05"/>
    <s v="1 hr 58 min 41s"/>
    <s v="nmp-jvoq-txs"/>
    <x v="6"/>
    <d v="1899-12-30T01:58:45"/>
    <d v="1899-12-30T02:03:38"/>
    <n v="0"/>
    <n v="1"/>
  </r>
  <r>
    <n v="10"/>
    <s v="KAMAU RUTH"/>
    <d v="1899-12-30T20:37:20"/>
    <d v="1899-12-30T20:48:40"/>
    <d v="1899-12-30T22:36:05"/>
    <s v="1 hr 46 min 15s"/>
    <s v="nmp-jvoq-txs"/>
    <x v="6"/>
    <d v="1899-12-30T01:58:45"/>
    <d v="1899-12-30T02:03:38"/>
    <n v="0"/>
    <n v="1"/>
  </r>
  <r>
    <n v="11"/>
    <s v="KIIR ABIEM"/>
    <d v="1899-12-30T20:37:20"/>
    <d v="1899-12-30T20:37:23"/>
    <d v="1899-12-30T22:36:05"/>
    <s v="39 min 18s"/>
    <s v="nmp-jvoq-txs"/>
    <x v="6"/>
    <d v="1899-12-30T01:58:45"/>
    <d v="1899-12-30T02:03:38"/>
    <n v="0"/>
    <n v="1"/>
  </r>
  <r>
    <n v="12"/>
    <s v="LINUS SANKEI"/>
    <d v="1899-12-30T20:37:20"/>
    <d v="1899-12-30T20:38:09"/>
    <d v="1899-12-30T22:36:05"/>
    <s v="1 hr 16 min 52s"/>
    <s v="nmp-jvoq-txs"/>
    <x v="6"/>
    <d v="1899-12-30T01:58:45"/>
    <d v="1899-12-30T02:03:39"/>
    <n v="0"/>
    <n v="1"/>
  </r>
  <r>
    <n v="13"/>
    <s v="LOKOSE ABEL"/>
    <d v="1899-12-30T20:37:20"/>
    <d v="1899-12-30T20:37:23"/>
    <d v="1899-12-30T22:36:05"/>
    <s v="1 hr 58 min 0s"/>
    <s v="nmp-jvoq-txs"/>
    <x v="6"/>
    <d v="1899-12-30T01:58:45"/>
    <d v="1899-12-30T02:03:39"/>
    <n v="0"/>
    <n v="1"/>
  </r>
  <r>
    <n v="14"/>
    <s v="MAGHOGHO BOB"/>
    <d v="1899-12-30T20:37:20"/>
    <d v="1899-12-30T20:37:23"/>
    <d v="1899-12-30T22:36:05"/>
    <s v="36 min 30s"/>
    <s v="nmp-jvoq-txs"/>
    <x v="6"/>
    <d v="1899-12-30T01:58:45"/>
    <d v="1899-12-30T02:03:39"/>
    <n v="0"/>
    <n v="1"/>
  </r>
  <r>
    <n v="15"/>
    <s v="MARTIN LEMI"/>
    <d v="1899-12-30T20:37:20"/>
    <d v="1899-12-30T20:37:23"/>
    <d v="1899-12-30T22:36:05"/>
    <s v="1 hr 57 min 47s"/>
    <s v="nmp-jvoq-txs"/>
    <x v="6"/>
    <d v="1899-12-30T01:58:45"/>
    <d v="1899-12-30T02:03:39"/>
    <n v="0"/>
    <n v="1"/>
  </r>
  <r>
    <n v="16"/>
    <s v="MARY NAMUKOKO"/>
    <d v="1899-12-30T20:37:20"/>
    <d v="1899-12-30T20:52:05"/>
    <d v="1899-12-30T22:36:05"/>
    <s v="0 min 41s"/>
    <s v="nmp-jvoq-txs"/>
    <x v="6"/>
    <d v="1899-12-30T01:58:45"/>
    <d v="1899-12-30T02:03:40"/>
    <n v="0"/>
    <n v="1"/>
  </r>
  <r>
    <n v="17"/>
    <s v="MILDRED DRUSILA"/>
    <d v="1899-12-30T20:37:20"/>
    <d v="1899-12-30T20:37:23"/>
    <d v="1899-12-30T22:36:05"/>
    <s v="1 hr 58 min 41s"/>
    <s v="nmp-jvoq-txs"/>
    <x v="6"/>
    <d v="1899-12-30T01:58:45"/>
    <d v="1899-12-30T02:03:40"/>
    <n v="0"/>
    <n v="1"/>
  </r>
  <r>
    <n v="18"/>
    <s v="MOHAMED KABIA"/>
    <d v="1899-12-30T20:37:20"/>
    <d v="1899-12-30T20:37:23"/>
    <d v="1899-12-30T22:36:05"/>
    <s v="9 min 38s"/>
    <s v="nmp-jvoq-txs"/>
    <x v="6"/>
    <d v="1899-12-30T01:58:45"/>
    <d v="1899-12-30T02:03:40"/>
    <n v="0"/>
    <n v="1"/>
  </r>
  <r>
    <n v="19"/>
    <s v="MOHAMED SALLY KAMARA"/>
    <d v="1899-12-30T20:37:20"/>
    <d v="1899-12-30T20:37:23"/>
    <d v="1899-12-30T22:36:05"/>
    <s v="1 hr 57 min 33s"/>
    <s v="nmp-jvoq-txs"/>
    <x v="6"/>
    <d v="1899-12-30T01:58:45"/>
    <d v="1899-12-30T02:03:40"/>
    <n v="0"/>
    <n v="1"/>
  </r>
  <r>
    <n v="20"/>
    <s v="MOZE KEYZ"/>
    <d v="1899-12-30T20:37:20"/>
    <d v="1899-12-30T20:37:23"/>
    <d v="1899-12-30T22:36:05"/>
    <s v="1 hr 57 min 35s"/>
    <s v="nmp-jvoq-txs"/>
    <x v="6"/>
    <d v="1899-12-30T01:58:45"/>
    <d v="1899-12-30T02:03:41"/>
    <n v="0"/>
    <n v="1"/>
  </r>
  <r>
    <n v="21"/>
    <s v="MR ADRAWA CHARLES YOUNG"/>
    <d v="1899-12-30T20:37:20"/>
    <d v="1899-12-30T20:56:02"/>
    <d v="1899-12-30T22:36:05"/>
    <s v="1 hr 40 min 2s"/>
    <s v="nmp-jvoq-txs"/>
    <x v="6"/>
    <d v="1899-12-30T01:58:45"/>
    <d v="1899-12-30T02:03:41"/>
    <n v="0"/>
    <n v="1"/>
  </r>
  <r>
    <n v="22"/>
    <s v="OCI GEOFFREY"/>
    <d v="1899-12-30T20:37:20"/>
    <d v="1899-12-30T20:37:23"/>
    <d v="1899-12-30T22:36:05"/>
    <s v="1 hr 12 min 34s"/>
    <s v="nmp-jvoq-txs"/>
    <x v="6"/>
    <d v="1899-12-30T01:58:45"/>
    <d v="1899-12-30T02:03:41"/>
    <n v="0"/>
    <n v="1"/>
  </r>
  <r>
    <n v="23"/>
    <s v="OMELLA OWEN"/>
    <d v="1899-12-30T20:37:20"/>
    <d v="1899-12-30T20:38:15"/>
    <d v="1899-12-30T22:36:05"/>
    <s v="1 hr 25 min 5s"/>
    <s v="nmp-jvoq-txs"/>
    <x v="6"/>
    <d v="1899-12-30T01:58:45"/>
    <d v="1899-12-30T02:03:41"/>
    <n v="0"/>
    <n v="1"/>
  </r>
  <r>
    <n v="24"/>
    <s v="ONESMUS KORIR"/>
    <d v="1899-12-30T20:37:20"/>
    <d v="1899-12-30T20:37:23"/>
    <d v="1899-12-30T22:36:05"/>
    <s v="1 hr 54 min 16s"/>
    <s v="nmp-jvoq-txs"/>
    <x v="6"/>
    <d v="1899-12-30T01:58:45"/>
    <d v="1899-12-30T02:03:42"/>
    <n v="0"/>
    <n v="1"/>
  </r>
  <r>
    <n v="25"/>
    <s v="PRINCESS MAJOLA"/>
    <d v="1899-12-30T20:37:20"/>
    <d v="1899-12-30T20:37:23"/>
    <d v="1899-12-30T22:36:05"/>
    <s v="1 hr 57 min 26s"/>
    <s v="nmp-jvoq-txs"/>
    <x v="6"/>
    <d v="1899-12-30T01:58:45"/>
    <d v="1899-12-30T02:03:42"/>
    <n v="0"/>
    <n v="1"/>
  </r>
  <r>
    <n v="26"/>
    <s v="RACHEAL KYALIMPA"/>
    <d v="1899-12-30T20:37:20"/>
    <d v="1899-12-30T20:47:02"/>
    <d v="1899-12-30T22:36:05"/>
    <s v="1 hr 4 min 15s"/>
    <s v="nmp-jvoq-txs"/>
    <x v="6"/>
    <d v="1899-12-30T01:58:45"/>
    <d v="1899-12-30T02:03:42"/>
    <n v="0"/>
    <n v="1"/>
  </r>
  <r>
    <n v="27"/>
    <s v="ROBERT MAKUBUYA"/>
    <d v="1899-12-30T20:37:20"/>
    <d v="1899-12-30T20:37:23"/>
    <d v="1899-12-30T22:36:05"/>
    <s v="57 min 28s"/>
    <s v="nmp-jvoq-txs"/>
    <x v="6"/>
    <d v="1899-12-30T01:58:45"/>
    <d v="1899-12-30T02:03:42"/>
    <n v="0"/>
    <n v="1"/>
  </r>
  <r>
    <n v="28"/>
    <s v="RODNEY MUKUNZI"/>
    <d v="1899-12-30T20:37:20"/>
    <d v="1899-12-30T20:47:02"/>
    <d v="1899-12-30T22:36:05"/>
    <s v="53 min 37s"/>
    <s v="nmp-jvoq-txs"/>
    <x v="6"/>
    <d v="1899-12-30T01:58:45"/>
    <d v="1899-12-30T02:03:43"/>
    <n v="0"/>
    <n v="1"/>
  </r>
  <r>
    <n v="29"/>
    <s v="RTN JOSES KAYUNGA"/>
    <d v="1899-12-30T20:37:20"/>
    <d v="1899-12-30T20:37:23"/>
    <d v="1899-12-30T22:36:05"/>
    <s v="1 hr 57 min 10s"/>
    <s v="nmp-jvoq-txs"/>
    <x v="6"/>
    <d v="1899-12-30T01:58:45"/>
    <d v="1899-12-30T02:03:43"/>
    <n v="0"/>
    <n v="1"/>
  </r>
  <r>
    <n v="30"/>
    <s v="SARAH NAKAMATTE"/>
    <d v="1899-12-30T20:37:20"/>
    <d v="1899-12-30T20:47:02"/>
    <d v="1899-12-30T22:36:05"/>
    <s v="44 min 41s"/>
    <s v="nmp-jvoq-txs"/>
    <x v="6"/>
    <d v="1899-12-30T01:58:45"/>
    <d v="1899-12-30T02:03:43"/>
    <n v="0"/>
    <n v="1"/>
  </r>
  <r>
    <n v="31"/>
    <s v="YUSUPHA SEESAY"/>
    <d v="1899-12-30T20:37:20"/>
    <d v="1899-12-30T20:50:17"/>
    <d v="1899-12-30T22:36:05"/>
    <s v="7 min 27s"/>
    <s v="nmp-jvoq-txs"/>
    <x v="6"/>
    <d v="1899-12-30T01:58:45"/>
    <d v="1899-12-30T02:03:43"/>
    <n v="0"/>
    <n v="1"/>
  </r>
  <r>
    <n v="1"/>
    <s v="AMARA BAJAHA"/>
    <d v="1899-12-30T20:40:15"/>
    <d v="1899-12-30T20:40:19"/>
    <d v="1899-12-30T22:44:15"/>
    <s v="0 hr 16 min 31s"/>
    <s v="hke-ohwj-cwy"/>
    <x v="7"/>
    <d v="1899-12-30T02:04:00"/>
    <d v="1899-12-30T02:03:44"/>
    <n v="0"/>
    <n v="0"/>
  </r>
  <r>
    <n v="2"/>
    <s v="ANGULA ROSAMUNDE"/>
    <d v="1899-12-30T20:40:15"/>
    <d v="1899-12-30T20:40:19"/>
    <d v="1899-12-30T22:44:15"/>
    <s v="1 hr 16 min 31s"/>
    <s v="hke-ohwj-cwy"/>
    <x v="7"/>
    <d v="1899-12-30T02:04:00"/>
    <d v="1899-12-30T02:03:44"/>
    <n v="0"/>
    <n v="0"/>
  </r>
  <r>
    <n v="3"/>
    <s v="ANTHONY GODSON AIDOO"/>
    <d v="1899-12-30T20:40:15"/>
    <d v="1899-12-30T20:40:19"/>
    <d v="1899-12-30T22:44:15"/>
    <s v="2 hr 3 min 3s"/>
    <s v="hke-ohwj-cwy"/>
    <x v="7"/>
    <d v="1899-12-30T02:04:00"/>
    <d v="1899-12-30T02:03:44"/>
    <n v="0"/>
    <n v="0"/>
  </r>
  <r>
    <n v="4"/>
    <s v="AZEDRIS JAMIL KASANGO"/>
    <d v="1899-12-30T20:40:15"/>
    <d v="1899-12-30T21:55:15"/>
    <d v="1899-12-30T22:44:15"/>
    <s v="48 min 19s"/>
    <s v="hke-ohwj-cwy"/>
    <x v="7"/>
    <d v="1899-12-30T02:04:00"/>
    <d v="1899-12-30T02:03:43"/>
    <n v="0"/>
    <n v="0"/>
  </r>
  <r>
    <n v="5"/>
    <s v="CHERUU JUL"/>
    <d v="1899-12-30T20:40:15"/>
    <d v="1899-12-30T21:55:15"/>
    <d v="1899-12-30T22:44:15"/>
    <s v="49 min 0s"/>
    <s v="hke-ohwj-cwy"/>
    <x v="7"/>
    <d v="1899-12-30T02:04:00"/>
    <d v="1899-12-30T02:03:43"/>
    <n v="0"/>
    <n v="0"/>
  </r>
  <r>
    <n v="6"/>
    <s v="CHRISTINA MOTHOBI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7"/>
    <s v="EL MAJID SWALEH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8"/>
    <s v="EMMANUEL JOBS"/>
    <d v="1899-12-30T20:40:15"/>
    <d v="1899-12-30T21:58:27"/>
    <d v="1899-12-30T22:44:15"/>
    <s v="36 min 28s"/>
    <s v="hke-ohwj-cwy"/>
    <x v="7"/>
    <d v="1899-12-30T02:04:00"/>
    <d v="1899-12-30T02:03:43"/>
    <n v="0"/>
    <n v="0"/>
  </r>
  <r>
    <n v="9"/>
    <s v="GODFREY BIRUNGI"/>
    <d v="1899-12-30T20:40:15"/>
    <d v="1899-12-30T20:40:19"/>
    <d v="1899-12-30T22:44:15"/>
    <s v="2 hr 3 min 50s"/>
    <s v="hke-ohwj-cwy"/>
    <x v="7"/>
    <d v="1899-12-30T02:04:00"/>
    <d v="1899-12-30T02:03:43"/>
    <n v="0"/>
    <n v="0"/>
  </r>
  <r>
    <n v="10"/>
    <s v="HAROLD SUCCESS GOLAFALE"/>
    <d v="1899-12-30T20:40:15"/>
    <d v="1899-12-30T20:40:19"/>
    <d v="1899-12-30T22:44:15"/>
    <s v="1 hr 17 min 21s"/>
    <s v="hke-ohwj-cwy"/>
    <x v="7"/>
    <d v="1899-12-30T02:04:00"/>
    <d v="1899-12-30T02:03:43"/>
    <n v="0"/>
    <n v="0"/>
  </r>
  <r>
    <n v="11"/>
    <s v="HENRY CHELELE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2"/>
    <s v="JOHN RWARU"/>
    <d v="1899-12-30T20:40:15"/>
    <d v="1899-12-30T20:40:19"/>
    <d v="1899-12-30T22:44:15"/>
    <s v="1 hr 56 min 35s"/>
    <s v="hke-ohwj-cwy"/>
    <x v="7"/>
    <d v="1899-12-30T02:04:00"/>
    <d v="1899-12-30T02:03:43"/>
    <n v="0"/>
    <n v="0"/>
  </r>
  <r>
    <n v="13"/>
    <s v="JOSHUA MHAKURE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4"/>
    <s v="KAMAU RUTH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15"/>
    <s v="KIIR ABIEM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6"/>
    <s v="LINUS SANKEI"/>
    <d v="1899-12-30T20:40:15"/>
    <d v="1899-12-30T20:40:19"/>
    <d v="1899-12-30T22:44:15"/>
    <s v="2 hr 2 min 58s"/>
    <s v="hke-ohwj-cwy"/>
    <x v="7"/>
    <d v="1899-12-30T02:04:00"/>
    <d v="1899-12-30T02:03:43"/>
    <n v="0"/>
    <n v="0"/>
  </r>
  <r>
    <n v="17"/>
    <s v="MARTIN LEMI"/>
    <d v="1899-12-30T20:40:15"/>
    <d v="1899-12-30T20:40:19"/>
    <d v="1899-12-30T22:44:15"/>
    <s v="2 hr 3 min 19s"/>
    <s v="hke-ohwj-cwy"/>
    <x v="7"/>
    <d v="1899-12-30T02:04:00"/>
    <d v="1899-12-30T02:03:43"/>
    <n v="0"/>
    <n v="0"/>
  </r>
  <r>
    <n v="18"/>
    <s v="MILDRED DRUSILA"/>
    <d v="1899-12-30T20:40:15"/>
    <d v="1899-12-30T20:40:19"/>
    <d v="1899-12-30T22:44:15"/>
    <s v="2 hr 3 min 7s"/>
    <s v="hke-ohwj-cwy"/>
    <x v="7"/>
    <d v="1899-12-30T02:04:00"/>
    <d v="1899-12-30T02:03:43"/>
    <n v="0"/>
    <n v="0"/>
  </r>
  <r>
    <n v="19"/>
    <s v="MOHAMED SALLY KAMARA"/>
    <d v="1899-12-30T20:40:15"/>
    <d v="1899-12-30T20:40:19"/>
    <d v="1899-12-30T22:44:15"/>
    <s v="2 hr 3 min 1s"/>
    <s v="hke-ohwj-cwy"/>
    <x v="7"/>
    <d v="1899-12-30T02:04:00"/>
    <d v="1899-12-30T02:03:43"/>
    <n v="0"/>
    <n v="0"/>
  </r>
  <r>
    <n v="20"/>
    <s v="OCI GEOFFREY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21"/>
    <s v="OKABO GEOFFREY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22"/>
    <s v="OMELLA OWEN"/>
    <d v="1899-12-30T20:40:15"/>
    <d v="1899-12-30T20:40:19"/>
    <d v="1899-12-30T22:44:15"/>
    <s v="2 hr 1 min 48s"/>
    <s v="hke-ohwj-cwy"/>
    <x v="7"/>
    <d v="1899-12-30T02:04:00"/>
    <d v="1899-12-30T02:03:43"/>
    <n v="0"/>
    <n v="0"/>
  </r>
  <r>
    <n v="23"/>
    <s v="PRINCESS MAJOLA"/>
    <d v="1899-12-30T20:40:15"/>
    <d v="1899-12-30T20:40:19"/>
    <d v="1899-12-30T22:44:15"/>
    <s v="2 hr 2 min 59s"/>
    <s v="hke-ohwj-cwy"/>
    <x v="7"/>
    <d v="1899-12-30T02:04:00"/>
    <d v="1899-12-30T02:03:43"/>
    <n v="0"/>
    <n v="0"/>
  </r>
  <r>
    <n v="24"/>
    <s v="RTN JOSES KAYUNGA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"/>
    <s v="AMARA BAJAHA"/>
    <d v="1899-12-30T20:39:22"/>
    <d v="1899-12-30T20:39:26"/>
    <d v="1899-12-30T22:27:24"/>
    <s v="1 hr 47 min 55s"/>
    <s v="gma-zhih-uwt"/>
    <x v="8"/>
    <d v="1899-12-30T01:48:02"/>
    <d v="1899-12-30T02:03:43"/>
    <n v="0"/>
    <n v="0"/>
  </r>
  <r>
    <n v="2"/>
    <s v="ANGULA ROSAMUNDE"/>
    <d v="1899-12-30T20:39:22"/>
    <d v="1899-12-30T20:39:26"/>
    <d v="1899-12-30T22:27:24"/>
    <s v="1 hr 47 min 55s"/>
    <s v="gma-zhih-uwt"/>
    <x v="8"/>
    <d v="1899-12-30T01:48:02"/>
    <d v="1899-12-30T02:03:44"/>
    <n v="0"/>
    <n v="0"/>
  </r>
  <r>
    <n v="3"/>
    <s v="ANTHONY GODSON AIDOO"/>
    <d v="1899-12-30T20:39:22"/>
    <d v="1899-12-30T20:39:26"/>
    <d v="1899-12-30T22:27:24"/>
    <s v="1 hr 47 min 55s"/>
    <s v="gma-zhih-uwt"/>
    <x v="8"/>
    <d v="1899-12-30T01:48:02"/>
    <d v="1899-12-30T02:03:45"/>
    <n v="0"/>
    <n v="0"/>
  </r>
  <r>
    <n v="4"/>
    <s v="CHERUU JUL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5"/>
    <s v="CHRISTINA MOTHOBI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6"/>
    <s v="CHRISTOPHER MODI"/>
    <d v="1899-12-30T20:39:22"/>
    <d v="1899-12-30T20:39:26"/>
    <d v="1899-12-30T22:27:24"/>
    <s v="1 hr 47 min 53s"/>
    <s v="gma-zhih-uwt"/>
    <x v="8"/>
    <d v="1899-12-30T01:48:02"/>
    <d v="1899-12-30T02:03:47"/>
    <n v="0"/>
    <n v="0"/>
  </r>
  <r>
    <n v="7"/>
    <s v="EMMANUEL JOBS"/>
    <d v="1899-12-30T20:39:22"/>
    <d v="1899-12-30T20:39:26"/>
    <d v="1899-12-30T22:27:24"/>
    <s v="1 hr 47 min 53s"/>
    <s v="gma-zhih-uwt"/>
    <x v="8"/>
    <d v="1899-12-30T01:48:02"/>
    <d v="1899-12-30T02:03:48"/>
    <n v="0"/>
    <n v="0"/>
  </r>
  <r>
    <n v="8"/>
    <s v="GEOFFREY OYET"/>
    <d v="1899-12-30T20:39:22"/>
    <d v="1899-12-30T20:39:26"/>
    <d v="1899-12-30T22:27:24"/>
    <s v="1 hr 47 min 53s"/>
    <s v="gma-zhih-uwt"/>
    <x v="8"/>
    <d v="1899-12-30T01:48:02"/>
    <d v="1899-12-30T02:03:49"/>
    <n v="0"/>
    <n v="0"/>
  </r>
  <r>
    <n v="9"/>
    <s v="GODFREY BIRUNGI"/>
    <d v="1899-12-30T20:39:22"/>
    <d v="1899-12-30T20:39:26"/>
    <d v="1899-12-30T22:27:24"/>
    <s v="1 hr 47 min 55s"/>
    <s v="gma-zhih-uwt"/>
    <x v="8"/>
    <d v="1899-12-30T01:48:02"/>
    <d v="1899-12-30T02:03:50"/>
    <n v="0"/>
    <n v="0"/>
  </r>
  <r>
    <n v="10"/>
    <s v="JOHN RWARU"/>
    <d v="1899-12-30T20:39:22"/>
    <d v="1899-12-30T20:39:26"/>
    <d v="1899-12-30T22:27:24"/>
    <s v="1 hr 47 min 53s"/>
    <s v="gma-zhih-uwt"/>
    <x v="8"/>
    <d v="1899-12-30T01:48:02"/>
    <d v="1899-12-30T02:03:50"/>
    <n v="0"/>
    <n v="0"/>
  </r>
  <r>
    <n v="11"/>
    <s v="KAKOOZA GODFREY"/>
    <d v="1899-12-30T20:39:22"/>
    <d v="1899-12-30T20:39:26"/>
    <d v="1899-12-30T22:27:24"/>
    <s v="1 hr 47 min 53s"/>
    <s v="gma-zhih-uwt"/>
    <x v="8"/>
    <d v="1899-12-30T01:48:02"/>
    <d v="1899-12-30T02:03:51"/>
    <n v="0"/>
    <n v="0"/>
  </r>
  <r>
    <n v="12"/>
    <s v="KAMAU RUTH"/>
    <d v="1899-12-30T20:39:22"/>
    <d v="1899-12-30T20:39:26"/>
    <d v="1899-12-30T22:27:24"/>
    <s v="1 hr 47 min 53s"/>
    <s v="gma-zhih-uwt"/>
    <x v="8"/>
    <d v="1899-12-30T01:48:02"/>
    <d v="1899-12-30T02:03:52"/>
    <n v="0"/>
    <n v="0"/>
  </r>
  <r>
    <n v="13"/>
    <s v="KIIR ABIEM"/>
    <d v="1899-12-30T20:39:22"/>
    <d v="1899-12-30T20:39:26"/>
    <d v="1899-12-30T22:27:24"/>
    <s v="1 hr 47 min 53s"/>
    <s v="gma-zhih-uwt"/>
    <x v="8"/>
    <d v="1899-12-30T01:48:02"/>
    <d v="1899-12-30T02:03:53"/>
    <n v="0"/>
    <n v="0"/>
  </r>
  <r>
    <n v="14"/>
    <s v="LINUS SANKEI"/>
    <d v="1899-12-30T20:39:22"/>
    <d v="1899-12-30T20:39:26"/>
    <d v="1899-12-30T22:27:24"/>
    <s v="1 hr 47 min 53s"/>
    <s v="gma-zhih-uwt"/>
    <x v="8"/>
    <d v="1899-12-30T01:48:02"/>
    <d v="1899-12-30T02:03:54"/>
    <n v="0"/>
    <n v="0"/>
  </r>
  <r>
    <n v="15"/>
    <s v="MARTIN LEMI"/>
    <d v="1899-12-30T20:39:22"/>
    <d v="1899-12-30T20:39:26"/>
    <d v="1899-12-30T22:27:24"/>
    <s v="1 hr 47 min 55s"/>
    <s v="gma-zhih-uwt"/>
    <x v="8"/>
    <d v="1899-12-30T01:48:02"/>
    <d v="1899-12-30T02:03:54"/>
    <n v="0"/>
    <n v="0"/>
  </r>
  <r>
    <n v="16"/>
    <s v="MILDRED DRUSILA"/>
    <d v="1899-12-30T20:39:22"/>
    <d v="1899-12-30T20:39:26"/>
    <d v="1899-12-30T22:27:24"/>
    <s v="1 hr 47 min 55s"/>
    <s v="gma-zhih-uwt"/>
    <x v="8"/>
    <d v="1899-12-30T01:48:02"/>
    <d v="1899-12-30T02:03:55"/>
    <n v="0"/>
    <n v="0"/>
  </r>
  <r>
    <n v="17"/>
    <s v="MOHAMED SALLY KAMARA"/>
    <d v="1899-12-30T20:39:22"/>
    <d v="1899-12-30T20:39:26"/>
    <d v="1899-12-30T22:27:24"/>
    <s v="1 hr 47 min 55s"/>
    <s v="gma-zhih-uwt"/>
    <x v="8"/>
    <d v="1899-12-30T01:48:02"/>
    <d v="1899-12-30T02:03:56"/>
    <n v="0"/>
    <n v="0"/>
  </r>
  <r>
    <n v="18"/>
    <s v="OCHOKI OMBASO"/>
    <d v="1899-12-30T20:39:22"/>
    <d v="1899-12-30T20:39:26"/>
    <d v="1899-12-30T22:27:24"/>
    <s v="1 hr 47 min 53s"/>
    <s v="gma-zhih-uwt"/>
    <x v="8"/>
    <d v="1899-12-30T01:48:02"/>
    <d v="1899-12-30T02:03:57"/>
    <n v="0"/>
    <n v="0"/>
  </r>
  <r>
    <n v="19"/>
    <s v="OCI GEOFFREY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0"/>
    <s v="OMELLA OWEN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1"/>
    <s v="PRINCESS MAJOLA"/>
    <d v="1899-12-30T20:39:22"/>
    <d v="1899-12-30T20:39:26"/>
    <d v="1899-12-30T22:27:24"/>
    <s v="1 hr 47 min 53s"/>
    <s v="gma-zhih-uwt"/>
    <x v="8"/>
    <d v="1899-12-30T01:48:02"/>
    <d v="1899-12-30T02:03:59"/>
    <n v="0"/>
    <n v="0"/>
  </r>
  <r>
    <n v="22"/>
    <s v="RACHEAL KYALIMPA"/>
    <d v="1899-12-30T20:39:22"/>
    <d v="1899-12-30T20:39:26"/>
    <d v="1899-12-30T22:27:24"/>
    <s v="1 hr 47 min 53s"/>
    <s v="gma-zhih-uwt"/>
    <x v="8"/>
    <d v="1899-12-30T01:48:02"/>
    <d v="1899-12-30T02:04:00"/>
    <n v="0"/>
    <n v="0"/>
  </r>
  <r>
    <n v="23"/>
    <s v="ROBERT MAKUBUYA"/>
    <d v="1899-12-30T20:39:22"/>
    <d v="1899-12-30T20:39:26"/>
    <d v="1899-12-30T22:27:24"/>
    <s v="1 hr 47 min 53s"/>
    <s v="gma-zhih-uwt"/>
    <x v="8"/>
    <d v="1899-12-30T01:48:02"/>
    <d v="1899-12-30T02:04:01"/>
    <n v="0"/>
    <n v="0"/>
  </r>
  <r>
    <n v="24"/>
    <s v="RODGERS AHEBWA"/>
    <d v="1899-12-30T20:39:22"/>
    <d v="1899-12-30T20:39:26"/>
    <d v="1899-12-30T22:27:24"/>
    <s v="1 hr 47 min 53s"/>
    <s v="gma-zhih-uwt"/>
    <x v="8"/>
    <d v="1899-12-30T01:48:02"/>
    <d v="1899-12-30T02:04:02"/>
    <n v="0"/>
    <n v="0"/>
  </r>
  <r>
    <n v="25"/>
    <s v="RTN JOSES KAYUNGA"/>
    <d v="1899-12-30T20:39:22"/>
    <d v="1899-12-30T20:39:26"/>
    <d v="1899-12-30T22:27:24"/>
    <s v="1 hr 47 min 53s"/>
    <s v="gma-zhih-uwt"/>
    <x v="8"/>
    <d v="1899-12-30T01:48:02"/>
    <d v="1899-12-30T02:04:03"/>
    <n v="0"/>
    <n v="0"/>
  </r>
  <r>
    <n v="1"/>
    <s v="ALEX MUHEREZA"/>
    <d v="1899-12-30T20:42:06"/>
    <d v="1899-12-30T22:40:56"/>
    <d v="1899-12-30T22:41:19"/>
    <s v="0 min 15s"/>
    <s v="dei-dnjy-xwn"/>
    <x v="9"/>
    <d v="1899-12-30T01:59:13"/>
    <d v="1899-12-30T02:04:03"/>
    <n v="0"/>
    <n v="0"/>
  </r>
  <r>
    <n v="2"/>
    <s v="AMARA BAJAHA"/>
    <d v="1899-12-30T20:42:06"/>
    <d v="1899-12-30T20:42:09"/>
    <d v="1899-12-30T22:41:19"/>
    <s v="1 hr 58 min 52s"/>
    <s v="dei-dnjy-xwn"/>
    <x v="9"/>
    <d v="1899-12-30T01:59:13"/>
    <d v="1899-12-30T02:04:04"/>
    <n v="0"/>
    <n v="0"/>
  </r>
  <r>
    <n v="3"/>
    <s v="ANGULA ROSAMUNDE"/>
    <d v="1899-12-30T20:42:06"/>
    <d v="1899-12-30T22:40:56"/>
    <d v="1899-12-30T22:41:19"/>
    <s v="0 min 24s"/>
    <s v="dei-dnjy-xwn"/>
    <x v="9"/>
    <d v="1899-12-30T01:59:13"/>
    <d v="1899-12-30T02:04:04"/>
    <n v="0"/>
    <n v="0"/>
  </r>
  <r>
    <n v="4"/>
    <s v="ANTHONY GODSON AIDOO"/>
    <d v="1899-12-30T20:42:06"/>
    <d v="1899-12-30T20:42:09"/>
    <d v="1899-12-30T22:41:19"/>
    <s v="1 hr 58 min 28s"/>
    <s v="dei-dnjy-xwn"/>
    <x v="9"/>
    <d v="1899-12-30T01:59:13"/>
    <d v="1899-12-30T02:04:04"/>
    <n v="0"/>
    <n v="0"/>
  </r>
  <r>
    <n v="5"/>
    <s v="BENJAMIN MALES LOKOYA"/>
    <d v="1899-12-30T20:42:06"/>
    <d v="1899-12-30T20:42:09"/>
    <d v="1899-12-30T22:41:19"/>
    <s v="1 hr 58 min 47s"/>
    <s v="dei-dnjy-xwn"/>
    <x v="9"/>
    <d v="1899-12-30T01:59:13"/>
    <d v="1899-12-30T02:04:04"/>
    <n v="0"/>
    <n v="0"/>
  </r>
  <r>
    <n v="6"/>
    <s v="CPAJULIUS CHERUIYOT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7"/>
    <s v="FIDELIS SKIPPER AMWEENYE EMOSHO (SKIPPER)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8"/>
    <s v="GEOFFREY OYET"/>
    <d v="1899-12-30T20:42:06"/>
    <d v="1899-12-30T20:50:26"/>
    <d v="1899-12-30T22:41:19"/>
    <s v="1 hr 50 min 15s"/>
    <s v="dei-dnjy-xwn"/>
    <x v="9"/>
    <d v="1899-12-30T01:59:13"/>
    <d v="1899-12-30T02:04:05"/>
    <n v="0"/>
    <n v="0"/>
  </r>
  <r>
    <n v="9"/>
    <s v="GODFREY BIRUNGI"/>
    <d v="1899-12-30T20:42:06"/>
    <d v="1899-12-30T20:42:09"/>
    <d v="1899-12-30T22:41:19"/>
    <s v="1 hr 58 min 52s"/>
    <s v="dei-dnjy-xwn"/>
    <x v="9"/>
    <d v="1899-12-30T01:59:13"/>
    <d v="1899-12-30T02:04:05"/>
    <n v="0"/>
    <n v="0"/>
  </r>
  <r>
    <n v="10"/>
    <s v="JOHN RWARU"/>
    <d v="1899-12-30T20:42:06"/>
    <d v="1899-12-30T22:41:12"/>
    <d v="1899-12-30T22:41:19"/>
    <s v="0 min 8s"/>
    <s v="dei-dnjy-xwn"/>
    <x v="9"/>
    <d v="1899-12-30T01:59:13"/>
    <d v="1899-12-30T02:04:06"/>
    <n v="0"/>
    <n v="0"/>
  </r>
  <r>
    <n v="11"/>
    <s v="JOSEPH MBOGO"/>
    <d v="1899-12-30T20:42:06"/>
    <d v="1899-12-30T22:40:56"/>
    <d v="1899-12-30T22:41:19"/>
    <s v="0 min 24s"/>
    <s v="dei-dnjy-xwn"/>
    <x v="9"/>
    <d v="1899-12-30T01:59:13"/>
    <d v="1899-12-30T02:04:06"/>
    <n v="0"/>
    <n v="0"/>
  </r>
  <r>
    <n v="12"/>
    <s v="JOSHUA MHAKURE"/>
    <d v="1899-12-30T20:42:06"/>
    <d v="1899-12-30T20:50:26"/>
    <d v="1899-12-30T22:41:19"/>
    <s v="1 hr 50 min 15s"/>
    <s v="dei-dnjy-xwn"/>
    <x v="9"/>
    <d v="1899-12-30T01:59:13"/>
    <d v="1899-12-30T02:04:06"/>
    <n v="0"/>
    <n v="0"/>
  </r>
  <r>
    <n v="13"/>
    <s v="KAKOOZA GODFREY"/>
    <d v="1899-12-30T20:42:06"/>
    <d v="1899-12-30T20:42:09"/>
    <d v="1899-12-30T22:41:19"/>
    <s v="1 hr 58 min 28s"/>
    <s v="dei-dnjy-xwn"/>
    <x v="9"/>
    <d v="1899-12-30T01:59:13"/>
    <d v="1899-12-30T02:04:06"/>
    <n v="0"/>
    <n v="0"/>
  </r>
  <r>
    <n v="14"/>
    <s v="KIIR ABIEM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5"/>
    <s v="LINUS SANKEI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6"/>
    <s v="MARTIN LEMI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7"/>
    <s v="MARY NAMUKOKO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8"/>
    <s v="MILDRED DRUSILA"/>
    <d v="1899-12-30T20:42:06"/>
    <d v="1899-12-30T20:50:26"/>
    <d v="1899-12-30T22:41:19"/>
    <s v="1 hr 50 min 39s"/>
    <s v="dei-dnjy-xwn"/>
    <x v="9"/>
    <d v="1899-12-30T01:59:13"/>
    <d v="1899-12-30T02:04:08"/>
    <n v="0"/>
    <n v="0"/>
  </r>
  <r>
    <n v="19"/>
    <s v="MOHAMED KABIA"/>
    <d v="1899-12-30T20:42:06"/>
    <d v="1899-12-30T20:42:09"/>
    <d v="1899-12-30T22:41:19"/>
    <s v="1 hr 58 min 52s"/>
    <s v="dei-dnjy-xwn"/>
    <x v="9"/>
    <d v="1899-12-30T01:59:13"/>
    <d v="1899-12-30T02:04:08"/>
    <n v="0"/>
    <n v="0"/>
  </r>
  <r>
    <n v="20"/>
    <s v="MOHAMED SALLY KAMARA"/>
    <d v="1899-12-30T20:42:06"/>
    <d v="1899-12-30T20:42:09"/>
    <d v="1899-12-30T22:41:19"/>
    <s v="1 hr 58 min 28s"/>
    <s v="dei-dnjy-xwn"/>
    <x v="9"/>
    <d v="1899-12-30T01:59:13"/>
    <d v="1899-12-30T02:04:08"/>
    <n v="0"/>
    <n v="0"/>
  </r>
  <r>
    <n v="21"/>
    <s v="MOZE KEYZ"/>
    <d v="1899-12-30T20:42:06"/>
    <d v="1899-12-30T20:50:26"/>
    <d v="1899-12-30T22:41:19"/>
    <s v="1 hr 50 min 15s"/>
    <s v="dei-dnjy-xwn"/>
    <x v="9"/>
    <d v="1899-12-30T01:59:13"/>
    <d v="1899-12-30T02:04:08"/>
    <n v="0"/>
    <n v="0"/>
  </r>
  <r>
    <n v="22"/>
    <s v="OCI GEOFFREY"/>
    <d v="1899-12-30T20:42:06"/>
    <d v="1899-12-30T20:50:26"/>
    <d v="1899-12-30T22:41:19"/>
    <s v="1 hr 50 min 16s"/>
    <s v="dei-dnjy-xwn"/>
    <x v="9"/>
    <d v="1899-12-30T01:59:13"/>
    <d v="1899-12-30T02:04:09"/>
    <n v="0"/>
    <n v="0"/>
  </r>
  <r>
    <n v="23"/>
    <s v="OKABO GEOFFREY"/>
    <d v="1899-12-30T20:42:06"/>
    <d v="1899-12-30T20:50:26"/>
    <d v="1899-12-30T22:41:19"/>
    <s v="1 hr 50 min 15s"/>
    <s v="dei-dnjy-xwn"/>
    <x v="9"/>
    <d v="1899-12-30T01:59:13"/>
    <d v="1899-12-30T02:04:09"/>
    <n v="0"/>
    <n v="0"/>
  </r>
  <r>
    <n v="24"/>
    <s v="OMBASO JARED"/>
    <d v="1899-12-30T20:42:06"/>
    <d v="1899-12-30T20:50:26"/>
    <d v="1899-12-30T22:41:19"/>
    <s v="1 hr 50 min 39s"/>
    <s v="dei-dnjy-xwn"/>
    <x v="9"/>
    <d v="1899-12-30T01:59:13"/>
    <d v="1899-12-30T02:04:09"/>
    <n v="0"/>
    <n v="0"/>
  </r>
  <r>
    <n v="25"/>
    <s v="ONESMUS KORIR"/>
    <d v="1899-12-30T20:42:06"/>
    <d v="1899-12-30T20:42:09"/>
    <d v="1899-12-30T22:41:19"/>
    <s v="1 hr 58 min 28s"/>
    <s v="dei-dnjy-xwn"/>
    <x v="9"/>
    <d v="1899-12-30T01:59:13"/>
    <d v="1899-12-30T02:04:09"/>
    <n v="0"/>
    <n v="0"/>
  </r>
  <r>
    <n v="26"/>
    <s v="PRINCESS MAJOLA"/>
    <d v="1899-12-30T20:42:06"/>
    <d v="1899-12-30T20:50:26"/>
    <d v="1899-12-30T22:41:19"/>
    <s v="1 hr 50 min 15s"/>
    <s v="dei-dnjy-xwn"/>
    <x v="9"/>
    <d v="1899-12-30T01:59:13"/>
    <d v="1899-12-30T02:04:10"/>
    <n v="0"/>
    <n v="0"/>
  </r>
  <r>
    <n v="27"/>
    <s v="RACHEAL KYALIMPA"/>
    <d v="1899-12-30T20:42:06"/>
    <d v="1899-12-30T20:42:09"/>
    <d v="1899-12-30T22:41:19"/>
    <s v="1 hr 58 min 28s"/>
    <s v="dei-dnjy-xwn"/>
    <x v="9"/>
    <d v="1899-12-30T01:59:13"/>
    <d v="1899-12-30T02:04:10"/>
    <n v="0"/>
    <n v="0"/>
  </r>
  <r>
    <n v="28"/>
    <s v="ROBERT MAKUBUYA"/>
    <d v="1899-12-30T20:42:06"/>
    <d v="1899-12-30T22:40:56"/>
    <d v="1899-12-30T22:41:19"/>
    <s v="0 min 24s"/>
    <s v="dei-dnjy-xwn"/>
    <x v="9"/>
    <d v="1899-12-30T01:59:13"/>
    <d v="1899-12-30T02:04:10"/>
    <n v="0"/>
    <n v="0"/>
  </r>
  <r>
    <n v="29"/>
    <s v="RODGERS AHEBWA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30"/>
    <s v="RTN JOSES KAYUNGA"/>
    <d v="1899-12-30T20:42:06"/>
    <d v="1899-12-30T20:50:26"/>
    <d v="1899-12-30T22:41:19"/>
    <s v="1 hr 50 min 15s"/>
    <s v="dei-dnjy-xwn"/>
    <x v="9"/>
    <d v="1899-12-30T01:59:13"/>
    <d v="1899-12-30T02:04:11"/>
    <n v="0"/>
    <n v="0"/>
  </r>
  <r>
    <n v="31"/>
    <s v="YANGA SAMSON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1"/>
    <s v="ANGULA ROSAMUNDE"/>
    <d v="1899-12-30T20:37:47"/>
    <d v="1899-12-30T22:45:20"/>
    <d v="1899-12-30T22:57:24"/>
    <s v="11 min 43s"/>
    <s v="utm-dhtc-qab"/>
    <x v="10"/>
    <d v="1899-12-30T02:19:37"/>
    <d v="1899-12-30T02:04:11"/>
    <n v="0"/>
    <n v="0"/>
  </r>
  <r>
    <n v="2"/>
    <s v="ANTHONY GODSON AIDOO"/>
    <d v="1899-12-30T20:37:47"/>
    <d v="1899-12-30T22:45:20"/>
    <d v="1899-12-30T22:57:24"/>
    <s v="11 min 58s"/>
    <s v="utm-dhtc-qab"/>
    <x v="10"/>
    <d v="1899-12-30T02:19:37"/>
    <d v="1899-12-30T02:04:10"/>
    <n v="0"/>
    <n v="0"/>
  </r>
  <r>
    <n v="3"/>
    <s v="BENJAMIN MALES LOKOYA"/>
    <d v="1899-12-30T20:37:47"/>
    <d v="1899-12-30T20:37:50"/>
    <d v="1899-12-30T22:57:24"/>
    <s v="2 hr 19 min 2s"/>
    <s v="utm-dhtc-qab"/>
    <x v="10"/>
    <d v="1899-12-30T02:19:37"/>
    <d v="1899-12-30T02:04:10"/>
    <n v="0"/>
    <n v="0"/>
  </r>
  <r>
    <n v="4"/>
    <s v="CHRISTINA MOTHOBI"/>
    <d v="1899-12-30T20:37:47"/>
    <d v="1899-12-30T20:38:04"/>
    <d v="1899-12-30T22:57:24"/>
    <s v="2 hr 6 min 50s"/>
    <s v="utm-dhtc-qab"/>
    <x v="10"/>
    <d v="1899-12-30T02:19:37"/>
    <d v="1899-12-30T02:04:09"/>
    <n v="0"/>
    <n v="0"/>
  </r>
  <r>
    <n v="5"/>
    <s v="CPAJULIUS CHERUIYOT"/>
    <d v="1899-12-30T20:37:47"/>
    <d v="1899-12-30T20:37:50"/>
    <d v="1899-12-30T22:57:24"/>
    <s v="2 hr 18 min 47s"/>
    <s v="utm-dhtc-qab"/>
    <x v="10"/>
    <d v="1899-12-30T02:19:37"/>
    <d v="1899-12-30T02:04:08"/>
    <n v="0"/>
    <n v="0"/>
  </r>
  <r>
    <n v="6"/>
    <s v="EL MAJID SWALEH"/>
    <d v="1899-12-30T20:37:47"/>
    <d v="1899-12-30T20:37:50"/>
    <d v="1899-12-30T22:57:24"/>
    <s v="2 hr 7 min 4s"/>
    <s v="utm-dhtc-qab"/>
    <x v="10"/>
    <d v="1899-12-30T02:19:37"/>
    <d v="1899-12-30T02:04:07"/>
    <n v="0"/>
    <n v="0"/>
  </r>
  <r>
    <n v="7"/>
    <s v="FREDY BAHILI"/>
    <d v="1899-12-30T20:37:47"/>
    <d v="1899-12-30T22:45:20"/>
    <d v="1899-12-30T22:57:24"/>
    <s v="11 min 43s"/>
    <s v="utm-dhtc-qab"/>
    <x v="10"/>
    <d v="1899-12-30T02:19:37"/>
    <d v="1899-12-30T02:04:06"/>
    <n v="0"/>
    <n v="0"/>
  </r>
  <r>
    <n v="8"/>
    <s v="GODFREY BIRUNGI"/>
    <d v="1899-12-30T20:37:47"/>
    <d v="1899-12-30T20:37:50"/>
    <d v="1899-12-30T22:57:24"/>
    <s v="2 hr 19 min 2s"/>
    <s v="utm-dhtc-qab"/>
    <x v="10"/>
    <d v="1899-12-30T02:19:37"/>
    <d v="1899-12-30T02:04:06"/>
    <n v="0"/>
    <n v="0"/>
  </r>
  <r>
    <n v="9"/>
    <s v="HAROLD SUCCESS GOLAFALE"/>
    <d v="1899-12-30T20:37:47"/>
    <d v="1899-12-30T22:45:20"/>
    <d v="1899-12-30T22:57:24"/>
    <s v="11 min 43s"/>
    <s v="utm-dhtc-qab"/>
    <x v="10"/>
    <d v="1899-12-30T02:19:37"/>
    <d v="1899-12-30T02:04:05"/>
    <n v="0"/>
    <n v="0"/>
  </r>
  <r>
    <n v="10"/>
    <s v="HENRY CHELELE"/>
    <d v="1899-12-30T20:37:47"/>
    <d v="1899-12-30T20:37:50"/>
    <d v="1899-12-30T22:57:24"/>
    <s v="2 hr 7 min 4s"/>
    <s v="utm-dhtc-qab"/>
    <x v="10"/>
    <d v="1899-12-30T02:19:37"/>
    <d v="1899-12-30T02:04:04"/>
    <n v="0"/>
    <n v="0"/>
  </r>
  <r>
    <n v="11"/>
    <s v="JOHN RWARU"/>
    <d v="1899-12-30T20:37:47"/>
    <d v="1899-12-30T20:37:50"/>
    <d v="1899-12-30T22:57:24"/>
    <s v="2 hr 18 min 47s"/>
    <s v="utm-dhtc-qab"/>
    <x v="10"/>
    <d v="1899-12-30T02:19:37"/>
    <d v="1899-12-30T02:04:03"/>
    <n v="0"/>
    <n v="0"/>
  </r>
  <r>
    <n v="12"/>
    <s v="JOSEPH MBOGO"/>
    <d v="1899-12-30T20:37:47"/>
    <d v="1899-12-30T22:45:20"/>
    <d v="1899-12-30T22:57:24"/>
    <s v="11 min 58s"/>
    <s v="utm-dhtc-qab"/>
    <x v="10"/>
    <d v="1899-12-30T02:19:37"/>
    <d v="1899-12-30T02:04:02"/>
    <n v="0"/>
    <n v="0"/>
  </r>
  <r>
    <n v="13"/>
    <s v="KAKOOZA GODFREY"/>
    <d v="1899-12-30T20:37:47"/>
    <d v="1899-12-30T22:45:20"/>
    <d v="1899-12-30T22:57:24"/>
    <s v="11 min 43s"/>
    <s v="utm-dhtc-qab"/>
    <x v="10"/>
    <d v="1899-12-30T02:19:37"/>
    <d v="1899-12-30T02:04:01"/>
    <n v="0"/>
    <n v="0"/>
  </r>
  <r>
    <n v="14"/>
    <s v="KAMAU RUTH"/>
    <d v="1899-12-30T20:37:47"/>
    <d v="1899-12-30T20:37:50"/>
    <d v="1899-12-30T22:57:24"/>
    <s v="2 hr 7 min 4s"/>
    <s v="utm-dhtc-qab"/>
    <x v="10"/>
    <d v="1899-12-30T02:19:37"/>
    <d v="1899-12-30T02:04:01"/>
    <n v="0"/>
    <n v="0"/>
  </r>
  <r>
    <n v="15"/>
    <s v="KIP ROBERTOH"/>
    <d v="1899-12-30T20:37:47"/>
    <d v="1899-12-30T20:37:50"/>
    <d v="1899-12-30T22:57:24"/>
    <s v="2 hr 7 min 4s"/>
    <s v="utm-dhtc-qab"/>
    <x v="10"/>
    <d v="1899-12-30T02:19:37"/>
    <d v="1899-12-30T02:04:00"/>
    <n v="0"/>
    <n v="0"/>
  </r>
  <r>
    <n v="16"/>
    <s v="LINUS SANKEI"/>
    <d v="1899-12-30T20:37:47"/>
    <d v="1899-12-30T20:37:50"/>
    <d v="1899-12-30T22:57:24"/>
    <s v="2 hr 7 min 4s"/>
    <s v="utm-dhtc-qab"/>
    <x v="10"/>
    <d v="1899-12-30T02:19:37"/>
    <d v="1899-12-30T02:03:59"/>
    <n v="0"/>
    <n v="0"/>
  </r>
  <r>
    <n v="17"/>
    <s v="MARTIN LEMI"/>
    <d v="1899-12-30T20:37:47"/>
    <d v="1899-12-30T20:37:50"/>
    <d v="1899-12-30T22:57:24"/>
    <s v="2 hr 19 min 2s"/>
    <s v="utm-dhtc-qab"/>
    <x v="10"/>
    <d v="1899-12-30T02:19:37"/>
    <d v="1899-12-30T02:03:58"/>
    <n v="0"/>
    <n v="0"/>
  </r>
  <r>
    <n v="18"/>
    <s v="MILDRED DRUSILA"/>
    <d v="1899-12-30T20:37:47"/>
    <d v="1899-12-30T20:37:50"/>
    <d v="1899-12-30T22:57:24"/>
    <s v="2 hr 19 min 2s"/>
    <s v="utm-dhtc-qab"/>
    <x v="10"/>
    <d v="1899-12-30T02:19:37"/>
    <d v="1899-12-30T02:03:57"/>
    <n v="0"/>
    <n v="0"/>
  </r>
  <r>
    <n v="19"/>
    <s v="MOZE KEYZ"/>
    <d v="1899-12-30T20:37:47"/>
    <d v="1899-12-30T20:37:50"/>
    <d v="1899-12-30T22:57:24"/>
    <s v="2 hr 18 min 47s"/>
    <s v="utm-dhtc-qab"/>
    <x v="10"/>
    <d v="1899-12-30T02:19:37"/>
    <d v="1899-12-30T02:03:56"/>
    <n v="0"/>
    <n v="0"/>
  </r>
  <r>
    <n v="20"/>
    <s v="OCHOKI OMBASO"/>
    <d v="1899-12-30T20:37:47"/>
    <d v="1899-12-30T20:37:50"/>
    <d v="1899-12-30T22:57:24"/>
    <s v="2 hr 7 min 4s"/>
    <s v="utm-dhtc-qab"/>
    <x v="10"/>
    <d v="1899-12-30T02:19:37"/>
    <d v="1899-12-30T02:03:56"/>
    <n v="0"/>
    <n v="0"/>
  </r>
  <r>
    <n v="21"/>
    <s v="OCI GEOFFREY"/>
    <d v="1899-12-30T20:37:47"/>
    <d v="1899-12-30T20:37:50"/>
    <d v="1899-12-30T22:57:24"/>
    <s v="2 hr 19 min 2s"/>
    <s v="utm-dhtc-qab"/>
    <x v="10"/>
    <d v="1899-12-30T02:19:37"/>
    <d v="1899-12-30T02:03:55"/>
    <n v="0"/>
    <n v="0"/>
  </r>
  <r>
    <n v="22"/>
    <s v="OMELLA OWEN"/>
    <d v="1899-12-30T20:37:47"/>
    <d v="1899-12-30T20:37:50"/>
    <d v="1899-12-30T22:57:24"/>
    <s v="2 hr 7 min 4s"/>
    <s v="utm-dhtc-qab"/>
    <x v="10"/>
    <d v="1899-12-30T02:19:37"/>
    <d v="1899-12-30T02:03:54"/>
    <n v="0"/>
    <n v="0"/>
  </r>
  <r>
    <n v="23"/>
    <s v="RACHEAL KYALIMPA"/>
    <d v="1899-12-30T20:37:47"/>
    <d v="1899-12-30T20:37:50"/>
    <d v="1899-12-30T22:57:24"/>
    <s v="2 hr 18 min 47s"/>
    <s v="utm-dhtc-qab"/>
    <x v="10"/>
    <d v="1899-12-30T02:19:37"/>
    <d v="1899-12-30T02:03:53"/>
    <n v="0"/>
    <n v="0"/>
  </r>
  <r>
    <n v="24"/>
    <s v="RODGERS AHEBWA"/>
    <d v="1899-12-30T20:37:47"/>
    <d v="1899-12-30T20:37:50"/>
    <d v="1899-12-30T22:57:24"/>
    <s v="2 hr 7 min 4s"/>
    <s v="utm-dhtc-qab"/>
    <x v="10"/>
    <d v="1899-12-30T02:19:37"/>
    <d v="1899-12-30T02:03:52"/>
    <n v="0"/>
    <n v="0"/>
  </r>
  <r>
    <n v="25"/>
    <s v="RTN JOSES KAYUNGA"/>
    <d v="1899-12-30T20:37:47"/>
    <d v="1899-12-30T20:37:50"/>
    <d v="1899-12-30T22:57:24"/>
    <s v="2 hr 18 min 47s"/>
    <s v="utm-dhtc-qab"/>
    <x v="10"/>
    <d v="1899-12-30T02:19:37"/>
    <d v="1899-12-30T02:03:51"/>
    <n v="0"/>
    <n v="0"/>
  </r>
  <r>
    <n v="26"/>
    <s v="TORY MOLS"/>
    <d v="1899-12-30T20:37:47"/>
    <d v="1899-12-30T22:45:20"/>
    <d v="1899-12-30T22:57:24"/>
    <s v="11 min 58s"/>
    <s v="utm-dhtc-qab"/>
    <x v="10"/>
    <d v="1899-12-30T02:19:37"/>
    <d v="1899-12-30T02:03:50"/>
    <n v="0"/>
    <n v="0"/>
  </r>
  <r>
    <n v="27"/>
    <s v="TURINAWE PATIENCE"/>
    <d v="1899-12-30T20:37:47"/>
    <d v="1899-12-30T20:37:50"/>
    <d v="1899-12-30T22:57:24"/>
    <s v="2 hr 7 min 4s"/>
    <s v="utm-dhtc-qab"/>
    <x v="10"/>
    <d v="1899-12-30T02:19:37"/>
    <d v="1899-12-30T02:03:50"/>
    <n v="0"/>
    <n v="0"/>
  </r>
  <r>
    <n v="1"/>
    <s v="AMARA BAJAHA"/>
    <d v="1899-12-30T20:36:56"/>
    <d v="1899-12-30T20:37:00"/>
    <d v="1899-12-30T22:21:12"/>
    <s v="1 hr 40 min 29s"/>
    <s v="xcg-iedr-bvk"/>
    <x v="11"/>
    <d v="1899-12-30T01:44:16"/>
    <d v="1899-12-30T02:03:49"/>
    <n v="0"/>
    <n v="0"/>
  </r>
  <r>
    <n v="2"/>
    <s v="ANTHONY GODSON AIDOO"/>
    <d v="1899-12-30T20:36:56"/>
    <d v="1899-12-30T20:37:34"/>
    <d v="1899-12-30T22:21:12"/>
    <s v="1 hr 39 min 24s"/>
    <s v="xcg-iedr-bvk"/>
    <x v="11"/>
    <d v="1899-12-30T01:44:16"/>
    <d v="1899-12-30T02:03:50"/>
    <n v="0"/>
    <n v="0"/>
  </r>
  <r>
    <n v="3"/>
    <s v="BENJAMIN MALES LOKOYA"/>
    <d v="1899-12-30T20:36:56"/>
    <d v="1899-12-30T20:37:00"/>
    <d v="1899-12-30T22:21:12"/>
    <s v="1 hr 18 min 55s"/>
    <s v="xcg-iedr-bvk"/>
    <x v="11"/>
    <d v="1899-12-30T01:44:16"/>
    <d v="1899-12-30T02:03:51"/>
    <n v="0"/>
    <n v="0"/>
  </r>
  <r>
    <n v="4"/>
    <s v="CHRISTINA MOTHOBI"/>
    <d v="1899-12-30T20:36:56"/>
    <d v="1899-12-30T20:37:00"/>
    <d v="1899-12-30T22:21:12"/>
    <s v="1 hr 10 min 2s"/>
    <s v="xcg-iedr-bvk"/>
    <x v="11"/>
    <d v="1899-12-30T01:44:16"/>
    <d v="1899-12-30T02:03:52"/>
    <n v="0"/>
    <n v="0"/>
  </r>
  <r>
    <n v="5"/>
    <s v="CPAJULIUS CHERUIYOT"/>
    <d v="1899-12-30T20:36:56"/>
    <d v="1899-12-30T20:37:00"/>
    <d v="1899-12-30T22:21:12"/>
    <s v="1 hr 10 min 2s"/>
    <s v="xcg-iedr-bvk"/>
    <x v="11"/>
    <d v="1899-12-30T01:44:16"/>
    <d v="1899-12-30T02:03:53"/>
    <n v="0"/>
    <n v="0"/>
  </r>
  <r>
    <n v="6"/>
    <s v="DIMA JAMES"/>
    <d v="1899-12-30T20:36:56"/>
    <d v="1899-12-30T20:37:00"/>
    <d v="1899-12-30T22:21:12"/>
    <s v="1 hr 43 min 21s"/>
    <s v="xcg-iedr-bvk"/>
    <x v="11"/>
    <d v="1899-12-30T01:44:16"/>
    <d v="1899-12-30T02:03:54"/>
    <n v="0"/>
    <n v="0"/>
  </r>
  <r>
    <n v="7"/>
    <s v="EL MAJID SWALEH"/>
    <d v="1899-12-30T20:36:56"/>
    <d v="1899-12-30T20:37:00"/>
    <d v="1899-12-30T22:21:12"/>
    <s v="1 hr 10 min 2s"/>
    <s v="xcg-iedr-bvk"/>
    <x v="11"/>
    <d v="1899-12-30T01:44:16"/>
    <d v="1899-12-30T02:03:55"/>
    <n v="0"/>
    <n v="0"/>
  </r>
  <r>
    <n v="8"/>
    <s v="EMMANUEL JOBS"/>
    <d v="1899-12-30T20:36:56"/>
    <d v="1899-12-30T21:47:53"/>
    <d v="1899-12-30T22:21:12"/>
    <s v="23 min 50s"/>
    <s v="xcg-iedr-bvk"/>
    <x v="11"/>
    <d v="1899-12-30T01:44:16"/>
    <d v="1899-12-30T02:03:56"/>
    <n v="0"/>
    <n v="0"/>
  </r>
  <r>
    <n v="9"/>
    <s v="GODFREY BIRUNGI"/>
    <d v="1899-12-30T20:36:56"/>
    <d v="1899-12-30T20:37:00"/>
    <d v="1899-12-30T22:21:12"/>
    <s v="1 hr 43 min 21s"/>
    <s v="xcg-iedr-bvk"/>
    <x v="11"/>
    <d v="1899-12-30T01:44:16"/>
    <d v="1899-12-30T02:03:57"/>
    <n v="0"/>
    <n v="0"/>
  </r>
  <r>
    <n v="10"/>
    <s v="HAROLD SUCCESS GOLAFALE"/>
    <d v="1899-12-30T20:36:56"/>
    <d v="1899-12-30T20:37:00"/>
    <d v="1899-12-30T22:21:12"/>
    <s v="1 hr 10 min 2s"/>
    <s v="xcg-iedr-bvk"/>
    <x v="11"/>
    <d v="1899-12-30T01:44:16"/>
    <d v="1899-12-30T02:03:58"/>
    <n v="0"/>
    <n v="0"/>
  </r>
  <r>
    <n v="11"/>
    <s v="HENRY CHELELE"/>
    <d v="1899-12-30T20:36:56"/>
    <d v="1899-12-30T20:37:00"/>
    <d v="1899-12-30T22:21:12"/>
    <s v="1 hr 40 min 12s"/>
    <s v="xcg-iedr-bvk"/>
    <x v="11"/>
    <d v="1899-12-30T01:44:16"/>
    <d v="1899-12-30T02:03:59"/>
    <n v="0"/>
    <n v="0"/>
  </r>
  <r>
    <n v="12"/>
    <s v="JOHN RWARU"/>
    <d v="1899-12-30T20:36:56"/>
    <d v="1899-12-30T20:37:00"/>
    <d v="1899-12-30T22:21:12"/>
    <s v="1 hr 21 min 41s"/>
    <s v="xcg-iedr-bvk"/>
    <x v="11"/>
    <d v="1899-12-30T01:44:16"/>
    <d v="1899-12-30T02:04:01"/>
    <n v="0"/>
    <n v="0"/>
  </r>
  <r>
    <n v="13"/>
    <s v="JOSEPH MBOGO"/>
    <d v="1899-12-30T20:36:56"/>
    <d v="1899-12-30T20:37:00"/>
    <d v="1899-12-30T22:21:12"/>
    <s v="1 hr 39 min 39s"/>
    <s v="xcg-iedr-bvk"/>
    <x v="11"/>
    <d v="1899-12-30T01:44:16"/>
    <d v="1899-12-30T02:04:02"/>
    <n v="0"/>
    <n v="0"/>
  </r>
  <r>
    <n v="14"/>
    <s v="KAKOOZA GODFREY"/>
    <d v="1899-12-30T20:36:56"/>
    <d v="1899-12-30T21:47:53"/>
    <d v="1899-12-30T22:21:12"/>
    <s v="13 min 12s"/>
    <s v="xcg-iedr-bvk"/>
    <x v="11"/>
    <d v="1899-12-30T01:44:16"/>
    <d v="1899-12-30T02:04:03"/>
    <n v="0"/>
    <n v="0"/>
  </r>
  <r>
    <n v="15"/>
    <s v="KAMARA"/>
    <d v="1899-12-30T20:36:56"/>
    <d v="1899-12-30T20:37:00"/>
    <d v="1899-12-30T22:21:12"/>
    <s v="1 hr 10 min 2s"/>
    <s v="xcg-iedr-bvk"/>
    <x v="11"/>
    <d v="1899-12-30T01:44:16"/>
    <d v="1899-12-30T02:04:04"/>
    <n v="0"/>
    <n v="0"/>
  </r>
  <r>
    <n v="16"/>
    <s v="KAMAU RUTH"/>
    <d v="1899-12-30T20:36:56"/>
    <d v="1899-12-30T21:47:53"/>
    <d v="1899-12-30T22:21:12"/>
    <s v="23 min 41s"/>
    <s v="xcg-iedr-bvk"/>
    <x v="11"/>
    <d v="1899-12-30T01:44:16"/>
    <d v="1899-12-30T02:04:05"/>
    <n v="0"/>
    <n v="0"/>
  </r>
  <r>
    <n v="17"/>
    <s v="LINUS SANKEI"/>
    <d v="1899-12-30T20:36:56"/>
    <d v="1899-12-30T20:37:00"/>
    <d v="1899-12-30T22:21:12"/>
    <s v="1 hr 25 min 19s"/>
    <s v="xcg-iedr-bvk"/>
    <x v="11"/>
    <d v="1899-12-30T01:44:16"/>
    <d v="1899-12-30T02:04:06"/>
    <n v="0"/>
    <n v="0"/>
  </r>
  <r>
    <n v="18"/>
    <s v="MARGARET NASSOLO"/>
    <d v="1899-12-30T20:36:56"/>
    <d v="1899-12-30T20:37:00"/>
    <d v="1899-12-30T22:21:12"/>
    <s v="1 hr 10 min 2s"/>
    <s v="xcg-iedr-bvk"/>
    <x v="11"/>
    <d v="1899-12-30T01:44:16"/>
    <d v="1899-12-30T02:04:07"/>
    <n v="0"/>
    <n v="0"/>
  </r>
  <r>
    <n v="19"/>
    <s v="MARTIN LEMI"/>
    <d v="1899-12-30T20:36:56"/>
    <d v="1899-12-30T20:37:00"/>
    <d v="1899-12-30T22:21:12"/>
    <s v="1 hr 40 min 23s"/>
    <s v="xcg-iedr-bvk"/>
    <x v="11"/>
    <d v="1899-12-30T01:44:16"/>
    <d v="1899-12-30T02:04:08"/>
    <n v="0"/>
    <n v="0"/>
  </r>
  <r>
    <n v="20"/>
    <s v="MILDRED DRUSILA"/>
    <d v="1899-12-30T20:36:56"/>
    <d v="1899-12-30T20:37:00"/>
    <d v="1899-12-30T22:21:12"/>
    <s v="1 hr 40 min 53s"/>
    <s v="xcg-iedr-bvk"/>
    <x v="11"/>
    <d v="1899-12-30T01:44:16"/>
    <d v="1899-12-30T02:04:09"/>
    <n v="0"/>
    <n v="0"/>
  </r>
  <r>
    <n v="21"/>
    <s v="MOHAMED SALLY KAMARA"/>
    <d v="1899-12-30T20:36:56"/>
    <d v="1899-12-30T21:47:53"/>
    <d v="1899-12-30T22:21:12"/>
    <s v="29 min 57s"/>
    <s v="xcg-iedr-bvk"/>
    <x v="11"/>
    <d v="1899-12-30T01:44:16"/>
    <d v="1899-12-30T02:04:10"/>
    <n v="0"/>
    <n v="0"/>
  </r>
  <r>
    <n v="22"/>
    <s v="MOZE KEYZ"/>
    <d v="1899-12-30T20:36:56"/>
    <d v="1899-12-30T20:37:00"/>
    <d v="1899-12-30T22:21:12"/>
    <s v="1 hr 23 min 42s"/>
    <s v="xcg-iedr-bvk"/>
    <x v="11"/>
    <d v="1899-12-30T01:44:16"/>
    <d v="1899-12-30T02:04:11"/>
    <n v="0"/>
    <n v="0"/>
  </r>
  <r>
    <n v="23"/>
    <s v="NDAGIRE AGNES"/>
    <d v="1899-12-30T20:36:56"/>
    <d v="1899-12-30T21:57:01"/>
    <d v="1899-12-30T22:21:12"/>
    <s v="4 min 33s"/>
    <s v="xcg-iedr-bvk"/>
    <x v="11"/>
    <d v="1899-12-30T01:44:16"/>
    <d v="1899-12-30T02:04:12"/>
    <n v="0"/>
    <n v="0"/>
  </r>
  <r>
    <n v="24"/>
    <s v="OMELLA OWEN"/>
    <d v="1899-12-30T20:36:56"/>
    <d v="1899-12-30T20:37:00"/>
    <d v="1899-12-30T22:21:12"/>
    <s v="1 hr 37 min 51s"/>
    <s v="xcg-iedr-bvk"/>
    <x v="11"/>
    <d v="1899-12-30T01:44:16"/>
    <d v="1899-12-30T02:04:14"/>
    <n v="0"/>
    <n v="0"/>
  </r>
  <r>
    <n v="25"/>
    <s v="ONESMUS KORIR"/>
    <d v="1899-12-30T20:36:56"/>
    <d v="1899-12-30T20:37:00"/>
    <d v="1899-12-30T22:21:12"/>
    <s v="1 hr 25 min 10s"/>
    <s v="xcg-iedr-bvk"/>
    <x v="11"/>
    <d v="1899-12-30T01:44:16"/>
    <d v="1899-12-30T02:04:15"/>
    <n v="0"/>
    <n v="0"/>
  </r>
  <r>
    <n v="26"/>
    <s v="PRINCESS MAJOLA"/>
    <d v="1899-12-30T20:36:56"/>
    <d v="1899-12-30T20:37:00"/>
    <d v="1899-12-30T22:21:12"/>
    <s v="1 hr 23 min 10s"/>
    <s v="xcg-iedr-bvk"/>
    <x v="11"/>
    <d v="1899-12-30T01:44:16"/>
    <d v="1899-12-30T02:04:16"/>
    <n v="0"/>
    <n v="0"/>
  </r>
  <r>
    <n v="27"/>
    <s v="RACHEAL KYALIMPA"/>
    <d v="1899-12-30T20:36:56"/>
    <d v="1899-12-30T20:37:00"/>
    <d v="1899-12-30T22:21:12"/>
    <s v="1 hr 23 min 41s"/>
    <s v="xcg-iedr-bvk"/>
    <x v="11"/>
    <d v="1899-12-30T01:44:16"/>
    <d v="1899-12-30T02:04:17"/>
    <n v="0"/>
    <n v="0"/>
  </r>
  <r>
    <n v="28"/>
    <s v="ROBERT MAKUBUYA"/>
    <d v="1899-12-30T20:36:56"/>
    <d v="1899-12-30T20:37:00"/>
    <d v="1899-12-30T22:21:12"/>
    <s v="1 hr 37 min 40s"/>
    <s v="xcg-iedr-bvk"/>
    <x v="11"/>
    <d v="1899-12-30T01:44:16"/>
    <d v="1899-12-30T02:04:18"/>
    <n v="0"/>
    <n v="0"/>
  </r>
  <r>
    <n v="29"/>
    <s v="RODGERS AHEBWA"/>
    <d v="1899-12-30T20:36:56"/>
    <d v="1899-12-30T20:37:00"/>
    <d v="1899-12-30T22:21:12"/>
    <s v="1 hr 26 min 55s"/>
    <s v="xcg-iedr-bvk"/>
    <x v="11"/>
    <d v="1899-12-30T01:44:16"/>
    <d v="1899-12-30T02:04:19"/>
    <n v="0"/>
    <n v="0"/>
  </r>
  <r>
    <n v="30"/>
    <s v="RTN JOSES KAYUNGA"/>
    <d v="1899-12-30T20:36:56"/>
    <d v="1899-12-30T21:47:53"/>
    <d v="1899-12-30T22:21:12"/>
    <s v="29 min 51s"/>
    <s v="xcg-iedr-bvk"/>
    <x v="11"/>
    <d v="1899-12-30T01:44:16"/>
    <d v="1899-12-30T02:04:20"/>
    <n v="0"/>
    <n v="0"/>
  </r>
  <r>
    <n v="31"/>
    <s v="TORY MOLS"/>
    <d v="1899-12-30T20:36:56"/>
    <d v="1899-12-30T21:47:53"/>
    <d v="1899-12-30T22:21:12"/>
    <s v="33 min 19s"/>
    <s v="xcg-iedr-bvk"/>
    <x v="11"/>
    <d v="1899-12-30T01:44:16"/>
    <d v="1899-12-30T02:04:21"/>
    <n v="0"/>
    <n v="0"/>
  </r>
  <r>
    <n v="32"/>
    <s v="YUSUPHA SEESAY"/>
    <d v="1899-12-30T20:36:56"/>
    <d v="1899-12-30T20:37:00"/>
    <d v="1899-12-30T22:21:12"/>
    <s v="1 hr 10 min 2s"/>
    <s v="xcg-iedr-bvk"/>
    <x v="11"/>
    <d v="1899-12-30T01:44:16"/>
    <d v="1899-12-30T02:04:22"/>
    <n v="0"/>
    <n v="0"/>
  </r>
  <r>
    <n v="1"/>
    <s v="AMARA BAJAHA"/>
    <d v="1899-12-30T20:40:19"/>
    <d v="1899-12-30T20:40:23"/>
    <d v="1899-12-30T22:23:40"/>
    <s v="1 hr 43 min 17s"/>
    <s v="biw-tumb-mxh"/>
    <x v="12"/>
    <d v="1899-12-30T01:43:21"/>
    <d v="1899-12-30T02:04:24"/>
    <n v="0"/>
    <n v="0"/>
  </r>
  <r>
    <n v="2"/>
    <s v="ANGULA ROSAMUNDE"/>
    <d v="1899-12-30T20:40:19"/>
    <d v="1899-12-30T20:40:23"/>
    <d v="1899-12-30T22:23:40"/>
    <s v="1 hr 43 min 15s"/>
    <s v="biw-tumb-mxh"/>
    <x v="12"/>
    <d v="1899-12-30T01:43:21"/>
    <d v="1899-12-30T02:04:25"/>
    <n v="0"/>
    <n v="0"/>
  </r>
  <r>
    <n v="3"/>
    <s v="ANTHONY GODSON AIDOO"/>
    <d v="1899-12-30T20:40:19"/>
    <d v="1899-12-30T20:40:23"/>
    <d v="1899-12-30T22:23:40"/>
    <s v="1 hr 43 min 10s"/>
    <s v="biw-tumb-mxh"/>
    <x v="12"/>
    <d v="1899-12-30T01:43:21"/>
    <d v="1899-12-30T02:04:26"/>
    <n v="0"/>
    <n v="0"/>
  </r>
  <r>
    <n v="4"/>
    <s v="AZEDRIS JAMIL KASANGO"/>
    <d v="1899-12-30T20:40:19"/>
    <d v="1899-12-30T22:17:29"/>
    <d v="1899-12-30T22:23:40"/>
    <s v="6 min 5s"/>
    <s v="biw-tumb-mxh"/>
    <x v="12"/>
    <d v="1899-12-30T01:43:21"/>
    <d v="1899-12-30T02:04:27"/>
    <n v="0"/>
    <n v="0"/>
  </r>
  <r>
    <n v="5"/>
    <s v="BENJAMIN MALES LOKOYA"/>
    <d v="1899-12-30T20:40:19"/>
    <d v="1899-12-30T20:40:23"/>
    <d v="1899-12-30T22:23:40"/>
    <s v="1 hr 37 min 5s"/>
    <s v="biw-tumb-mxh"/>
    <x v="12"/>
    <d v="1899-12-30T01:43:21"/>
    <d v="1899-12-30T02:04:28"/>
    <n v="0"/>
    <n v="0"/>
  </r>
  <r>
    <n v="6"/>
    <s v="CHRISTINA MOTHOBI"/>
    <d v="1899-12-30T20:40:19"/>
    <d v="1899-12-30T20:40:23"/>
    <d v="1899-12-30T22:23:40"/>
    <s v="1 hr 37 min 5s"/>
    <s v="biw-tumb-mxh"/>
    <x v="12"/>
    <d v="1899-12-30T01:43:21"/>
    <d v="1899-12-30T02:04:29"/>
    <n v="0"/>
    <n v="0"/>
  </r>
  <r>
    <n v="7"/>
    <s v="DIMA JAMES"/>
    <d v="1899-12-30T20:40:19"/>
    <d v="1899-12-30T20:40:23"/>
    <d v="1899-12-30T22:23:40"/>
    <s v="1 hr 43 min 17s"/>
    <s v="biw-tumb-mxh"/>
    <x v="12"/>
    <d v="1899-12-30T01:43:21"/>
    <d v="1899-12-30T02:04:31"/>
    <n v="0"/>
    <n v="0"/>
  </r>
  <r>
    <n v="8"/>
    <s v="EL MAJID SWALEH"/>
    <d v="1899-12-30T20:40:19"/>
    <d v="1899-12-30T20:40:23"/>
    <d v="1899-12-30T22:23:40"/>
    <s v="1 hr 37 min 5s"/>
    <s v="biw-tumb-mxh"/>
    <x v="12"/>
    <d v="1899-12-30T01:43:21"/>
    <d v="1899-12-30T02:04:32"/>
    <n v="0"/>
    <n v="0"/>
  </r>
  <r>
    <n v="9"/>
    <s v="EMMANUEL JOBS"/>
    <d v="1899-12-30T20:40:19"/>
    <d v="1899-12-30T20:40:23"/>
    <d v="1899-12-30T22:23:40"/>
    <s v="1 hr 43 min 10s"/>
    <s v="biw-tumb-mxh"/>
    <x v="12"/>
    <d v="1899-12-30T01:43:21"/>
    <d v="1899-12-30T02:04:33"/>
    <n v="0"/>
    <n v="0"/>
  </r>
  <r>
    <n v="10"/>
    <s v="FREDY BAHILI"/>
    <d v="1899-12-30T20:40:19"/>
    <d v="1899-12-30T20:40:23"/>
    <d v="1899-12-30T22:23:40"/>
    <s v="1 hr 37 min 5s"/>
    <s v="biw-tumb-mxh"/>
    <x v="12"/>
    <d v="1899-12-30T01:43:21"/>
    <d v="1899-12-30T02:04:34"/>
    <n v="0"/>
    <n v="0"/>
  </r>
  <r>
    <n v="11"/>
    <s v="GODFREY BIRUNGI"/>
    <d v="1899-12-30T20:40:19"/>
    <d v="1899-12-30T20:40:23"/>
    <d v="1899-12-30T22:23:40"/>
    <s v="1 hr 43 min 17s"/>
    <s v="biw-tumb-mxh"/>
    <x v="12"/>
    <d v="1899-12-30T01:43:21"/>
    <d v="1899-12-30T02:04:35"/>
    <n v="0"/>
    <n v="0"/>
  </r>
  <r>
    <n v="12"/>
    <s v="HAROLD SUCCESS GOLAFALE"/>
    <d v="1899-12-30T20:40:19"/>
    <d v="1899-12-30T20:40:23"/>
    <d v="1899-12-30T22:23:40"/>
    <s v="1 hr 37 min 5s"/>
    <s v="biw-tumb-mxh"/>
    <x v="12"/>
    <d v="1899-12-30T01:43:21"/>
    <d v="1899-12-30T02:04:37"/>
    <n v="0"/>
    <n v="0"/>
  </r>
  <r>
    <n v="13"/>
    <s v="HENRY CHELELE"/>
    <d v="1899-12-30T20:40:19"/>
    <d v="1899-12-30T20:40:23"/>
    <d v="1899-12-30T22:23:40"/>
    <s v="1 hr 43 min 10s"/>
    <s v="biw-tumb-mxh"/>
    <x v="12"/>
    <d v="1899-12-30T01:43:21"/>
    <d v="1899-12-30T02:04:38"/>
    <n v="0"/>
    <n v="0"/>
  </r>
  <r>
    <n v="14"/>
    <s v="JOHN RWARU"/>
    <d v="1899-12-30T20:40:19"/>
    <d v="1899-12-30T20:40:23"/>
    <d v="1899-12-30T22:23:40"/>
    <s v="1 hr 43 min 10s"/>
    <s v="biw-tumb-mxh"/>
    <x v="12"/>
    <d v="1899-12-30T01:43:21"/>
    <d v="1899-12-30T02:04:39"/>
    <n v="0"/>
    <n v="0"/>
  </r>
  <r>
    <n v="15"/>
    <s v="JOSEPH MBOGO"/>
    <d v="1899-12-30T20:40:19"/>
    <d v="1899-12-30T20:40:23"/>
    <d v="1899-12-30T22:23:40"/>
    <s v="1 hr 43 min 17s"/>
    <s v="biw-tumb-mxh"/>
    <x v="12"/>
    <d v="1899-12-30T01:43:21"/>
    <d v="1899-12-30T02:04:40"/>
    <n v="0"/>
    <n v="0"/>
  </r>
  <r>
    <n v="16"/>
    <s v="KAKOOZA GODFREY"/>
    <d v="1899-12-30T20:40:19"/>
    <d v="1899-12-30T20:40:23"/>
    <d v="1899-12-30T22:23:40"/>
    <s v="1 hr 37 min 5s"/>
    <s v="biw-tumb-mxh"/>
    <x v="12"/>
    <d v="1899-12-30T01:43:21"/>
    <d v="1899-12-30T02:04:41"/>
    <n v="0"/>
    <n v="0"/>
  </r>
  <r>
    <n v="17"/>
    <s v="KAMAU RUTH"/>
    <d v="1899-12-30T20:40:19"/>
    <d v="1899-12-30T20:40:23"/>
    <d v="1899-12-30T22:23:40"/>
    <s v="1 hr 43 min 10s"/>
    <s v="biw-tumb-mxh"/>
    <x v="12"/>
    <d v="1899-12-30T01:43:21"/>
    <d v="1899-12-30T02:04:43"/>
    <n v="0"/>
    <n v="0"/>
  </r>
  <r>
    <n v="18"/>
    <s v="LINUS SANKEI"/>
    <d v="1899-12-30T20:40:19"/>
    <d v="1899-12-30T20:40:23"/>
    <d v="1899-12-30T22:23:40"/>
    <s v="1 hr 43 min 10s"/>
    <s v="biw-tumb-mxh"/>
    <x v="12"/>
    <d v="1899-12-30T01:43:21"/>
    <d v="1899-12-30T02:04:44"/>
    <n v="0"/>
    <n v="0"/>
  </r>
  <r>
    <n v="19"/>
    <s v="LOKOSE ABEL"/>
    <d v="1899-12-30T20:40:19"/>
    <d v="1899-12-30T20:40:23"/>
    <d v="1899-12-30T22:23:40"/>
    <s v="1 hr 37 min 5s"/>
    <s v="biw-tumb-mxh"/>
    <x v="12"/>
    <d v="1899-12-30T01:43:21"/>
    <d v="1899-12-30T02:04:45"/>
    <n v="0"/>
    <n v="0"/>
  </r>
  <r>
    <n v="20"/>
    <s v="MAGHOGHO BOB"/>
    <d v="1899-12-30T20:40:19"/>
    <d v="1899-12-30T20:40:23"/>
    <d v="1899-12-30T22:23:40"/>
    <s v="1 hr 37 min 5s"/>
    <s v="biw-tumb-mxh"/>
    <x v="12"/>
    <d v="1899-12-30T01:43:21"/>
    <d v="1899-12-30T02:04:46"/>
    <n v="0"/>
    <n v="0"/>
  </r>
  <r>
    <n v="21"/>
    <s v="MARTIN LEMI"/>
    <d v="1899-12-30T20:40:19"/>
    <d v="1899-12-30T20:40:23"/>
    <d v="1899-12-30T22:23:40"/>
    <s v="1 hr 43 min 17s"/>
    <s v="biw-tumb-mxh"/>
    <x v="12"/>
    <d v="1899-12-30T01:43:21"/>
    <d v="1899-12-30T02:04:47"/>
    <n v="0"/>
    <n v="0"/>
  </r>
  <r>
    <n v="22"/>
    <s v="MILDRED DRUSILA"/>
    <d v="1899-12-30T20:40:19"/>
    <d v="1899-12-30T20:40:23"/>
    <d v="1899-12-30T22:23:40"/>
    <s v="1 hr 43 min 17s"/>
    <s v="biw-tumb-mxh"/>
    <x v="12"/>
    <d v="1899-12-30T01:43:21"/>
    <d v="1899-12-30T02:04:49"/>
    <n v="0"/>
    <n v="0"/>
  </r>
  <r>
    <n v="23"/>
    <s v="MOHAMED SALLY KAMARA"/>
    <d v="1899-12-30T20:40:19"/>
    <d v="1899-12-30T20:40:23"/>
    <d v="1899-12-30T22:23:40"/>
    <s v="1 hr 37 min 5s"/>
    <s v="biw-tumb-mxh"/>
    <x v="12"/>
    <d v="1899-12-30T01:43:21"/>
    <d v="1899-12-30T02:04:50"/>
    <n v="0"/>
    <n v="0"/>
  </r>
  <r>
    <n v="24"/>
    <s v="MOZE KEYZ"/>
    <d v="1899-12-30T20:40:19"/>
    <d v="1899-12-30T20:40:23"/>
    <d v="1899-12-30T22:23:40"/>
    <s v="1 hr 37 min 5s"/>
    <s v="biw-tumb-mxh"/>
    <x v="12"/>
    <d v="1899-12-30T01:43:21"/>
    <d v="1899-12-30T02:04:51"/>
    <n v="0"/>
    <n v="0"/>
  </r>
  <r>
    <n v="25"/>
    <s v="OCI GEOFFREY"/>
    <d v="1899-12-30T20:40:19"/>
    <d v="1899-12-30T20:40:23"/>
    <d v="1899-12-30T22:23:40"/>
    <s v="1 hr 37 min 26s"/>
    <s v="biw-tumb-mxh"/>
    <x v="12"/>
    <d v="1899-12-30T01:43:21"/>
    <d v="1899-12-30T02:04:52"/>
    <n v="0"/>
    <n v="0"/>
  </r>
  <r>
    <n v="26"/>
    <s v="PRINCESS MAJOLA"/>
    <d v="1899-12-30T20:40:19"/>
    <d v="1899-12-30T20:40:23"/>
    <d v="1899-12-30T22:23:40"/>
    <s v="1 hr 43 min 10s"/>
    <s v="biw-tumb-mxh"/>
    <x v="12"/>
    <d v="1899-12-30T01:43:21"/>
    <d v="1899-12-30T02:04:54"/>
    <n v="0"/>
    <n v="0"/>
  </r>
  <r>
    <n v="27"/>
    <s v="RACHEAL KYALIMPA"/>
    <d v="1899-12-30T20:40:19"/>
    <d v="1899-12-30T20:40:23"/>
    <d v="1899-12-30T22:23:40"/>
    <s v="1 hr 37 min 5s"/>
    <s v="biw-tumb-mxh"/>
    <x v="12"/>
    <d v="1899-12-30T01:43:21"/>
    <d v="1899-12-30T02:04:55"/>
    <n v="0"/>
    <n v="0"/>
  </r>
  <r>
    <n v="28"/>
    <s v="ROBERT ESSUON"/>
    <d v="1899-12-30T20:40:19"/>
    <d v="1899-12-30T20:40:23"/>
    <d v="1899-12-30T22:23:40"/>
    <s v="1 hr 37 min 5s"/>
    <s v="biw-tumb-mxh"/>
    <x v="12"/>
    <d v="1899-12-30T01:43:21"/>
    <d v="1899-12-30T02:04:56"/>
    <n v="0"/>
    <n v="0"/>
  </r>
  <r>
    <n v="29"/>
    <s v="ROBERT MAKUBUYA"/>
    <d v="1899-12-30T20:40:19"/>
    <d v="1899-12-30T22:17:29"/>
    <d v="1899-12-30T22:23:40"/>
    <s v="6 min 5s"/>
    <s v="biw-tumb-mxh"/>
    <x v="12"/>
    <d v="1899-12-30T01:43:21"/>
    <d v="1899-12-30T02:04:57"/>
    <n v="0"/>
    <n v="0"/>
  </r>
  <r>
    <n v="30"/>
    <s v="RODGERS AHEBWA"/>
    <d v="1899-12-30T20:40:19"/>
    <d v="1899-12-30T20:40:23"/>
    <d v="1899-12-30T22:23:40"/>
    <s v="1 hr 43 min 10s"/>
    <s v="biw-tumb-mxh"/>
    <x v="12"/>
    <d v="1899-12-30T01:43:21"/>
    <d v="1899-12-30T02:04:59"/>
    <n v="0"/>
    <n v="0"/>
  </r>
  <r>
    <n v="31"/>
    <s v="RTN JOSES KAYUNGA"/>
    <d v="1899-12-30T20:40:19"/>
    <d v="1899-12-30T20:40:23"/>
    <d v="1899-12-30T22:23:40"/>
    <s v="1 hr 43 min 10s"/>
    <s v="biw-tumb-mxh"/>
    <x v="12"/>
    <d v="1899-12-30T01:43:21"/>
    <d v="1899-12-30T02:05:00"/>
    <n v="0"/>
    <n v="0"/>
  </r>
  <r>
    <n v="32"/>
    <s v="SABO MIKE"/>
    <d v="1899-12-30T20:40:19"/>
    <d v="1899-12-30T20:40:23"/>
    <d v="1899-12-30T22:23:40"/>
    <s v="1 hr 37 min 5s"/>
    <s v="biw-tumb-mxh"/>
    <x v="12"/>
    <d v="1899-12-30T01:43:21"/>
    <d v="1899-12-30T02:05:01"/>
    <n v="0"/>
    <n v="0"/>
  </r>
  <r>
    <n v="33"/>
    <s v="TORY MOLS"/>
    <d v="1899-12-30T20:40:19"/>
    <d v="1899-12-30T20:40:23"/>
    <d v="1899-12-30T22:23:40"/>
    <s v="1 hr 43 min 10s"/>
    <s v="biw-tumb-mxh"/>
    <x v="12"/>
    <d v="1899-12-30T01:43:21"/>
    <d v="1899-12-30T02:05:02"/>
    <n v="0"/>
    <n v="0"/>
  </r>
  <r>
    <n v="34"/>
    <s v="YANGA SAMSON"/>
    <d v="1899-12-30T20:40:19"/>
    <d v="1899-12-30T20:40:23"/>
    <d v="1899-12-30T22:23:40"/>
    <s v="1 hr 37 min 5s"/>
    <s v="biw-tumb-mxh"/>
    <x v="12"/>
    <d v="1899-12-30T01:43:21"/>
    <d v="1899-12-30T02:05:04"/>
    <n v="0"/>
    <n v="0"/>
  </r>
  <r>
    <n v="1"/>
    <s v="ALEX MUHEREZA"/>
    <d v="1899-12-30T20:36:17"/>
    <d v="1899-12-30T20:48:44"/>
    <d v="1899-12-30T22:11:35"/>
    <s v="1 hr 22 min 51s"/>
    <s v="gzo-xsdr-gbk"/>
    <x v="13"/>
    <d v="1899-12-30T01:35:18"/>
    <d v="1899-12-30T02:05:05"/>
    <n v="0"/>
    <n v="0"/>
  </r>
  <r>
    <n v="2"/>
    <s v="AMARA BAJAHA"/>
    <d v="1899-12-30T20:36:17"/>
    <d v="1899-12-30T20:36:21"/>
    <d v="1899-12-30T22:11:35"/>
    <s v="1 hr 35 min 13s"/>
    <s v="gzo-xsdr-gbk"/>
    <x v="13"/>
    <d v="1899-12-30T01:35:18"/>
    <d v="1899-12-30T02:05:06"/>
    <n v="0"/>
    <n v="0"/>
  </r>
  <r>
    <n v="3"/>
    <s v="ANGULA ROSAMUNDE"/>
    <d v="1899-12-30T20:36:17"/>
    <d v="1899-12-30T20:36:21"/>
    <d v="1899-12-30T22:11:35"/>
    <s v="1 hr 35 min 13s"/>
    <s v="gzo-xsdr-gbk"/>
    <x v="13"/>
    <d v="1899-12-30T01:35:18"/>
    <d v="1899-12-30T02:05:08"/>
    <n v="0"/>
    <n v="0"/>
  </r>
  <r>
    <n v="4"/>
    <s v="ANTHONY GODSON AIDOO"/>
    <d v="1899-12-30T20:36:17"/>
    <d v="1899-12-30T20:48:44"/>
    <d v="1899-12-30T22:11:35"/>
    <s v="1 hr 22 min 51s"/>
    <s v="gzo-xsdr-gbk"/>
    <x v="13"/>
    <d v="1899-12-30T01:35:18"/>
    <d v="1899-12-30T02:05:10"/>
    <n v="0"/>
    <n v="0"/>
  </r>
  <r>
    <n v="5"/>
    <s v="BENJAMIN MALES LOKOYA"/>
    <d v="1899-12-30T20:36:17"/>
    <d v="1899-12-30T20:36:21"/>
    <d v="1899-12-30T22:11:35"/>
    <s v="1 hr 35 min 13s"/>
    <s v="gzo-xsdr-gbk"/>
    <x v="13"/>
    <d v="1899-12-30T01:35:18"/>
    <d v="1899-12-30T02:05:12"/>
    <n v="0"/>
    <n v="0"/>
  </r>
  <r>
    <n v="6"/>
    <s v="CHERUU JUL"/>
    <d v="1899-12-30T20:36:17"/>
    <d v="1899-12-30T20:36:21"/>
    <d v="1899-12-30T22:11:35"/>
    <s v="1 hr 35 min 13s"/>
    <s v="gzo-xsdr-gbk"/>
    <x v="13"/>
    <d v="1899-12-30T01:35:18"/>
    <d v="1899-12-30T02:05:13"/>
    <n v="0"/>
    <n v="0"/>
  </r>
  <r>
    <n v="7"/>
    <s v="CHRISTINA MOTHOBI"/>
    <d v="1899-12-30T20:36:17"/>
    <d v="1899-12-30T20:36:21"/>
    <d v="1899-12-30T22:11:35"/>
    <s v="1 hr 35 min 13s"/>
    <s v="gzo-xsdr-gbk"/>
    <x v="13"/>
    <d v="1899-12-30T01:35:18"/>
    <d v="1899-12-30T02:05:15"/>
    <n v="0"/>
    <n v="0"/>
  </r>
  <r>
    <n v="8"/>
    <s v="CHRISTOPHER MODI"/>
    <d v="1899-12-30T20:36:17"/>
    <d v="1899-12-30T20:48:44"/>
    <d v="1899-12-30T22:11:35"/>
    <s v="1 hr 22 min 51s"/>
    <s v="gzo-xsdr-gbk"/>
    <x v="13"/>
    <d v="1899-12-30T01:35:18"/>
    <d v="1899-12-30T02:05:17"/>
    <n v="0"/>
    <n v="0"/>
  </r>
  <r>
    <n v="9"/>
    <s v="CPAJULIUS CHERUIYOT"/>
    <d v="1899-12-30T20:36:17"/>
    <d v="1899-12-30T20:36:21"/>
    <d v="1899-12-30T22:11:35"/>
    <s v="1 hr 35 min 13s"/>
    <s v="gzo-xsdr-gbk"/>
    <x v="13"/>
    <d v="1899-12-30T01:35:18"/>
    <d v="1899-12-30T02:05:19"/>
    <n v="0"/>
    <n v="0"/>
  </r>
  <r>
    <n v="10"/>
    <s v="DIMA JAMES"/>
    <d v="1899-12-30T20:36:17"/>
    <d v="1899-12-30T20:48:44"/>
    <d v="1899-12-30T22:11:35"/>
    <s v="1 hr 22 min 51s"/>
    <s v="gzo-xsdr-gbk"/>
    <x v="13"/>
    <d v="1899-12-30T01:35:18"/>
    <d v="1899-12-30T02:05:20"/>
    <n v="0"/>
    <n v="0"/>
  </r>
  <r>
    <n v="11"/>
    <s v="EL MAJID SWALEH"/>
    <d v="1899-12-30T20:36:17"/>
    <d v="1899-12-30T20:36:21"/>
    <d v="1899-12-30T22:11:35"/>
    <s v="1 hr 35 min 13s"/>
    <s v="gzo-xsdr-gbk"/>
    <x v="13"/>
    <d v="1899-12-30T01:35:18"/>
    <d v="1899-12-30T02:05:22"/>
    <n v="0"/>
    <n v="0"/>
  </r>
  <r>
    <n v="12"/>
    <s v="EMMANUEL JOBS"/>
    <d v="1899-12-30T20:36:17"/>
    <d v="1899-12-30T20:36:21"/>
    <d v="1899-12-30T22:11:35"/>
    <s v="1 hr 35 min 13s"/>
    <s v="gzo-xsdr-gbk"/>
    <x v="13"/>
    <d v="1899-12-30T01:35:18"/>
    <d v="1899-12-30T02:05:24"/>
    <n v="0"/>
    <n v="0"/>
  </r>
  <r>
    <n v="13"/>
    <s v="FREDY BAHILI"/>
    <d v="1899-12-30T20:36:17"/>
    <d v="1899-12-30T20:48:44"/>
    <d v="1899-12-30T22:11:35"/>
    <s v="1 hr 22 min 51s"/>
    <s v="gzo-xsdr-gbk"/>
    <x v="13"/>
    <d v="1899-12-30T01:35:18"/>
    <d v="1899-12-30T02:05:26"/>
    <n v="0"/>
    <n v="0"/>
  </r>
  <r>
    <n v="14"/>
    <s v="GEOFFREY OYET"/>
    <d v="1899-12-30T20:36:17"/>
    <d v="1899-12-30T20:36:21"/>
    <d v="1899-12-30T22:11:35"/>
    <s v="1 hr 35 min 13s"/>
    <s v="gzo-xsdr-gbk"/>
    <x v="13"/>
    <d v="1899-12-30T01:35:18"/>
    <d v="1899-12-30T02:05:27"/>
    <n v="0"/>
    <n v="0"/>
  </r>
  <r>
    <n v="15"/>
    <s v="GODFREY BIRUNGI"/>
    <d v="1899-12-30T20:36:17"/>
    <d v="1899-12-30T20:36:21"/>
    <d v="1899-12-30T22:11:35"/>
    <s v="1 hr 35 min 13s"/>
    <s v="gzo-xsdr-gbk"/>
    <x v="13"/>
    <d v="1899-12-30T01:35:18"/>
    <d v="1899-12-30T02:05:29"/>
    <n v="0"/>
    <n v="0"/>
  </r>
  <r>
    <n v="16"/>
    <s v="HENRY CHELELE"/>
    <d v="1899-12-30T20:36:17"/>
    <d v="1899-12-30T20:48:44"/>
    <d v="1899-12-30T22:11:35"/>
    <s v="1 hr 22 min 51s"/>
    <s v="gzo-xsdr-gbk"/>
    <x v="13"/>
    <d v="1899-12-30T01:35:18"/>
    <d v="1899-12-30T02:05:31"/>
    <n v="0"/>
    <n v="0"/>
  </r>
  <r>
    <n v="17"/>
    <s v="JOSEPH MBOGO"/>
    <d v="1899-12-30T20:36:17"/>
    <d v="1899-12-30T20:36:21"/>
    <d v="1899-12-30T22:11:35"/>
    <s v="1 hr 35 min 13s"/>
    <s v="gzo-xsdr-gbk"/>
    <x v="13"/>
    <d v="1899-12-30T01:35:18"/>
    <d v="1899-12-30T02:05:33"/>
    <n v="0"/>
    <n v="0"/>
  </r>
  <r>
    <n v="18"/>
    <s v="JOSEPH MUTIE"/>
    <d v="1899-12-30T20:36:17"/>
    <d v="1899-12-30T20:48:44"/>
    <d v="1899-12-30T22:11:35"/>
    <s v="1 hr 22 min 51s"/>
    <s v="gzo-xsdr-gbk"/>
    <x v="13"/>
    <d v="1899-12-30T01:35:18"/>
    <d v="1899-12-30T02:05:34"/>
    <n v="0"/>
    <n v="0"/>
  </r>
  <r>
    <n v="19"/>
    <s v="JOSHUA MHAKURE"/>
    <d v="1899-12-30T20:36:17"/>
    <d v="1899-12-30T20:48:44"/>
    <d v="1899-12-30T22:11:35"/>
    <s v="1 hr 22 min 51s"/>
    <s v="gzo-xsdr-gbk"/>
    <x v="13"/>
    <d v="1899-12-30T01:35:18"/>
    <d v="1899-12-30T02:05:36"/>
    <n v="0"/>
    <n v="0"/>
  </r>
  <r>
    <n v="20"/>
    <s v="KAKOOZA GODFREY"/>
    <d v="1899-12-30T20:36:17"/>
    <d v="1899-12-30T20:48:44"/>
    <d v="1899-12-30T22:11:35"/>
    <s v="1 hr 22 min 51s"/>
    <s v="gzo-xsdr-gbk"/>
    <x v="13"/>
    <d v="1899-12-30T01:35:18"/>
    <d v="1899-12-30T02:05:38"/>
    <n v="0"/>
    <n v="0"/>
  </r>
  <r>
    <n v="21"/>
    <s v="KAMAU RUTH"/>
    <d v="1899-12-30T20:36:17"/>
    <d v="1899-12-30T20:36:21"/>
    <d v="1899-12-30T22:11:35"/>
    <s v="1 hr 35 min 13s"/>
    <s v="gzo-xsdr-gbk"/>
    <x v="13"/>
    <d v="1899-12-30T01:35:18"/>
    <d v="1899-12-30T02:05:40"/>
    <n v="0"/>
    <n v="0"/>
  </r>
  <r>
    <n v="22"/>
    <s v="LINUS SANKEI"/>
    <d v="1899-12-30T20:36:17"/>
    <d v="1899-12-30T20:36:21"/>
    <d v="1899-12-30T22:11:35"/>
    <s v="1 hr 35 min 13s"/>
    <s v="gzo-xsdr-gbk"/>
    <x v="13"/>
    <d v="1899-12-30T01:35:18"/>
    <d v="1899-12-30T02:05:41"/>
    <n v="0"/>
    <n v="0"/>
  </r>
  <r>
    <n v="23"/>
    <s v="LOKOSE ABEL"/>
    <d v="1899-12-30T20:36:17"/>
    <d v="1899-12-30T20:48:44"/>
    <d v="1899-12-30T22:11:35"/>
    <s v="1 hr 22 min 51s"/>
    <s v="gzo-xsdr-gbk"/>
    <x v="13"/>
    <d v="1899-12-30T01:35:18"/>
    <d v="1899-12-30T02:05:43"/>
    <n v="0"/>
    <n v="0"/>
  </r>
  <r>
    <n v="24"/>
    <s v="MAGHOGHO BOB"/>
    <d v="1899-12-30T20:36:17"/>
    <d v="1899-12-30T20:36:21"/>
    <d v="1899-12-30T22:11:35"/>
    <s v="1 hr 35 min 13s"/>
    <s v="gzo-xsdr-gbk"/>
    <x v="13"/>
    <d v="1899-12-30T01:35:18"/>
    <d v="1899-12-30T02:05:45"/>
    <n v="0"/>
    <n v="0"/>
  </r>
  <r>
    <n v="25"/>
    <s v="MARGARET NASSOLO"/>
    <d v="1899-12-30T20:36:17"/>
    <d v="1899-12-30T20:36:21"/>
    <d v="1899-12-30T22:11:35"/>
    <s v="1 hr 35 min 13s"/>
    <s v="gzo-xsdr-gbk"/>
    <x v="13"/>
    <d v="1899-12-30T01:35:18"/>
    <d v="1899-12-30T02:05:47"/>
    <n v="0"/>
    <n v="0"/>
  </r>
  <r>
    <n v="26"/>
    <s v="MARTIN LEMI"/>
    <d v="1899-12-30T20:36:17"/>
    <d v="1899-12-30T20:48:44"/>
    <d v="1899-12-30T22:11:35"/>
    <s v="1 hr 22 min 51s"/>
    <s v="gzo-xsdr-gbk"/>
    <x v="13"/>
    <d v="1899-12-30T01:35:18"/>
    <d v="1899-12-30T02:05:49"/>
    <n v="0"/>
    <n v="0"/>
  </r>
  <r>
    <n v="27"/>
    <s v="MILDRED DRUSILA"/>
    <d v="1899-12-30T20:36:17"/>
    <d v="1899-12-30T20:36:21"/>
    <d v="1899-12-30T22:11:35"/>
    <s v="1 hr 35 min 13s"/>
    <s v="gzo-xsdr-gbk"/>
    <x v="13"/>
    <d v="1899-12-30T01:35:18"/>
    <d v="1899-12-30T02:05:50"/>
    <n v="0"/>
    <n v="0"/>
  </r>
  <r>
    <n v="28"/>
    <s v="MOHAMED KABIA"/>
    <d v="1899-12-30T20:36:17"/>
    <d v="1899-12-30T20:36:21"/>
    <d v="1899-12-30T22:11:35"/>
    <s v="1 hr 35 min 13s"/>
    <s v="gzo-xsdr-gbk"/>
    <x v="13"/>
    <d v="1899-12-30T01:35:18"/>
    <d v="1899-12-30T02:05:52"/>
    <n v="0"/>
    <n v="0"/>
  </r>
  <r>
    <n v="29"/>
    <s v="MOZE KEYZ"/>
    <d v="1899-12-30T20:36:17"/>
    <d v="1899-12-30T20:36:21"/>
    <d v="1899-12-30T22:11:35"/>
    <s v="1 hr 35 min 13s"/>
    <s v="gzo-xsdr-gbk"/>
    <x v="13"/>
    <d v="1899-12-30T01:35:18"/>
    <d v="1899-12-30T02:05:54"/>
    <n v="0"/>
    <n v="0"/>
  </r>
  <r>
    <n v="30"/>
    <s v="NASSAMULA JOSEPHINE"/>
    <d v="1899-12-30T20:36:17"/>
    <d v="1899-12-30T20:36:21"/>
    <d v="1899-12-30T22:11:35"/>
    <s v="1 hr 35 min 13s"/>
    <s v="gzo-xsdr-gbk"/>
    <x v="13"/>
    <d v="1899-12-30T01:35:18"/>
    <d v="1899-12-30T02:05:56"/>
    <n v="0"/>
    <n v="0"/>
  </r>
  <r>
    <n v="31"/>
    <s v="OCHOKI OMBASO"/>
    <d v="1899-12-30T20:36:17"/>
    <d v="1899-12-30T20:36:21"/>
    <d v="1899-12-30T22:11:35"/>
    <s v="1 hr 35 min 13s"/>
    <s v="gzo-xsdr-gbk"/>
    <x v="13"/>
    <d v="1899-12-30T01:35:18"/>
    <d v="1899-12-30T02:05:58"/>
    <n v="0"/>
    <n v="0"/>
  </r>
  <r>
    <n v="32"/>
    <s v="OCI GEOFFREY"/>
    <d v="1899-12-30T20:36:17"/>
    <d v="1899-12-30T20:36:21"/>
    <d v="1899-12-30T22:11:35"/>
    <s v="1 hr 35 min 13s"/>
    <s v="gzo-xsdr-gbk"/>
    <x v="13"/>
    <d v="1899-12-30T01:35:18"/>
    <d v="1899-12-30T02:05:59"/>
    <n v="0"/>
    <n v="0"/>
  </r>
  <r>
    <n v="33"/>
    <s v="OMELLA OWEN"/>
    <d v="1899-12-30T20:36:17"/>
    <d v="1899-12-30T20:48:44"/>
    <d v="1899-12-30T22:11:35"/>
    <s v="1 hr 22 min 51s"/>
    <s v="gzo-xsdr-gbk"/>
    <x v="13"/>
    <d v="1899-12-30T01:35:18"/>
    <d v="1899-12-30T02:06:01"/>
    <n v="0"/>
    <n v="0"/>
  </r>
  <r>
    <n v="34"/>
    <s v="ONESMUS KORIR"/>
    <d v="1899-12-30T20:36:17"/>
    <d v="1899-12-30T20:36:21"/>
    <d v="1899-12-30T22:11:35"/>
    <s v="1 hr 35 min 13s"/>
    <s v="gzo-xsdr-gbk"/>
    <x v="13"/>
    <d v="1899-12-30T01:35:18"/>
    <d v="1899-12-30T02:06:03"/>
    <n v="0"/>
    <n v="0"/>
  </r>
  <r>
    <n v="35"/>
    <s v="RACHEAL KYALIMPA"/>
    <d v="1899-12-30T20:36:17"/>
    <d v="1899-12-30T20:36:21"/>
    <d v="1899-12-30T22:11:35"/>
    <s v="1 hr 35 min 13s"/>
    <s v="gzo-xsdr-gbk"/>
    <x v="13"/>
    <d v="1899-12-30T01:35:18"/>
    <d v="1899-12-30T02:06:05"/>
    <n v="0"/>
    <n v="0"/>
  </r>
  <r>
    <n v="36"/>
    <s v="ROBERT MAKUBUYA"/>
    <d v="1899-12-30T20:36:17"/>
    <d v="1899-12-30T20:36:21"/>
    <d v="1899-12-30T22:11:35"/>
    <s v="1 hr 35 min 13s"/>
    <s v="gzo-xsdr-gbk"/>
    <x v="13"/>
    <d v="1899-12-30T01:35:18"/>
    <d v="1899-12-30T02:06:07"/>
    <n v="0"/>
    <n v="0"/>
  </r>
  <r>
    <n v="37"/>
    <s v="RODGERS AHEBWA"/>
    <d v="1899-12-30T20:36:17"/>
    <d v="1899-12-30T20:36:21"/>
    <d v="1899-12-30T22:11:35"/>
    <s v="1 hr 35 min 13s"/>
    <s v="gzo-xsdr-gbk"/>
    <x v="13"/>
    <d v="1899-12-30T01:35:18"/>
    <d v="1899-12-30T02:06:09"/>
    <n v="0"/>
    <n v="0"/>
  </r>
  <r>
    <n v="38"/>
    <s v="RTN JOSES KAYUNGA"/>
    <d v="1899-12-30T20:36:17"/>
    <d v="1899-12-30T20:48:44"/>
    <d v="1899-12-30T22:11:35"/>
    <s v="1 hr 22 min 51s"/>
    <s v="gzo-xsdr-gbk"/>
    <x v="13"/>
    <d v="1899-12-30T01:35:18"/>
    <d v="1899-12-30T02:06:10"/>
    <n v="0"/>
    <n v="0"/>
  </r>
  <r>
    <n v="39"/>
    <s v="SABO MIKE"/>
    <d v="1899-12-30T20:36:17"/>
    <d v="1899-12-30T20:48:44"/>
    <d v="1899-12-30T22:11:35"/>
    <s v="1 hr 22 min 51s"/>
    <s v="gzo-xsdr-gbk"/>
    <x v="13"/>
    <d v="1899-12-30T01:35:18"/>
    <d v="1899-12-30T02:06:12"/>
    <n v="0"/>
    <n v="0"/>
  </r>
  <r>
    <n v="40"/>
    <s v="SARAH NAKAMATTE"/>
    <d v="1899-12-30T20:36:17"/>
    <d v="1899-12-30T20:48:44"/>
    <d v="1899-12-30T22:11:35"/>
    <s v="1 hr 22 min 51s"/>
    <s v="gzo-xsdr-gbk"/>
    <x v="13"/>
    <d v="1899-12-30T01:35:18"/>
    <d v="1899-12-30T02:06:14"/>
    <n v="0"/>
    <n v="0"/>
  </r>
  <r>
    <n v="41"/>
    <s v="YANGA SAMSON"/>
    <d v="1899-12-30T20:36:17"/>
    <d v="1899-12-30T20:36:21"/>
    <d v="1899-12-30T22:11:35"/>
    <s v="1 hr 35 min 13s"/>
    <s v="gzo-xsdr-gbk"/>
    <x v="13"/>
    <d v="1899-12-30T01:35:18"/>
    <d v="1899-12-30T02:06:16"/>
    <n v="0"/>
    <n v="0"/>
  </r>
  <r>
    <n v="1"/>
    <s v="ALEX MUHEREZA"/>
    <d v="1899-12-30T20:40:28"/>
    <d v="1899-12-30T20:40:32"/>
    <d v="1899-12-30T22:52:05"/>
    <s v="1 hr 47 min 59s"/>
    <s v="nkc-hvzh-vkm"/>
    <x v="14"/>
    <d v="1899-12-30T02:11:37"/>
    <d v="1899-12-30T02:06:18"/>
    <n v="0"/>
    <n v="0"/>
  </r>
  <r>
    <n v="2"/>
    <s v="AMARA BAJAHA"/>
    <d v="1899-12-30T20:40:28"/>
    <d v="1899-12-30T20:40:32"/>
    <d v="1899-12-30T22:52:05"/>
    <s v="2 hr 9 min 12s"/>
    <s v="nkc-hvzh-vkm"/>
    <x v="14"/>
    <d v="1899-12-30T02:11:37"/>
    <d v="1899-12-30T02:06:18"/>
    <n v="0"/>
    <n v="0"/>
  </r>
  <r>
    <n v="3"/>
    <s v="ANGULA ROSAMUNDE"/>
    <d v="1899-12-30T20:40:28"/>
    <d v="1899-12-30T20:40:32"/>
    <d v="1899-12-30T22:52:05"/>
    <s v="2 hr 11 min 19s"/>
    <s v="nkc-hvzh-vkm"/>
    <x v="14"/>
    <d v="1899-12-30T02:11:37"/>
    <d v="1899-12-30T02:06:17"/>
    <n v="0"/>
    <n v="0"/>
  </r>
  <r>
    <n v="4"/>
    <s v="ANTHONY GODSON AIDOO"/>
    <d v="1899-12-30T20:40:28"/>
    <d v="1899-12-30T20:40:32"/>
    <d v="1899-12-30T22:52:05"/>
    <s v="2 hr 8 min 1s"/>
    <s v="nkc-hvzh-vkm"/>
    <x v="14"/>
    <d v="1899-12-30T02:11:37"/>
    <d v="1899-12-30T02:06:17"/>
    <n v="0"/>
    <n v="0"/>
  </r>
  <r>
    <n v="5"/>
    <s v="BENJAMIN MALES LOKOYA"/>
    <d v="1899-12-30T20:40:28"/>
    <d v="1899-12-30T20:40:32"/>
    <d v="1899-12-30T22:52:05"/>
    <s v="1 hr 58 min 0s"/>
    <s v="nkc-hvzh-vkm"/>
    <x v="14"/>
    <d v="1899-12-30T02:11:37"/>
    <d v="1899-12-30T02:06:17"/>
    <n v="0"/>
    <n v="0"/>
  </r>
  <r>
    <n v="6"/>
    <s v="CHERUU JUL"/>
    <d v="1899-12-30T20:40:28"/>
    <d v="1899-12-30T21:58:01"/>
    <d v="1899-12-30T22:52:05"/>
    <s v="41 min 29s"/>
    <s v="nkc-hvzh-vkm"/>
    <x v="14"/>
    <d v="1899-12-30T02:11:37"/>
    <d v="1899-12-30T02:06:16"/>
    <n v="0"/>
    <n v="0"/>
  </r>
  <r>
    <n v="7"/>
    <s v="CHRISTINA MOTHOBI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8"/>
    <s v="CHRISTOPHER MODI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9"/>
    <s v="CPAJULIUS CHERUIYOT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0"/>
    <s v="EL MAJID SWALEH"/>
    <d v="1899-12-30T20:40:28"/>
    <d v="1899-12-30T20:40:32"/>
    <d v="1899-12-30T22:52:05"/>
    <s v="1 hr 26 min 9s"/>
    <s v="nkc-hvzh-vkm"/>
    <x v="14"/>
    <d v="1899-12-30T02:11:37"/>
    <d v="1899-12-30T02:06:15"/>
    <n v="0"/>
    <n v="0"/>
  </r>
  <r>
    <n v="11"/>
    <s v="EMMANUEL JOBS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2"/>
    <s v="GEOFFREY OYET"/>
    <d v="1899-12-30T20:40:28"/>
    <d v="1899-12-30T20:40:32"/>
    <d v="1899-12-30T22:52:05"/>
    <s v="2 hr 8 min 1s"/>
    <s v="nkc-hvzh-vkm"/>
    <x v="14"/>
    <d v="1899-12-30T02:11:37"/>
    <d v="1899-12-30T02:06:14"/>
    <n v="0"/>
    <n v="0"/>
  </r>
  <r>
    <n v="13"/>
    <s v="GODFREY BIRUNGI"/>
    <d v="1899-12-30T20:40:28"/>
    <d v="1899-12-30T20:40:32"/>
    <d v="1899-12-30T22:52:05"/>
    <s v="2 hr 11 min 33s"/>
    <s v="nkc-hvzh-vkm"/>
    <x v="14"/>
    <d v="1899-12-30T02:11:37"/>
    <d v="1899-12-30T02:06:14"/>
    <n v="0"/>
    <n v="0"/>
  </r>
  <r>
    <n v="14"/>
    <s v="HENRY CHELELE"/>
    <d v="1899-12-30T20:40:28"/>
    <d v="1899-12-30T20:40:32"/>
    <d v="1899-12-30T22:52:05"/>
    <s v="2 hr 7 min 36s"/>
    <s v="nkc-hvzh-vkm"/>
    <x v="14"/>
    <d v="1899-12-30T02:11:37"/>
    <d v="1899-12-30T02:06:14"/>
    <n v="0"/>
    <n v="0"/>
  </r>
  <r>
    <n v="15"/>
    <s v="JOHN RWARU"/>
    <d v="1899-12-30T20:40:28"/>
    <d v="1899-12-30T20:40:32"/>
    <d v="1899-12-30T22:52:05"/>
    <s v="2 hr 7 min 50s"/>
    <s v="nkc-hvzh-vkm"/>
    <x v="14"/>
    <d v="1899-12-30T02:11:37"/>
    <d v="1899-12-30T02:06:13"/>
    <n v="0"/>
    <n v="0"/>
  </r>
  <r>
    <n v="16"/>
    <s v="JOSEPH MBOGO"/>
    <d v="1899-12-30T20:40:28"/>
    <d v="1899-12-30T20:40:32"/>
    <d v="1899-12-30T22:52:05"/>
    <s v="2 hr 8 min 45s"/>
    <s v="nkc-hvzh-vkm"/>
    <x v="14"/>
    <d v="1899-12-30T02:11:37"/>
    <d v="1899-12-30T02:06:13"/>
    <n v="0"/>
    <n v="0"/>
  </r>
  <r>
    <n v="17"/>
    <s v="KAKOOZA GODFREY"/>
    <d v="1899-12-30T20:40:28"/>
    <d v="1899-12-30T20:40:32"/>
    <d v="1899-12-30T22:52:05"/>
    <s v="1 hr 17 min 28s"/>
    <s v="nkc-hvzh-vkm"/>
    <x v="14"/>
    <d v="1899-12-30T02:11:37"/>
    <d v="1899-12-30T02:06:13"/>
    <n v="0"/>
    <n v="0"/>
  </r>
  <r>
    <n v="18"/>
    <s v="KAMAU RUTH"/>
    <d v="1899-12-30T20:40:28"/>
    <d v="1899-12-30T20:40:32"/>
    <d v="1899-12-30T22:52:05"/>
    <s v="2 hr 11 min 33s"/>
    <s v="nkc-hvzh-vkm"/>
    <x v="14"/>
    <d v="1899-12-30T02:11:37"/>
    <d v="1899-12-30T02:06:12"/>
    <n v="0"/>
    <n v="0"/>
  </r>
  <r>
    <n v="19"/>
    <s v="LINUS SANKEI"/>
    <d v="1899-12-30T20:40:28"/>
    <d v="1899-12-30T20:40:32"/>
    <d v="1899-12-30T22:52:05"/>
    <s v="1 hr 58 min 25s"/>
    <s v="nkc-hvzh-vkm"/>
    <x v="14"/>
    <d v="1899-12-30T02:11:37"/>
    <d v="1899-12-30T02:06:12"/>
    <n v="0"/>
    <n v="0"/>
  </r>
  <r>
    <n v="20"/>
    <s v="LOKOSE ABEL"/>
    <d v="1899-12-30T20:40:28"/>
    <d v="1899-12-30T21:58:01"/>
    <d v="1899-12-30T22:52:05"/>
    <s v="54 min 5s"/>
    <s v="nkc-hvzh-vkm"/>
    <x v="14"/>
    <d v="1899-12-30T02:11:37"/>
    <d v="1899-12-30T02:06:12"/>
    <n v="0"/>
    <n v="0"/>
  </r>
  <r>
    <n v="21"/>
    <s v="MAGHOGHO BOB"/>
    <d v="1899-12-30T20:40:28"/>
    <d v="1899-12-30T20:40:32"/>
    <d v="1899-12-30T22:52:05"/>
    <s v="1 hr 17 min 28s"/>
    <s v="nkc-hvzh-vkm"/>
    <x v="14"/>
    <d v="1899-12-30T02:11:37"/>
    <d v="1899-12-30T02:06:11"/>
    <n v="0"/>
    <n v="0"/>
  </r>
  <r>
    <n v="22"/>
    <s v="MARTIN LEMI"/>
    <d v="1899-12-30T20:40:28"/>
    <d v="1899-12-30T20:40:32"/>
    <d v="1899-12-30T22:52:05"/>
    <s v="2 hr 11 min 33s"/>
    <s v="nkc-hvzh-vkm"/>
    <x v="14"/>
    <d v="1899-12-30T02:11:37"/>
    <d v="1899-12-30T02:06:11"/>
    <n v="0"/>
    <n v="0"/>
  </r>
  <r>
    <n v="23"/>
    <s v="MILDRED DRUSILA"/>
    <d v="1899-12-30T20:40:28"/>
    <d v="1899-12-30T21:58:01"/>
    <d v="1899-12-30T22:52:05"/>
    <s v="54 min 5s"/>
    <s v="nkc-hvzh-vkm"/>
    <x v="14"/>
    <d v="1899-12-30T02:11:37"/>
    <d v="1899-12-30T02:06:11"/>
    <n v="0"/>
    <n v="0"/>
  </r>
  <r>
    <n v="24"/>
    <s v="MOHAMED SALLY KAMARA"/>
    <d v="1899-12-30T20:40:28"/>
    <d v="1899-12-30T20:40:32"/>
    <d v="1899-12-30T22:52:05"/>
    <s v="2 hr 10 min 57s"/>
    <s v="nkc-hvzh-vkm"/>
    <x v="14"/>
    <d v="1899-12-30T02:11:37"/>
    <d v="1899-12-30T02:06:10"/>
    <n v="0"/>
    <n v="0"/>
  </r>
  <r>
    <n v="25"/>
    <s v="OCI GEOFFREY"/>
    <d v="1899-12-30T20:40:28"/>
    <d v="1899-12-30T20:40:32"/>
    <d v="1899-12-30T22:52:05"/>
    <s v="2 hr 7 min 11s"/>
    <s v="nkc-hvzh-vkm"/>
    <x v="14"/>
    <d v="1899-12-30T02:11:37"/>
    <d v="1899-12-30T02:06:10"/>
    <n v="0"/>
    <n v="0"/>
  </r>
  <r>
    <n v="26"/>
    <s v="OKABO GEOFFREY"/>
    <d v="1899-12-30T20:40:28"/>
    <d v="1899-12-30T21:58:01"/>
    <d v="1899-12-30T22:52:05"/>
    <s v="3 min 52s"/>
    <s v="nkc-hvzh-vkm"/>
    <x v="14"/>
    <d v="1899-12-30T02:11:37"/>
    <d v="1899-12-30T02:06:10"/>
    <n v="0"/>
    <n v="0"/>
  </r>
  <r>
    <n v="27"/>
    <s v="OMELLA OWEN"/>
    <d v="1899-12-30T20:40:28"/>
    <d v="1899-12-30T20:40:32"/>
    <d v="1899-12-30T22:52:05"/>
    <s v="1 hr 17 min 28s"/>
    <s v="nkc-hvzh-vkm"/>
    <x v="14"/>
    <d v="1899-12-30T02:11:37"/>
    <d v="1899-12-30T02:06:09"/>
    <n v="0"/>
    <n v="0"/>
  </r>
  <r>
    <n v="28"/>
    <s v="ONESMUS KORIR"/>
    <d v="1899-12-30T20:40:28"/>
    <d v="1899-12-30T20:40:32"/>
    <d v="1899-12-30T22:52:05"/>
    <s v="2 hr 9 min 19s"/>
    <s v="nkc-hvzh-vkm"/>
    <x v="14"/>
    <d v="1899-12-30T02:11:37"/>
    <d v="1899-12-30T02:06:09"/>
    <n v="0"/>
    <n v="0"/>
  </r>
  <r>
    <n v="29"/>
    <s v="PRINCESS MAJOLA"/>
    <d v="1899-12-30T20:40:28"/>
    <d v="1899-12-30T21:58:01"/>
    <d v="1899-12-30T22:52:05"/>
    <s v="50 min 34s"/>
    <s v="nkc-hvzh-vkm"/>
    <x v="14"/>
    <d v="1899-12-30T02:11:37"/>
    <d v="1899-12-30T02:06:09"/>
    <n v="0"/>
    <n v="0"/>
  </r>
  <r>
    <n v="30"/>
    <s v="RACHEAL KYALIMPA"/>
    <d v="1899-12-30T20:40:28"/>
    <d v="1899-12-30T20:40:32"/>
    <d v="1899-12-30T22:52:05"/>
    <s v="1 hr 45 min 48s"/>
    <s v="nkc-hvzh-vkm"/>
    <x v="14"/>
    <d v="1899-12-30T02:11:37"/>
    <d v="1899-12-30T02:06:08"/>
    <n v="0"/>
    <n v="0"/>
  </r>
  <r>
    <n v="31"/>
    <s v="ROBERT MAKUBUYA"/>
    <d v="1899-12-30T20:40:28"/>
    <d v="1899-12-30T20:40:32"/>
    <d v="1899-12-30T22:52:05"/>
    <s v="2 hr 1 min 52s"/>
    <s v="nkc-hvzh-vkm"/>
    <x v="14"/>
    <d v="1899-12-30T02:11:37"/>
    <d v="1899-12-30T02:06:08"/>
    <n v="0"/>
    <n v="0"/>
  </r>
  <r>
    <n v="32"/>
    <s v="RODGERS AHEBWA"/>
    <d v="1899-12-30T20:40:28"/>
    <d v="1899-12-30T20:40:32"/>
    <d v="1899-12-30T22:52:05"/>
    <s v="2 hr 11 min 33s"/>
    <s v="nkc-hvzh-vkm"/>
    <x v="14"/>
    <d v="1899-12-30T02:11:37"/>
    <d v="1899-12-30T02:06:08"/>
    <n v="0"/>
    <n v="0"/>
  </r>
  <r>
    <n v="33"/>
    <s v="RTN JOSES KAYUNGA"/>
    <d v="1899-12-30T20:40:28"/>
    <d v="1899-12-30T20:40:32"/>
    <d v="1899-12-30T22:52:05"/>
    <s v="2 hr 10 min 45s"/>
    <s v="nkc-hvzh-vkm"/>
    <x v="14"/>
    <d v="1899-12-30T02:11:37"/>
    <d v="1899-12-30T02:06:07"/>
    <n v="0"/>
    <n v="0"/>
  </r>
  <r>
    <n v="1"/>
    <s v="AMARA BAJAHA"/>
    <d v="1899-12-30T20:36:07"/>
    <d v="1899-12-30T20:36:11"/>
    <d v="1899-12-30T22:25:37"/>
    <s v="1 hr 43 min 31s"/>
    <s v="bcx-rdnv-qnb"/>
    <x v="15"/>
    <d v="1899-12-30T01:49:30"/>
    <d v="1899-12-30T02:06:07"/>
    <n v="0"/>
    <n v="0"/>
  </r>
  <r>
    <n v="2"/>
    <s v="ANGULA ROSAMUNDE"/>
    <d v="1899-12-30T20:36:07"/>
    <d v="1899-12-30T20:36:11"/>
    <d v="1899-12-30T22:25:37"/>
    <s v="1 hr 49 min 24s"/>
    <s v="bcx-rdnv-qnb"/>
    <x v="15"/>
    <d v="1899-12-30T01:49:30"/>
    <d v="1899-12-30T02:06:08"/>
    <n v="0"/>
    <n v="0"/>
  </r>
  <r>
    <n v="3"/>
    <s v="ANTHONY GODSON AIDOO"/>
    <d v="1899-12-30T20:36:07"/>
    <d v="1899-12-30T20:36:11"/>
    <d v="1899-12-30T22:25:37"/>
    <s v="1 hr 47 min 6s"/>
    <s v="bcx-rdnv-qnb"/>
    <x v="15"/>
    <d v="1899-12-30T01:49:30"/>
    <d v="1899-12-30T02:06:09"/>
    <n v="0"/>
    <n v="0"/>
  </r>
  <r>
    <n v="4"/>
    <s v="ARON NTULIZE"/>
    <d v="1899-12-30T20:36:07"/>
    <d v="1899-12-30T20:36:11"/>
    <d v="1899-12-30T22:25:37"/>
    <s v="1 hr 28 min 52s"/>
    <s v="bcx-rdnv-qnb"/>
    <x v="15"/>
    <d v="1899-12-30T01:49:30"/>
    <d v="1899-12-30T02:06:10"/>
    <n v="0"/>
    <n v="0"/>
  </r>
  <r>
    <n v="5"/>
    <s v="BENJAMIN MALES LOKOYA"/>
    <d v="1899-12-30T20:36:07"/>
    <d v="1899-12-30T20:36:11"/>
    <d v="1899-12-30T22:25:37"/>
    <s v="1 hr 46 min 16s"/>
    <s v="bcx-rdnv-qnb"/>
    <x v="15"/>
    <d v="1899-12-30T01:49:30"/>
    <d v="1899-12-30T02:06:11"/>
    <n v="0"/>
    <n v="0"/>
  </r>
  <r>
    <n v="6"/>
    <s v="CHRISTINA MOTHOBI"/>
    <d v="1899-12-30T20:36:07"/>
    <d v="1899-12-30T20:36:11"/>
    <d v="1899-12-30T22:25:37"/>
    <s v="1 hr 5 min 3s"/>
    <s v="bcx-rdnv-qnb"/>
    <x v="15"/>
    <d v="1899-12-30T01:49:30"/>
    <d v="1899-12-30T02:06:12"/>
    <n v="0"/>
    <n v="0"/>
  </r>
  <r>
    <n v="7"/>
    <s v="CPAJULIUS CHERUIYOT"/>
    <d v="1899-12-30T20:36:07"/>
    <d v="1899-12-30T20:36:11"/>
    <d v="1899-12-30T22:25:37"/>
    <s v="1 hr 5 min 3s"/>
    <s v="bcx-rdnv-qnb"/>
    <x v="15"/>
    <d v="1899-12-30T01:49:30"/>
    <d v="1899-12-30T02:06:13"/>
    <n v="0"/>
    <n v="0"/>
  </r>
  <r>
    <n v="8"/>
    <s v="EL MAJID SWALEH"/>
    <d v="1899-12-30T20:36:07"/>
    <d v="1899-12-30T20:37:22"/>
    <d v="1899-12-30T22:25:37"/>
    <s v="1 hr 27 min 40s"/>
    <s v="bcx-rdnv-qnb"/>
    <x v="15"/>
    <d v="1899-12-30T01:49:30"/>
    <d v="1899-12-30T02:06:14"/>
    <n v="0"/>
    <n v="0"/>
  </r>
  <r>
    <n v="9"/>
    <s v="EMMANUEL JOBS"/>
    <d v="1899-12-30T20:36:07"/>
    <d v="1899-12-30T21:41:16"/>
    <d v="1899-12-30T22:25:37"/>
    <s v="23 min 49s"/>
    <s v="bcx-rdnv-qnb"/>
    <x v="15"/>
    <d v="1899-12-30T01:49:30"/>
    <d v="1899-12-30T02:06:15"/>
    <n v="0"/>
    <n v="0"/>
  </r>
  <r>
    <n v="10"/>
    <s v="FREDY BAHILI"/>
    <d v="1899-12-30T20:36:07"/>
    <d v="1899-12-30T21:41:16"/>
    <d v="1899-12-30T22:25:37"/>
    <s v="23 min 49s"/>
    <s v="bcx-rdnv-qnb"/>
    <x v="15"/>
    <d v="1899-12-30T01:49:30"/>
    <d v="1899-12-30T02:06:16"/>
    <n v="0"/>
    <n v="0"/>
  </r>
  <r>
    <n v="11"/>
    <s v="GEOFFREY OYET"/>
    <d v="1899-12-30T20:36:07"/>
    <d v="1899-12-30T20:36:11"/>
    <d v="1899-12-30T22:25:37"/>
    <s v="1 hr 42 min 40s"/>
    <s v="bcx-rdnv-qnb"/>
    <x v="15"/>
    <d v="1899-12-30T01:49:30"/>
    <d v="1899-12-30T02:06:17"/>
    <n v="0"/>
    <n v="0"/>
  </r>
  <r>
    <n v="12"/>
    <s v="GODFREY BIRUNGI"/>
    <d v="1899-12-30T20:36:07"/>
    <d v="1899-12-30T20:36:11"/>
    <d v="1899-12-30T22:25:37"/>
    <s v="1 hr 49 min 24s"/>
    <s v="bcx-rdnv-qnb"/>
    <x v="15"/>
    <d v="1899-12-30T01:49:30"/>
    <d v="1899-12-30T02:06:18"/>
    <n v="0"/>
    <n v="0"/>
  </r>
  <r>
    <n v="13"/>
    <s v="HENRY CHELELE"/>
    <d v="1899-12-30T20:36:07"/>
    <d v="1899-12-30T20:36:11"/>
    <d v="1899-12-30T22:25:37"/>
    <s v="1 hr 5 min 3s"/>
    <s v="bcx-rdnv-qnb"/>
    <x v="15"/>
    <d v="1899-12-30T01:49:30"/>
    <d v="1899-12-30T02:06:20"/>
    <n v="0"/>
    <n v="0"/>
  </r>
  <r>
    <n v="14"/>
    <s v="JACQUELINE NAMYALO"/>
    <d v="1899-12-30T20:36:07"/>
    <d v="1899-12-30T20:36:11"/>
    <d v="1899-12-30T22:25:37"/>
    <s v="1 hr 10 min 4s"/>
    <s v="bcx-rdnv-qnb"/>
    <x v="15"/>
    <d v="1899-12-30T01:49:30"/>
    <d v="1899-12-30T02:06:21"/>
    <n v="0"/>
    <n v="0"/>
  </r>
  <r>
    <n v="15"/>
    <s v="JOHN RWARU"/>
    <d v="1899-12-30T20:36:07"/>
    <d v="1899-12-30T20:36:11"/>
    <d v="1899-12-30T22:25:37"/>
    <s v="1 hr 45 min 43s"/>
    <s v="bcx-rdnv-qnb"/>
    <x v="15"/>
    <d v="1899-12-30T01:49:30"/>
    <d v="1899-12-30T02:06:22"/>
    <n v="0"/>
    <n v="0"/>
  </r>
  <r>
    <n v="16"/>
    <s v="JOSEPH MBOGO"/>
    <d v="1899-12-30T20:36:07"/>
    <d v="1899-12-30T20:36:11"/>
    <d v="1899-12-30T22:25:37"/>
    <s v="1 hr 49 min 24s"/>
    <s v="bcx-rdnv-qnb"/>
    <x v="15"/>
    <d v="1899-12-30T01:49:30"/>
    <d v="1899-12-30T02:06:23"/>
    <n v="0"/>
    <n v="0"/>
  </r>
  <r>
    <n v="17"/>
    <s v="JOSEPH MUTIE"/>
    <d v="1899-12-30T20:36:07"/>
    <d v="1899-12-30T20:36:11"/>
    <d v="1899-12-30T22:25:37"/>
    <s v="1 hr 32 min 40s"/>
    <s v="bcx-rdnv-qnb"/>
    <x v="15"/>
    <d v="1899-12-30T01:49:30"/>
    <d v="1899-12-30T02:06:24"/>
    <n v="0"/>
    <n v="0"/>
  </r>
  <r>
    <n v="18"/>
    <s v="KAKOOZA GODFREY"/>
    <d v="1899-12-30T20:36:07"/>
    <d v="1899-12-30T21:41:16"/>
    <d v="1899-12-30T22:25:37"/>
    <s v="23 min 49s"/>
    <s v="bcx-rdnv-qnb"/>
    <x v="15"/>
    <d v="1899-12-30T01:49:30"/>
    <d v="1899-12-30T02:06:25"/>
    <n v="0"/>
    <n v="0"/>
  </r>
  <r>
    <n v="19"/>
    <s v="KAMAU RUTH"/>
    <d v="1899-12-30T20:36:07"/>
    <d v="1899-12-30T20:36:11"/>
    <d v="1899-12-30T22:25:37"/>
    <s v="1 hr 45 min 25s"/>
    <s v="bcx-rdnv-qnb"/>
    <x v="15"/>
    <d v="1899-12-30T01:49:30"/>
    <d v="1899-12-30T02:06:26"/>
    <n v="0"/>
    <n v="0"/>
  </r>
  <r>
    <n v="20"/>
    <s v="KIIR ABIEM"/>
    <d v="1899-12-30T20:36:07"/>
    <d v="1899-12-30T20:36:42"/>
    <d v="1899-12-30T22:25:37"/>
    <s v="1 hr 4 min 31s"/>
    <s v="bcx-rdnv-qnb"/>
    <x v="15"/>
    <d v="1899-12-30T01:49:30"/>
    <d v="1899-12-30T02:06:27"/>
    <n v="0"/>
    <n v="0"/>
  </r>
  <r>
    <n v="21"/>
    <s v="LINUS SANKEI"/>
    <d v="1899-12-30T20:36:07"/>
    <d v="1899-12-30T20:36:11"/>
    <d v="1899-12-30T22:25:37"/>
    <s v="1 hr 28 min 45s"/>
    <s v="bcx-rdnv-qnb"/>
    <x v="15"/>
    <d v="1899-12-30T01:49:30"/>
    <d v="1899-12-30T02:06:28"/>
    <n v="0"/>
    <n v="0"/>
  </r>
  <r>
    <n v="22"/>
    <s v="MAGHOGHO BOB"/>
    <d v="1899-12-30T20:36:07"/>
    <d v="1899-12-30T20:36:11"/>
    <d v="1899-12-30T22:25:37"/>
    <s v="1 hr 5 min 3s"/>
    <s v="bcx-rdnv-qnb"/>
    <x v="15"/>
    <d v="1899-12-30T01:49:30"/>
    <d v="1899-12-30T02:06:29"/>
    <n v="0"/>
    <n v="0"/>
  </r>
  <r>
    <n v="23"/>
    <s v="MARGARET NASSOLO"/>
    <d v="1899-12-30T20:36:07"/>
    <d v="1899-12-30T20:36:11"/>
    <d v="1899-12-30T22:25:37"/>
    <s v="1 hr 8 min 25s"/>
    <s v="bcx-rdnv-qnb"/>
    <x v="15"/>
    <d v="1899-12-30T01:49:30"/>
    <d v="1899-12-30T02:06:30"/>
    <n v="0"/>
    <n v="0"/>
  </r>
  <r>
    <n v="24"/>
    <s v="MARTIN LEMI"/>
    <d v="1899-12-30T20:36:07"/>
    <d v="1899-12-30T20:37:10"/>
    <d v="1899-12-30T22:25:37"/>
    <s v="1 hr 48 min 24s"/>
    <s v="bcx-rdnv-qnb"/>
    <x v="15"/>
    <d v="1899-12-30T01:49:30"/>
    <d v="1899-12-30T02:06:31"/>
    <n v="0"/>
    <n v="0"/>
  </r>
  <r>
    <n v="25"/>
    <s v="MARY NAMUKOKO"/>
    <d v="1899-12-30T20:36:07"/>
    <d v="1899-12-30T21:41:16"/>
    <d v="1899-12-30T22:25:37"/>
    <s v="33 min 13s"/>
    <s v="bcx-rdnv-qnb"/>
    <x v="15"/>
    <d v="1899-12-30T01:49:30"/>
    <d v="1899-12-30T02:06:32"/>
    <n v="0"/>
    <n v="0"/>
  </r>
  <r>
    <n v="26"/>
    <s v="MILDRED DRUSILA"/>
    <d v="1899-12-30T20:36:07"/>
    <d v="1899-12-30T20:36:57"/>
    <d v="1899-12-30T22:25:37"/>
    <s v="1 hr 48 min 37s"/>
    <s v="bcx-rdnv-qnb"/>
    <x v="15"/>
    <d v="1899-12-30T01:49:30"/>
    <d v="1899-12-30T02:06:33"/>
    <n v="0"/>
    <n v="0"/>
  </r>
  <r>
    <n v="27"/>
    <s v="MOHAMED SALLY KAMARA"/>
    <d v="1899-12-30T20:36:07"/>
    <d v="1899-12-30T20:36:11"/>
    <d v="1899-12-30T22:25:37"/>
    <s v="1 hr 49 min 24s"/>
    <s v="bcx-rdnv-qnb"/>
    <x v="15"/>
    <d v="1899-12-30T01:49:30"/>
    <d v="1899-12-30T02:06:34"/>
    <n v="0"/>
    <n v="0"/>
  </r>
  <r>
    <n v="28"/>
    <s v="OCHOKI OMBASO"/>
    <d v="1899-12-30T20:36:07"/>
    <d v="1899-12-30T21:41:16"/>
    <d v="1899-12-30T22:25:37"/>
    <s v="23 min 49s"/>
    <s v="bcx-rdnv-qnb"/>
    <x v="15"/>
    <d v="1899-12-30T01:49:30"/>
    <d v="1899-12-30T02:06:36"/>
    <n v="0"/>
    <n v="0"/>
  </r>
  <r>
    <n v="29"/>
    <s v="OCI GEOFFREY"/>
    <d v="1899-12-30T20:36:07"/>
    <d v="1899-12-30T21:41:16"/>
    <d v="1899-12-30T22:25:37"/>
    <s v="44 min 18s"/>
    <s v="bcx-rdnv-qnb"/>
    <x v="15"/>
    <d v="1899-12-30T01:49:30"/>
    <d v="1899-12-30T02:06:37"/>
    <n v="0"/>
    <n v="0"/>
  </r>
  <r>
    <n v="30"/>
    <s v="OMELLA OWEN"/>
    <d v="1899-12-30T20:36:07"/>
    <d v="1899-12-30T21:41:16"/>
    <d v="1899-12-30T22:25:37"/>
    <s v="30 min 35s"/>
    <s v="bcx-rdnv-qnb"/>
    <x v="15"/>
    <d v="1899-12-30T01:49:30"/>
    <d v="1899-12-30T02:06:38"/>
    <n v="0"/>
    <n v="0"/>
  </r>
  <r>
    <n v="31"/>
    <s v="ONESMUS KORIR"/>
    <d v="1899-12-30T20:36:07"/>
    <d v="1899-12-30T20:36:11"/>
    <d v="1899-12-30T22:25:37"/>
    <s v="1 hr 42 min 40s"/>
    <s v="bcx-rdnv-qnb"/>
    <x v="15"/>
    <d v="1899-12-30T01:49:30"/>
    <d v="1899-12-30T02:06:39"/>
    <n v="0"/>
    <n v="0"/>
  </r>
  <r>
    <n v="32"/>
    <s v="PRINCESS"/>
    <d v="1899-12-30T20:36:07"/>
    <d v="1899-12-30T21:41:16"/>
    <d v="1899-12-30T22:25:37"/>
    <s v="44 min 14s"/>
    <s v="bcx-rdnv-qnb"/>
    <x v="15"/>
    <d v="1899-12-30T01:49:30"/>
    <d v="1899-12-30T02:06:40"/>
    <n v="0"/>
    <n v="0"/>
  </r>
  <r>
    <n v="33"/>
    <s v="RACHEAL KYALIMPA"/>
    <d v="1899-12-30T20:36:07"/>
    <d v="1899-12-30T20:36:11"/>
    <d v="1899-12-30T22:25:37"/>
    <s v="1 hr 49 min 17s"/>
    <s v="bcx-rdnv-qnb"/>
    <x v="15"/>
    <d v="1899-12-30T01:49:30"/>
    <d v="1899-12-30T02:06:41"/>
    <n v="0"/>
    <n v="0"/>
  </r>
  <r>
    <n v="34"/>
    <s v="ROBERT ESSUON"/>
    <d v="1899-12-30T20:36:07"/>
    <d v="1899-12-30T20:36:11"/>
    <d v="1899-12-30T22:25:37"/>
    <s v="1 hr 36 min 30s"/>
    <s v="bcx-rdnv-qnb"/>
    <x v="15"/>
    <d v="1899-12-30T01:49:30"/>
    <d v="1899-12-30T02:06:42"/>
    <n v="0"/>
    <n v="0"/>
  </r>
  <r>
    <n v="35"/>
    <s v="ROBERT MAKUBUYA"/>
    <d v="1899-12-30T20:36:07"/>
    <d v="1899-12-30T20:36:11"/>
    <d v="1899-12-30T22:25:37"/>
    <s v="1 hr 49 min 19s"/>
    <s v="bcx-rdnv-qnb"/>
    <x v="15"/>
    <d v="1899-12-30T01:49:30"/>
    <d v="1899-12-30T02:06:43"/>
    <n v="0"/>
    <n v="0"/>
  </r>
  <r>
    <n v="36"/>
    <s v="RODGERS AHEBWA"/>
    <d v="1899-12-30T20:36:07"/>
    <d v="1899-12-30T20:36:11"/>
    <d v="1899-12-30T22:25:37"/>
    <s v="1 hr 28 min 52s"/>
    <s v="bcx-rdnv-qnb"/>
    <x v="15"/>
    <d v="1899-12-30T01:49:30"/>
    <d v="1899-12-30T02:06:44"/>
    <n v="0"/>
    <n v="0"/>
  </r>
  <r>
    <n v="37"/>
    <s v="RTN JOSES KAYUNGA"/>
    <d v="1899-12-30T20:36:07"/>
    <d v="1899-12-30T21:41:16"/>
    <d v="1899-12-30T22:25:37"/>
    <s v="37 min 37s"/>
    <s v="bcx-rdnv-qnb"/>
    <x v="15"/>
    <d v="1899-12-30T01:49:30"/>
    <d v="1899-12-30T02:06:45"/>
    <n v="0"/>
    <n v="0"/>
  </r>
  <r>
    <n v="38"/>
    <s v="WANDA FORTUNATE"/>
    <d v="1899-12-30T20:36:07"/>
    <d v="1899-12-30T20:36:11"/>
    <d v="1899-12-30T22:25:37"/>
    <s v="1 hr 28 min 52s"/>
    <s v="bcx-rdnv-qnb"/>
    <x v="15"/>
    <d v="1899-12-30T01:49:30"/>
    <d v="1899-12-30T02:06:47"/>
    <n v="0"/>
    <n v="0"/>
  </r>
  <r>
    <n v="1"/>
    <s v="AMARA BAJAHA"/>
    <d v="1899-12-30T20:36:28"/>
    <d v="1899-12-30T20:36:31"/>
    <d v="1899-12-30T22:36:09"/>
    <s v="1 hr 38 min 37s"/>
    <s v="evq-epfh-ove"/>
    <x v="16"/>
    <d v="1899-12-30T01:59:41"/>
    <d v="1899-12-30T02:06:48"/>
    <n v="0"/>
    <n v="0"/>
  </r>
  <r>
    <n v="2"/>
    <s v="ANGULA ROSAMUNDE"/>
    <d v="1899-12-30T20:36:28"/>
    <d v="1899-12-30T20:46:06"/>
    <d v="1899-12-30T22:36:09"/>
    <s v="6 min 43s"/>
    <s v="evq-epfh-ove"/>
    <x v="16"/>
    <d v="1899-12-30T01:59:41"/>
    <d v="1899-12-30T02:06:48"/>
    <n v="0"/>
    <n v="0"/>
  </r>
  <r>
    <n v="3"/>
    <s v="ANTHONY GODSON AIDOO"/>
    <d v="1899-12-30T20:36:28"/>
    <d v="1899-12-30T20:36:31"/>
    <d v="1899-12-30T22:36:09"/>
    <s v="1 hr 58 min 36s"/>
    <s v="evq-epfh-ove"/>
    <x v="16"/>
    <d v="1899-12-30T01:59:41"/>
    <d v="1899-12-30T02:06:49"/>
    <n v="0"/>
    <n v="0"/>
  </r>
  <r>
    <n v="4"/>
    <s v="CHERUU JUL"/>
    <d v="1899-12-30T20:36:28"/>
    <d v="1899-12-30T20:46:06"/>
    <d v="1899-12-30T22:36:09"/>
    <s v="1 hr 11 min 48s"/>
    <s v="evq-epfh-ove"/>
    <x v="16"/>
    <d v="1899-12-30T01:59:41"/>
    <d v="1899-12-30T02:06:49"/>
    <n v="0"/>
    <n v="0"/>
  </r>
  <r>
    <n v="5"/>
    <s v="CHRISTINA MOTHOBI"/>
    <d v="1899-12-30T20:36:28"/>
    <d v="1899-12-30T20:36:31"/>
    <d v="1899-12-30T22:36:09"/>
    <s v="1 hr 1 min 7s"/>
    <s v="evq-epfh-ove"/>
    <x v="16"/>
    <d v="1899-12-30T01:59:41"/>
    <d v="1899-12-30T02:06:50"/>
    <n v="0"/>
    <n v="0"/>
  </r>
  <r>
    <n v="6"/>
    <s v="CHRISTOPHER MODI"/>
    <d v="1899-12-30T20:36:28"/>
    <d v="1899-12-30T20:36:31"/>
    <d v="1899-12-30T22:36:09"/>
    <s v="26 min 14s"/>
    <s v="evq-epfh-ove"/>
    <x v="16"/>
    <d v="1899-12-30T01:59:41"/>
    <d v="1899-12-30T02:06:50"/>
    <n v="0"/>
    <n v="0"/>
  </r>
  <r>
    <n v="7"/>
    <s v="CPAJULIUS CHERUIYOT"/>
    <d v="1899-12-30T20:36:28"/>
    <d v="1899-12-30T20:46:06"/>
    <d v="1899-12-30T22:36:09"/>
    <s v="1 hr 7 min 1s"/>
    <s v="evq-epfh-ove"/>
    <x v="16"/>
    <d v="1899-12-30T01:59:41"/>
    <d v="1899-12-30T02:06:50"/>
    <n v="0"/>
    <n v="0"/>
  </r>
  <r>
    <n v="8"/>
    <s v="EL MAJID SWALEH"/>
    <d v="1899-12-30T20:36:28"/>
    <d v="1899-12-30T20:36:31"/>
    <d v="1899-12-30T22:36:09"/>
    <s v="40 min 28s"/>
    <s v="evq-epfh-ove"/>
    <x v="16"/>
    <d v="1899-12-30T01:59:41"/>
    <d v="1899-12-30T02:06:51"/>
    <n v="0"/>
    <n v="0"/>
  </r>
  <r>
    <n v="9"/>
    <s v="EMMANUEL JOBS"/>
    <d v="1899-12-30T20:36:28"/>
    <d v="1899-12-30T20:36:31"/>
    <d v="1899-12-30T22:36:09"/>
    <s v="1 hr 58 min 14s"/>
    <s v="evq-epfh-ove"/>
    <x v="16"/>
    <d v="1899-12-30T01:59:41"/>
    <d v="1899-12-30T02:06:51"/>
    <n v="0"/>
    <n v="0"/>
  </r>
  <r>
    <n v="10"/>
    <s v="FREDY BAHILI"/>
    <d v="1899-12-30T20:36:28"/>
    <d v="1899-12-30T20:36:31"/>
    <d v="1899-12-30T22:36:09"/>
    <s v="18 min 13s"/>
    <s v="evq-epfh-ove"/>
    <x v="16"/>
    <d v="1899-12-30T01:59:41"/>
    <d v="1899-12-30T02:06:52"/>
    <n v="0"/>
    <n v="0"/>
  </r>
  <r>
    <n v="11"/>
    <s v="GODFREY BIRUNGI"/>
    <d v="1899-12-30T20:36:28"/>
    <d v="1899-12-30T20:36:31"/>
    <d v="1899-12-30T22:36:09"/>
    <s v="1 hr 59 min 36s"/>
    <s v="evq-epfh-ove"/>
    <x v="16"/>
    <d v="1899-12-30T01:59:41"/>
    <d v="1899-12-30T02:06:52"/>
    <n v="0"/>
    <n v="0"/>
  </r>
  <r>
    <n v="12"/>
    <s v="HAROLD SUCCESS GOLAFALE"/>
    <d v="1899-12-30T20:36:28"/>
    <d v="1899-12-30T20:36:31"/>
    <d v="1899-12-30T22:36:09"/>
    <s v="1 hr 14 min 20s"/>
    <s v="evq-epfh-ove"/>
    <x v="16"/>
    <d v="1899-12-30T01:59:41"/>
    <d v="1899-12-30T02:06:53"/>
    <n v="0"/>
    <n v="0"/>
  </r>
  <r>
    <n v="13"/>
    <s v="HENRY CHELELE"/>
    <d v="1899-12-30T20:36:28"/>
    <d v="1899-12-30T20:36:42"/>
    <d v="1899-12-30T22:36:09"/>
    <s v="1 hr 4 min 31s"/>
    <s v="evq-epfh-ove"/>
    <x v="16"/>
    <d v="1899-12-30T01:59:41"/>
    <d v="1899-12-30T02:06:53"/>
    <n v="0"/>
    <n v="0"/>
  </r>
  <r>
    <n v="14"/>
    <s v="JOHN NJOROGE"/>
    <d v="1899-12-30T20:36:28"/>
    <d v="1899-12-30T20:46:06"/>
    <d v="1899-12-30T22:36:09"/>
    <s v="1 hr 50 min 2s"/>
    <s v="evq-epfh-ove"/>
    <x v="16"/>
    <d v="1899-12-30T01:59:41"/>
    <d v="1899-12-30T02:06:54"/>
    <n v="0"/>
    <n v="0"/>
  </r>
  <r>
    <n v="15"/>
    <s v="JOHN RWARU"/>
    <d v="1899-12-30T20:36:28"/>
    <d v="1899-12-30T20:36:31"/>
    <d v="1899-12-30T22:36:09"/>
    <s v="1 hr 11 min 31s"/>
    <s v="evq-epfh-ove"/>
    <x v="16"/>
    <d v="1899-12-30T01:59:41"/>
    <d v="1899-12-30T02:06:54"/>
    <n v="0"/>
    <n v="0"/>
  </r>
  <r>
    <n v="16"/>
    <s v="JOSEPH MBOGO"/>
    <d v="1899-12-30T20:36:28"/>
    <d v="1899-12-30T20:36:31"/>
    <d v="1899-12-30T22:36:09"/>
    <s v="1 hr 59 min 36s"/>
    <s v="evq-epfh-ove"/>
    <x v="16"/>
    <d v="1899-12-30T01:59:41"/>
    <d v="1899-12-30T02:06:55"/>
    <n v="0"/>
    <n v="0"/>
  </r>
  <r>
    <n v="17"/>
    <s v="KAKOOZA GODFREY"/>
    <d v="1899-12-30T20:36:28"/>
    <d v="1899-12-30T21:03:46"/>
    <d v="1899-12-30T22:36:09"/>
    <s v="34 min 57s"/>
    <s v="evq-epfh-ove"/>
    <x v="16"/>
    <d v="1899-12-30T01:59:41"/>
    <d v="1899-12-30T02:06:55"/>
    <n v="0"/>
    <n v="0"/>
  </r>
  <r>
    <n v="18"/>
    <s v="KAMAU RUTH"/>
    <d v="1899-12-30T20:36:28"/>
    <d v="1899-12-30T20:36:31"/>
    <d v="1899-12-30T22:36:09"/>
    <s v="46 min 32s"/>
    <s v="evq-epfh-ove"/>
    <x v="16"/>
    <d v="1899-12-30T01:59:41"/>
    <d v="1899-12-30T02:06:56"/>
    <n v="0"/>
    <n v="0"/>
  </r>
  <r>
    <n v="19"/>
    <s v="LINUS SANKEI"/>
    <d v="1899-12-30T20:36:28"/>
    <d v="1899-12-30T20:36:31"/>
    <d v="1899-12-30T22:36:09"/>
    <s v="1 hr 59 min 36s"/>
    <s v="evq-epfh-ove"/>
    <x v="16"/>
    <d v="1899-12-30T01:59:41"/>
    <d v="1899-12-30T02:06:56"/>
    <n v="0"/>
    <n v="0"/>
  </r>
  <r>
    <n v="20"/>
    <s v="MARTIN LEMI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1"/>
    <s v="MILDRED DRUSILA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2"/>
    <s v="MOHAMED SALLY KAMARA"/>
    <d v="1899-12-30T20:36:28"/>
    <d v="1899-12-30T20:36:31"/>
    <d v="1899-12-30T22:36:09"/>
    <s v="1 hr 58 min 28s"/>
    <s v="evq-epfh-ove"/>
    <x v="16"/>
    <d v="1899-12-30T01:59:41"/>
    <d v="1899-12-30T02:06:58"/>
    <n v="0"/>
    <n v="0"/>
  </r>
  <r>
    <n v="23"/>
    <s v="MR ADRAWA CHARLES YOUNG"/>
    <d v="1899-12-30T20:36:28"/>
    <d v="1899-12-30T20:36:31"/>
    <d v="1899-12-30T22:36:09"/>
    <s v="1 hr 1 min 57s"/>
    <s v="evq-epfh-ove"/>
    <x v="16"/>
    <d v="1899-12-30T01:59:41"/>
    <d v="1899-12-30T02:06:58"/>
    <n v="0"/>
    <n v="0"/>
  </r>
  <r>
    <n v="24"/>
    <s v="OCI GEOFFREY"/>
    <d v="1899-12-30T20:36:28"/>
    <d v="1899-12-30T20:36:31"/>
    <d v="1899-12-30T22:36:09"/>
    <s v="23 min 59s"/>
    <s v="evq-epfh-ove"/>
    <x v="16"/>
    <d v="1899-12-30T01:59:41"/>
    <d v="1899-12-30T02:06:59"/>
    <n v="0"/>
    <n v="0"/>
  </r>
  <r>
    <n v="25"/>
    <s v="ONESMUS KORIR"/>
    <d v="1899-12-30T20:36:28"/>
    <d v="1899-12-30T20:36:31"/>
    <d v="1899-12-30T22:36:09"/>
    <s v="1 hr 58 min 15s"/>
    <s v="evq-epfh-ove"/>
    <x v="16"/>
    <d v="1899-12-30T01:59:41"/>
    <d v="1899-12-30T02:06:59"/>
    <n v="0"/>
    <n v="0"/>
  </r>
  <r>
    <n v="26"/>
    <s v="PRINCESS.MAJOLA"/>
    <d v="1899-12-30T20:36:28"/>
    <d v="1899-12-30T20:46:06"/>
    <d v="1899-12-30T22:36:09"/>
    <s v="13 min 45s"/>
    <s v="evq-epfh-ove"/>
    <x v="16"/>
    <d v="1899-12-30T01:59:41"/>
    <d v="1899-12-30T02:06:59"/>
    <n v="0"/>
    <n v="0"/>
  </r>
  <r>
    <n v="27"/>
    <s v="RACHEAL KYALIMPA"/>
    <d v="1899-12-30T20:36:28"/>
    <d v="1899-12-30T20:46:06"/>
    <d v="1899-12-30T22:36:09"/>
    <s v="1 hr 10 min 59s"/>
    <s v="evq-epfh-ove"/>
    <x v="16"/>
    <d v="1899-12-30T01:59:41"/>
    <d v="1899-12-30T02:07:00"/>
    <n v="0"/>
    <n v="0"/>
  </r>
  <r>
    <n v="28"/>
    <s v="ROBERT ESSUON"/>
    <d v="1899-12-30T20:36:28"/>
    <d v="1899-12-30T20:36:31"/>
    <d v="1899-12-30T22:36:09"/>
    <s v="9 min 34s"/>
    <s v="evq-epfh-ove"/>
    <x v="16"/>
    <d v="1899-12-30T01:59:41"/>
    <d v="1899-12-30T02:07:00"/>
    <n v="0"/>
    <n v="0"/>
  </r>
  <r>
    <n v="29"/>
    <s v="ROBERT MAKUBUYA"/>
    <d v="1899-12-30T20:36:28"/>
    <d v="1899-12-30T20:36:31"/>
    <d v="1899-12-30T22:36:09"/>
    <s v="1 hr 59 min 15s"/>
    <s v="evq-epfh-ove"/>
    <x v="16"/>
    <d v="1899-12-30T01:59:41"/>
    <d v="1899-12-30T02:07:01"/>
    <n v="0"/>
    <n v="0"/>
  </r>
  <r>
    <n v="30"/>
    <s v="RODNEY MUKUNZI"/>
    <d v="1899-12-30T20:36:28"/>
    <d v="1899-12-30T20:36:31"/>
    <d v="1899-12-30T22:36:09"/>
    <s v="22 min 17s"/>
    <s v="evq-epfh-ove"/>
    <x v="16"/>
    <d v="1899-12-30T01:59:41"/>
    <d v="1899-12-30T02:07:01"/>
    <n v="0"/>
    <n v="0"/>
  </r>
  <r>
    <n v="31"/>
    <s v="RTN JOSES KAYUNGA"/>
    <d v="1899-12-30T20:36:28"/>
    <d v="1899-12-30T20:36:31"/>
    <d v="1899-12-30T22:36:09"/>
    <s v="1 hr 50 min 20s"/>
    <s v="evq-epfh-ove"/>
    <x v="16"/>
    <d v="1899-12-30T01:59:41"/>
    <d v="1899-12-30T02:07:02"/>
    <n v="0"/>
    <n v="0"/>
  </r>
  <r>
    <n v="32"/>
    <s v="VITALIS KOECH"/>
    <d v="1899-12-30T20:36:28"/>
    <d v="1899-12-30T20:49:09"/>
    <d v="1899-12-30T22:36:09"/>
    <s v="1 min 51s"/>
    <s v="evq-epfh-ove"/>
    <x v="16"/>
    <d v="1899-12-30T01:59:41"/>
    <d v="1899-12-30T02:07:02"/>
    <n v="0"/>
    <n v="0"/>
  </r>
  <r>
    <n v="33"/>
    <s v="WANDA FORTUNATE"/>
    <d v="1899-12-30T20:36:28"/>
    <d v="1899-12-30T20:36:31"/>
    <d v="1899-12-30T22:36:09"/>
    <s v="54 min 6s"/>
    <s v="evq-epfh-ove"/>
    <x v="16"/>
    <d v="1899-12-30T01:59:41"/>
    <d v="1899-12-30T02:07:03"/>
    <n v="0"/>
    <n v="0"/>
  </r>
  <r>
    <n v="34"/>
    <s v="YANGA SAMSON"/>
    <d v="1899-12-30T20:36:28"/>
    <d v="1899-12-30T20:36:31"/>
    <d v="1899-12-30T22:36:09"/>
    <s v="1 hr 59 min 36s"/>
    <s v="evq-epfh-ove"/>
    <x v="16"/>
    <d v="1899-12-30T01:59:41"/>
    <d v="1899-12-30T02:07:03"/>
    <n v="0"/>
    <n v="0"/>
  </r>
  <r>
    <n v="1"/>
    <s v="AMARA BAJAHA"/>
    <d v="1899-12-30T20:37:07"/>
    <d v="1899-12-30T20:37:11"/>
    <d v="1899-12-30T22:39:34"/>
    <s v="2 hr 2 min 23s"/>
    <s v="icw-azvu-nzm"/>
    <x v="17"/>
    <d v="1899-12-30T02:02:27"/>
    <d v="1899-12-30T02:07:04"/>
    <n v="0"/>
    <n v="0"/>
  </r>
  <r>
    <n v="2"/>
    <s v="ANTHONY GODSON AIDOO"/>
    <d v="1899-12-30T20:37:07"/>
    <d v="1899-12-30T20:37:11"/>
    <d v="1899-12-30T22:39:34"/>
    <s v="2 hr 2 min 0s"/>
    <s v="icw-azvu-nzm"/>
    <x v="17"/>
    <d v="1899-12-30T02:02:27"/>
    <d v="1899-12-30T02:07:04"/>
    <n v="0"/>
    <n v="0"/>
  </r>
  <r>
    <n v="3"/>
    <s v="BENJAMIN MALES LOKOYA"/>
    <d v="1899-12-30T20:37:07"/>
    <d v="1899-12-30T20:37:11"/>
    <d v="1899-12-30T22:39:34"/>
    <s v="2 hr 2 min 4s"/>
    <s v="icw-azvu-nzm"/>
    <x v="17"/>
    <d v="1899-12-30T02:02:27"/>
    <d v="1899-12-30T02:07:04"/>
    <n v="0"/>
    <n v="0"/>
  </r>
  <r>
    <n v="4"/>
    <s v="CHERUU JUL"/>
    <d v="1899-12-30T20:37:07"/>
    <d v="1899-12-30T20:37:11"/>
    <d v="1899-12-30T22:39:34"/>
    <s v="1 hr 3 min 54s"/>
    <s v="icw-azvu-nzm"/>
    <x v="17"/>
    <d v="1899-12-30T02:02:27"/>
    <d v="1899-12-30T02:07:05"/>
    <n v="0"/>
    <n v="0"/>
  </r>
  <r>
    <n v="5"/>
    <s v="CHRISTINA MOTHOBI"/>
    <d v="1899-12-30T20:37:07"/>
    <d v="1899-12-30T20:37:11"/>
    <d v="1899-12-30T22:39:34"/>
    <s v="1 hr 42 min 23s"/>
    <s v="icw-azvu-nzm"/>
    <x v="17"/>
    <d v="1899-12-30T02:02:27"/>
    <d v="1899-12-30T02:07:05"/>
    <n v="0"/>
    <n v="0"/>
  </r>
  <r>
    <n v="6"/>
    <s v="CHRISTOPHER MODI"/>
    <d v="1899-12-30T20:37:07"/>
    <d v="1899-12-30T20:37:11"/>
    <d v="1899-12-30T22:39:34"/>
    <s v="1 hr 31 min 16s"/>
    <s v="icw-azvu-nzm"/>
    <x v="17"/>
    <d v="1899-12-30T02:02:27"/>
    <d v="1899-12-30T02:07:05"/>
    <n v="0"/>
    <n v="0"/>
  </r>
  <r>
    <n v="7"/>
    <s v="CPAJULIUS CHERUIYOT"/>
    <d v="1899-12-30T20:37:07"/>
    <d v="1899-12-30T20:37:11"/>
    <d v="1899-12-30T22:39:34"/>
    <s v="1 hr 31 min 16s"/>
    <s v="icw-azvu-nzm"/>
    <x v="17"/>
    <d v="1899-12-30T02:02:27"/>
    <d v="1899-12-30T02:07:06"/>
    <n v="0"/>
    <n v="0"/>
  </r>
  <r>
    <n v="8"/>
    <s v="EL MAJID SWALEH"/>
    <d v="1899-12-30T20:37:07"/>
    <d v="1899-12-30T20:37:11"/>
    <d v="1899-12-30T22:39:34"/>
    <s v="1 hr 3 min 54s"/>
    <s v="icw-azvu-nzm"/>
    <x v="17"/>
    <d v="1899-12-30T02:02:27"/>
    <d v="1899-12-30T02:07:06"/>
    <n v="0"/>
    <n v="0"/>
  </r>
  <r>
    <n v="9"/>
    <s v="EL-MAJID SWALEH"/>
    <d v="1899-12-30T20:37:07"/>
    <d v="1899-12-30T21:41:06"/>
    <d v="1899-12-30T22:39:34"/>
    <s v="27 min 22s"/>
    <s v="icw-azvu-nzm"/>
    <x v="17"/>
    <d v="1899-12-30T02:02:27"/>
    <d v="1899-12-30T02:07:06"/>
    <n v="0"/>
    <n v="0"/>
  </r>
  <r>
    <n v="10"/>
    <s v="EMMANUEL JOBS"/>
    <d v="1899-12-30T20:37:07"/>
    <d v="1899-12-30T20:37:11"/>
    <d v="1899-12-30T22:39:34"/>
    <s v="1 hr 31 min 16s"/>
    <s v="icw-azvu-nzm"/>
    <x v="17"/>
    <d v="1899-12-30T02:02:27"/>
    <d v="1899-12-30T02:07:07"/>
    <n v="0"/>
    <n v="0"/>
  </r>
  <r>
    <n v="11"/>
    <s v="FREDY BAHILI"/>
    <d v="1899-12-30T20:37:07"/>
    <d v="1899-12-30T20:39:18"/>
    <d v="1899-12-30T22:39:34"/>
    <s v="1 hr 29 min 9s"/>
    <s v="icw-azvu-nzm"/>
    <x v="17"/>
    <d v="1899-12-30T02:02:27"/>
    <d v="1899-12-30T02:07:07"/>
    <n v="0"/>
    <n v="0"/>
  </r>
  <r>
    <n v="12"/>
    <s v="GODFREY BIRUNGI"/>
    <d v="1899-12-30T20:37:07"/>
    <d v="1899-12-30T20:37:11"/>
    <d v="1899-12-30T22:39:34"/>
    <s v="2 hr 2 min 23s"/>
    <s v="icw-azvu-nzm"/>
    <x v="17"/>
    <d v="1899-12-30T02:02:27"/>
    <d v="1899-12-30T02:07:07"/>
    <n v="0"/>
    <n v="0"/>
  </r>
  <r>
    <n v="13"/>
    <s v="HAROLD SUCCESS GOLAFALE"/>
    <d v="1899-12-30T20:37:07"/>
    <d v="1899-12-30T20:39:17"/>
    <d v="1899-12-30T22:39:34"/>
    <s v="1 hr 29 min 11s"/>
    <s v="icw-azvu-nzm"/>
    <x v="17"/>
    <d v="1899-12-30T02:02:27"/>
    <d v="1899-12-30T02:07:08"/>
    <n v="0"/>
    <n v="0"/>
  </r>
  <r>
    <n v="14"/>
    <s v="HENRY CHELELE"/>
    <d v="1899-12-30T20:37:07"/>
    <d v="1899-12-30T20:37:11"/>
    <d v="1899-12-30T22:39:34"/>
    <s v="57 min 12s"/>
    <s v="icw-azvu-nzm"/>
    <x v="17"/>
    <d v="1899-12-30T02:02:27"/>
    <d v="1899-12-30T02:07:08"/>
    <n v="0"/>
    <n v="0"/>
  </r>
  <r>
    <n v="15"/>
    <s v="JOHN RWARU"/>
    <d v="1899-12-30T20:37:07"/>
    <d v="1899-12-30T20:37:11"/>
    <d v="1899-12-30T22:39:34"/>
    <s v="2 hr 1 min 53s"/>
    <s v="icw-azvu-nzm"/>
    <x v="17"/>
    <d v="1899-12-30T02:02:27"/>
    <d v="1899-12-30T02:07:08"/>
    <n v="0"/>
    <n v="0"/>
  </r>
  <r>
    <n v="16"/>
    <s v="JOSEPH MBOGO"/>
    <d v="1899-12-30T20:37:07"/>
    <d v="1899-12-30T20:37:11"/>
    <d v="1899-12-30T22:39:34"/>
    <s v="2 hr 2 min 23s"/>
    <s v="icw-azvu-nzm"/>
    <x v="17"/>
    <d v="1899-12-30T02:02:27"/>
    <d v="1899-12-30T02:07:09"/>
    <n v="0"/>
    <n v="0"/>
  </r>
  <r>
    <n v="17"/>
    <s v="KAKOOZA GODFREY"/>
    <d v="1899-12-30T20:37:07"/>
    <d v="1899-12-30T20:37:11"/>
    <d v="1899-12-30T22:39:34"/>
    <s v="1 hr 3 min 54s"/>
    <s v="icw-azvu-nzm"/>
    <x v="17"/>
    <d v="1899-12-30T02:02:27"/>
    <d v="1899-12-30T02:07:09"/>
    <n v="0"/>
    <n v="0"/>
  </r>
  <r>
    <n v="18"/>
    <s v="KAMAU RUTH"/>
    <d v="1899-12-30T20:37:07"/>
    <d v="1899-12-30T20:37:11"/>
    <d v="1899-12-30T22:39:34"/>
    <s v="1 hr 31 min 16s"/>
    <s v="icw-azvu-nzm"/>
    <x v="17"/>
    <d v="1899-12-30T02:02:27"/>
    <d v="1899-12-30T02:07:09"/>
    <n v="0"/>
    <n v="0"/>
  </r>
  <r>
    <n v="19"/>
    <s v="LINUS SANKEI"/>
    <d v="1899-12-30T20:37:07"/>
    <d v="1899-12-30T20:37:11"/>
    <d v="1899-12-30T22:39:34"/>
    <s v="1 hr 34 min 38s"/>
    <s v="icw-azvu-nzm"/>
    <x v="17"/>
    <d v="1899-12-30T02:02:27"/>
    <d v="1899-12-30T02:07:10"/>
    <n v="0"/>
    <n v="0"/>
  </r>
  <r>
    <n v="20"/>
    <s v="MAGHOGHO BOB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1"/>
    <s v="MARGARET NASSOLO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2"/>
    <s v="MARTIN LEMI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3"/>
    <s v="MILDRED DRUSILA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4"/>
    <s v="MOHAMED SALLY KAMARA"/>
    <d v="1899-12-30T20:37:07"/>
    <d v="1899-12-30T20:37:11"/>
    <d v="1899-12-30T22:39:34"/>
    <s v="1 hr 3 min 54s"/>
    <s v="icw-azvu-nzm"/>
    <x v="17"/>
    <d v="1899-12-30T02:02:27"/>
    <d v="1899-12-30T02:07:11"/>
    <n v="0"/>
    <n v="0"/>
  </r>
  <r>
    <n v="25"/>
    <s v="MR ADRAWA CHARLES YOUNG"/>
    <d v="1899-12-30T20:37:07"/>
    <d v="1899-12-30T21:41:06"/>
    <d v="1899-12-30T22:39:34"/>
    <s v="27 min 22s"/>
    <s v="icw-azvu-nzm"/>
    <x v="17"/>
    <d v="1899-12-30T02:02:27"/>
    <d v="1899-12-30T02:07:11"/>
    <n v="0"/>
    <n v="0"/>
  </r>
  <r>
    <n v="26"/>
    <s v="NASSAMULA JOSEPHINE"/>
    <d v="1899-12-30T20:37:07"/>
    <d v="1899-12-30T20:37:11"/>
    <d v="1899-12-30T22:39:34"/>
    <s v="1 hr 36 min 40s"/>
    <s v="icw-azvu-nzm"/>
    <x v="17"/>
    <d v="1899-12-30T02:02:27"/>
    <d v="1899-12-30T02:07:12"/>
    <n v="0"/>
    <n v="0"/>
  </r>
  <r>
    <n v="27"/>
    <s v="OCHOKI OMBASO"/>
    <d v="1899-12-30T20:37:07"/>
    <d v="1899-12-30T20:37:11"/>
    <d v="1899-12-30T22:39:34"/>
    <s v="1 hr 53 min 11s"/>
    <s v="icw-azvu-nzm"/>
    <x v="17"/>
    <d v="1899-12-30T02:02:27"/>
    <d v="1899-12-30T02:07:12"/>
    <n v="0"/>
    <n v="0"/>
  </r>
  <r>
    <n v="28"/>
    <s v="OCI GEOFFREY"/>
    <d v="1899-12-30T20:37:07"/>
    <d v="1899-12-30T21:41:06"/>
    <d v="1899-12-30T22:39:34"/>
    <s v="58 min 9s"/>
    <s v="icw-azvu-nzm"/>
    <x v="17"/>
    <d v="1899-12-30T02:02:27"/>
    <d v="1899-12-30T02:07:12"/>
    <n v="0"/>
    <n v="0"/>
  </r>
  <r>
    <n v="29"/>
    <s v="OMELLA OWEN"/>
    <d v="1899-12-30T20:37:07"/>
    <d v="1899-12-30T20:37:11"/>
    <d v="1899-12-30T22:39:34"/>
    <s v="1 hr 31 min 16s"/>
    <s v="icw-azvu-nzm"/>
    <x v="17"/>
    <d v="1899-12-30T02:02:27"/>
    <d v="1899-12-30T02:07:13"/>
    <n v="0"/>
    <n v="0"/>
  </r>
  <r>
    <n v="30"/>
    <s v="PRINCESS.MAJOLA"/>
    <d v="1899-12-30T20:37:07"/>
    <d v="1899-12-30T20:37:11"/>
    <d v="1899-12-30T22:39:34"/>
    <s v="2 hr 1 min 53s"/>
    <s v="icw-azvu-nzm"/>
    <x v="17"/>
    <d v="1899-12-30T02:02:27"/>
    <d v="1899-12-30T02:07:13"/>
    <n v="0"/>
    <n v="0"/>
  </r>
  <r>
    <n v="31"/>
    <s v="RACHEAL KYALIMPA"/>
    <d v="1899-12-30T20:37:07"/>
    <d v="1899-12-30T20:37:11"/>
    <d v="1899-12-30T22:39:34"/>
    <s v="1 hr 54 min 57s"/>
    <s v="icw-azvu-nzm"/>
    <x v="17"/>
    <d v="1899-12-30T02:02:27"/>
    <d v="1899-12-30T02:07:13"/>
    <n v="0"/>
    <n v="0"/>
  </r>
  <r>
    <n v="32"/>
    <s v="ROBERT ESSUON"/>
    <d v="1899-12-30T20:37:07"/>
    <d v="1899-12-30T20:37:11"/>
    <d v="1899-12-30T22:39:34"/>
    <s v="28 min 36s"/>
    <s v="icw-azvu-nzm"/>
    <x v="17"/>
    <d v="1899-12-30T02:02:27"/>
    <d v="1899-12-30T02:07:14"/>
    <n v="0"/>
    <n v="0"/>
  </r>
  <r>
    <n v="33"/>
    <s v="ROBERT MAKUBUYA"/>
    <d v="1899-12-30T20:37:07"/>
    <d v="1899-12-30T20:37:11"/>
    <d v="1899-12-30T22:39:34"/>
    <s v="2 hr 1 min 55s"/>
    <s v="icw-azvu-nzm"/>
    <x v="17"/>
    <d v="1899-12-30T02:02:27"/>
    <d v="1899-12-30T02:07:14"/>
    <n v="0"/>
    <n v="0"/>
  </r>
  <r>
    <n v="34"/>
    <s v="RTN JOSES KAYUNGA"/>
    <d v="1899-12-30T20:37:07"/>
    <d v="1899-12-30T21:41:06"/>
    <d v="1899-12-30T22:39:34"/>
    <s v="27 min 22s"/>
    <s v="icw-azvu-nzm"/>
    <x v="17"/>
    <d v="1899-12-30T02:02:27"/>
    <d v="1899-12-30T02:07:14"/>
    <n v="0"/>
    <n v="0"/>
  </r>
  <r>
    <n v="35"/>
    <s v="TORY MOLS"/>
    <d v="1899-12-30T20:37:07"/>
    <d v="1899-12-30T21:41:06"/>
    <d v="1899-12-30T22:39:34"/>
    <s v="58 min 29s"/>
    <s v="icw-azvu-nzm"/>
    <x v="17"/>
    <d v="1899-12-30T02:02:27"/>
    <d v="1899-12-30T02:07:15"/>
    <n v="0"/>
    <n v="0"/>
  </r>
  <r>
    <n v="1"/>
    <s v="ALEX MUHEREZA"/>
    <d v="1899-12-30T20:39:02"/>
    <d v="1899-12-30T20:39:05"/>
    <d v="1899-12-30T22:18:20"/>
    <s v="1 hr 37 min 20s"/>
    <s v="bvd-kjfs-mft"/>
    <x v="18"/>
    <d v="1899-12-30T01:39:18"/>
    <d v="1899-12-30T02:07:15"/>
    <n v="0"/>
    <n v="0"/>
  </r>
  <r>
    <n v="2"/>
    <s v="AMARA BAJAHA"/>
    <d v="1899-12-30T20:39:02"/>
    <d v="1899-12-30T20:39:05"/>
    <d v="1899-12-30T22:18:20"/>
    <s v="1 hr 39 min 9s"/>
    <s v="bvd-kjfs-mft"/>
    <x v="18"/>
    <d v="1899-12-30T01:39:18"/>
    <d v="1899-12-30T02:07:17"/>
    <n v="0"/>
    <n v="0"/>
  </r>
  <r>
    <n v="3"/>
    <s v="ANGULA ROSAMUNDE"/>
    <d v="1899-12-30T20:39:02"/>
    <d v="1899-12-30T20:39:05"/>
    <d v="1899-12-30T22:18:20"/>
    <s v="1 hr 37 min 19s"/>
    <s v="bvd-kjfs-mft"/>
    <x v="18"/>
    <d v="1899-12-30T01:39:18"/>
    <d v="1899-12-30T02:07:19"/>
    <n v="0"/>
    <n v="0"/>
  </r>
  <r>
    <n v="4"/>
    <s v="ANTHONY GODSON AIDOO"/>
    <d v="1899-12-30T20:39:02"/>
    <d v="1899-12-30T22:16:28"/>
    <d v="1899-12-30T22:18:20"/>
    <s v="1 min 51s"/>
    <s v="bvd-kjfs-mft"/>
    <x v="18"/>
    <d v="1899-12-30T01:39:18"/>
    <d v="1899-12-30T02:07:21"/>
    <n v="0"/>
    <n v="0"/>
  </r>
  <r>
    <n v="5"/>
    <s v="BENJAMIN MALES LOKOYA"/>
    <d v="1899-12-30T20:39:02"/>
    <d v="1899-12-30T20:39:05"/>
    <d v="1899-12-30T22:18:20"/>
    <s v="1 hr 39 min 10s"/>
    <s v="bvd-kjfs-mft"/>
    <x v="18"/>
    <d v="1899-12-30T01:39:18"/>
    <d v="1899-12-30T02:07:23"/>
    <n v="0"/>
    <n v="0"/>
  </r>
  <r>
    <n v="6"/>
    <s v="CHERUIYOT JULIUS"/>
    <d v="1899-12-30T20:39:02"/>
    <d v="1899-12-30T20:39:05"/>
    <d v="1899-12-30T22:18:20"/>
    <s v="1 hr 39 min 10s"/>
    <s v="bvd-kjfs-mft"/>
    <x v="18"/>
    <d v="1899-12-30T01:39:18"/>
    <d v="1899-12-30T02:07:25"/>
    <n v="0"/>
    <n v="0"/>
  </r>
  <r>
    <n v="7"/>
    <s v="CHRISTINA MOTHOBI"/>
    <d v="1899-12-30T20:39:02"/>
    <d v="1899-12-30T20:39:05"/>
    <d v="1899-12-30T22:18:20"/>
    <s v="1 hr 37 min 19s"/>
    <s v="bvd-kjfs-mft"/>
    <x v="18"/>
    <d v="1899-12-30T01:39:18"/>
    <d v="1899-12-30T02:07:27"/>
    <n v="0"/>
    <n v="0"/>
  </r>
  <r>
    <n v="8"/>
    <s v="CHRISTOPHER MODI"/>
    <d v="1899-12-30T20:39:02"/>
    <d v="1899-12-30T20:39:05"/>
    <d v="1899-12-30T22:18:20"/>
    <s v="1 hr 37 min 19s"/>
    <s v="bvd-kjfs-mft"/>
    <x v="18"/>
    <d v="1899-12-30T01:39:18"/>
    <d v="1899-12-30T02:07:29"/>
    <n v="0"/>
    <n v="0"/>
  </r>
  <r>
    <n v="9"/>
    <s v="DANIEL ERABU"/>
    <d v="1899-12-30T20:39:02"/>
    <d v="1899-12-30T20:39:05"/>
    <d v="1899-12-30T22:18:20"/>
    <s v="1 hr 37 min 19s"/>
    <s v="bvd-kjfs-mft"/>
    <x v="18"/>
    <d v="1899-12-30T01:39:18"/>
    <d v="1899-12-30T02:07:31"/>
    <n v="0"/>
    <n v="0"/>
  </r>
  <r>
    <n v="10"/>
    <s v="EL MAJID SWALEH"/>
    <d v="1899-12-30T20:39:02"/>
    <d v="1899-12-30T20:39:05"/>
    <d v="1899-12-30T22:18:20"/>
    <s v="1 hr 37 min 33s"/>
    <s v="bvd-kjfs-mft"/>
    <x v="18"/>
    <d v="1899-12-30T01:39:18"/>
    <d v="1899-12-30T02:07:33"/>
    <n v="0"/>
    <n v="0"/>
  </r>
  <r>
    <n v="11"/>
    <s v="EMMANUEL JOBS"/>
    <d v="1899-12-30T20:39:02"/>
    <d v="1899-12-30T20:39:05"/>
    <d v="1899-12-30T22:18:20"/>
    <s v="1 hr 37 min 19s"/>
    <s v="bvd-kjfs-mft"/>
    <x v="18"/>
    <d v="1899-12-30T01:39:18"/>
    <d v="1899-12-30T02:07:35"/>
    <n v="0"/>
    <n v="0"/>
  </r>
  <r>
    <n v="12"/>
    <s v="FREDY BAHILI"/>
    <d v="1899-12-30T20:39:02"/>
    <d v="1899-12-30T20:39:05"/>
    <d v="1899-12-30T22:18:20"/>
    <s v="1 hr 37 min 19s"/>
    <s v="bvd-kjfs-mft"/>
    <x v="18"/>
    <d v="1899-12-30T01:39:18"/>
    <d v="1899-12-30T02:07:37"/>
    <n v="0"/>
    <n v="0"/>
  </r>
  <r>
    <n v="13"/>
    <s v="GEOFFREY OYET"/>
    <d v="1899-12-30T20:39:02"/>
    <d v="1899-12-30T20:39:05"/>
    <d v="1899-12-30T22:18:20"/>
    <s v="1 hr 39 min 10s"/>
    <s v="bvd-kjfs-mft"/>
    <x v="18"/>
    <d v="1899-12-30T01:39:18"/>
    <d v="1899-12-30T02:07:39"/>
    <n v="0"/>
    <n v="0"/>
  </r>
  <r>
    <n v="14"/>
    <s v="GODFREY BIRUNGI"/>
    <d v="1899-12-30T20:39:02"/>
    <d v="1899-12-30T20:39:05"/>
    <d v="1899-12-30T22:18:20"/>
    <s v="1 hr 39 min 10s"/>
    <s v="bvd-kjfs-mft"/>
    <x v="18"/>
    <d v="1899-12-30T01:39:18"/>
    <d v="1899-12-30T02:07:41"/>
    <n v="0"/>
    <n v="0"/>
  </r>
  <r>
    <n v="15"/>
    <s v="JACQUELINE NAMYALO"/>
    <d v="1899-12-30T20:39:02"/>
    <d v="1899-12-30T20:39:05"/>
    <d v="1899-12-30T22:18:20"/>
    <s v="1 hr 37 min 19s"/>
    <s v="bvd-kjfs-mft"/>
    <x v="18"/>
    <d v="1899-12-30T01:39:18"/>
    <d v="1899-12-30T02:07:43"/>
    <n v="0"/>
    <n v="0"/>
  </r>
  <r>
    <n v="16"/>
    <s v="JOHN RWARU"/>
    <d v="1899-12-30T20:39:02"/>
    <d v="1899-12-30T20:39:05"/>
    <d v="1899-12-30T22:18:20"/>
    <s v="1 hr 39 min 6s"/>
    <s v="bvd-kjfs-mft"/>
    <x v="18"/>
    <d v="1899-12-30T01:39:18"/>
    <d v="1899-12-30T02:07:45"/>
    <n v="0"/>
    <n v="0"/>
  </r>
  <r>
    <n v="17"/>
    <s v="JOSEPH MBOGO"/>
    <d v="1899-12-30T20:39:02"/>
    <d v="1899-12-30T20:39:05"/>
    <d v="1899-12-30T22:18:20"/>
    <s v="1 hr 39 min 10s"/>
    <s v="bvd-kjfs-mft"/>
    <x v="18"/>
    <d v="1899-12-30T01:39:18"/>
    <d v="1899-12-30T02:07:47"/>
    <n v="0"/>
    <n v="0"/>
  </r>
  <r>
    <n v="18"/>
    <s v="JULIUS K CHERUIYOT"/>
    <d v="1899-12-30T20:39:02"/>
    <d v="1899-12-30T20:39:05"/>
    <d v="1899-12-30T22:18:20"/>
    <s v="1 hr 37 min 19s"/>
    <s v="bvd-kjfs-mft"/>
    <x v="18"/>
    <d v="1899-12-30T01:39:18"/>
    <d v="1899-12-30T02:07:49"/>
    <n v="0"/>
    <n v="0"/>
  </r>
  <r>
    <n v="19"/>
    <s v="KAKOOZA GODFREY"/>
    <d v="1899-12-30T20:39:02"/>
    <d v="1899-12-30T20:39:05"/>
    <d v="1899-12-30T22:18:20"/>
    <s v="1 hr 37 min 19s"/>
    <s v="bvd-kjfs-mft"/>
    <x v="18"/>
    <d v="1899-12-30T01:39:18"/>
    <d v="1899-12-30T02:07:51"/>
    <n v="0"/>
    <n v="0"/>
  </r>
  <r>
    <n v="20"/>
    <s v="KAMAU RUTH"/>
    <d v="1899-12-30T20:39:02"/>
    <d v="1899-12-30T20:39:05"/>
    <d v="1899-12-30T22:18:20"/>
    <s v="1 hr 39 min 10s"/>
    <s v="bvd-kjfs-mft"/>
    <x v="18"/>
    <d v="1899-12-30T01:39:18"/>
    <d v="1899-12-30T02:07:53"/>
    <n v="0"/>
    <n v="0"/>
  </r>
  <r>
    <n v="21"/>
    <s v="KIIR ABIEM"/>
    <d v="1899-12-30T20:39:02"/>
    <d v="1899-12-30T20:39:05"/>
    <d v="1899-12-30T22:18:20"/>
    <s v="1 hr 37 min 19s"/>
    <s v="bvd-kjfs-mft"/>
    <x v="18"/>
    <d v="1899-12-30T01:39:18"/>
    <d v="1899-12-30T02:07:55"/>
    <n v="0"/>
    <n v="0"/>
  </r>
  <r>
    <n v="22"/>
    <s v="MAHAMADOU MAMANE"/>
    <d v="1899-12-30T20:39:02"/>
    <d v="1899-12-30T22:16:28"/>
    <d v="1899-12-30T22:18:20"/>
    <s v="1 min 51s"/>
    <s v="bvd-kjfs-mft"/>
    <x v="18"/>
    <d v="1899-12-30T01:39:18"/>
    <d v="1899-12-30T02:07:57"/>
    <n v="0"/>
    <n v="0"/>
  </r>
  <r>
    <n v="23"/>
    <s v="MARGARET NASSOLO"/>
    <d v="1899-12-30T20:39:02"/>
    <d v="1899-12-30T20:39:05"/>
    <d v="1899-12-30T22:18:20"/>
    <s v="1 hr 37 min 19s"/>
    <s v="bvd-kjfs-mft"/>
    <x v="18"/>
    <d v="1899-12-30T01:39:18"/>
    <d v="1899-12-30T02:07:59"/>
    <n v="0"/>
    <n v="0"/>
  </r>
  <r>
    <n v="24"/>
    <s v="MARTIN LEMI"/>
    <d v="1899-12-30T20:39:02"/>
    <d v="1899-12-30T22:16:28"/>
    <d v="1899-12-30T22:18:20"/>
    <s v="1 min 51s"/>
    <s v="bvd-kjfs-mft"/>
    <x v="18"/>
    <d v="1899-12-30T01:39:18"/>
    <d v="1899-12-30T02:08:01"/>
    <n v="0"/>
    <n v="0"/>
  </r>
  <r>
    <n v="25"/>
    <s v="MARY NAMUKOKO"/>
    <d v="1899-12-30T20:39:02"/>
    <d v="1899-12-30T20:39:05"/>
    <d v="1899-12-30T22:18:20"/>
    <s v="1 hr 37 min 19s"/>
    <s v="bvd-kjfs-mft"/>
    <x v="18"/>
    <d v="1899-12-30T01:39:18"/>
    <d v="1899-12-30T02:08:03"/>
    <n v="0"/>
    <n v="0"/>
  </r>
  <r>
    <n v="26"/>
    <s v="MILDRED DRUSILA"/>
    <d v="1899-12-30T20:39:02"/>
    <d v="1899-12-30T20:39:05"/>
    <d v="1899-12-30T22:18:20"/>
    <s v="1 hr 39 min 10s"/>
    <s v="bvd-kjfs-mft"/>
    <x v="18"/>
    <d v="1899-12-30T01:39:18"/>
    <d v="1899-12-30T02:08:05"/>
    <n v="0"/>
    <n v="0"/>
  </r>
  <r>
    <n v="27"/>
    <s v="MOHAMED SALLY KAMARA"/>
    <d v="1899-12-30T20:39:02"/>
    <d v="1899-12-30T20:39:05"/>
    <d v="1899-12-30T22:18:20"/>
    <s v="1 hr 39 min 4s"/>
    <s v="bvd-kjfs-mft"/>
    <x v="18"/>
    <d v="1899-12-30T01:39:18"/>
    <d v="1899-12-30T02:08:07"/>
    <n v="0"/>
    <n v="0"/>
  </r>
  <r>
    <n v="28"/>
    <s v="NASSAMULA JOSEPHINE"/>
    <d v="1899-12-30T20:39:02"/>
    <d v="1899-12-30T20:39:05"/>
    <d v="1899-12-30T22:18:20"/>
    <s v="1 hr 37 min 19s"/>
    <s v="bvd-kjfs-mft"/>
    <x v="18"/>
    <d v="1899-12-30T01:39:18"/>
    <d v="1899-12-30T02:08:09"/>
    <n v="0"/>
    <n v="0"/>
  </r>
  <r>
    <n v="29"/>
    <s v="OCHOKI OMBASO"/>
    <d v="1899-12-30T20:39:02"/>
    <d v="1899-12-30T20:39:05"/>
    <d v="1899-12-30T22:18:20"/>
    <s v="1 hr 37 min 19s"/>
    <s v="bvd-kjfs-mft"/>
    <x v="18"/>
    <d v="1899-12-30T01:39:18"/>
    <d v="1899-12-30T02:08:11"/>
    <n v="0"/>
    <n v="0"/>
  </r>
  <r>
    <n v="30"/>
    <s v="OCI GEOFFREY"/>
    <d v="1899-12-30T20:39:02"/>
    <d v="1899-12-30T20:39:05"/>
    <d v="1899-12-30T22:18:20"/>
    <s v="1 hr 39 min 10s"/>
    <s v="bvd-kjfs-mft"/>
    <x v="18"/>
    <d v="1899-12-30T01:39:18"/>
    <d v="1899-12-30T02:08:14"/>
    <n v="0"/>
    <n v="0"/>
  </r>
  <r>
    <n v="31"/>
    <s v="OMELLA OWEN"/>
    <d v="1899-12-30T20:39:02"/>
    <d v="1899-12-30T20:39:05"/>
    <d v="1899-12-30T22:18:20"/>
    <s v="1 hr 37 min 19s"/>
    <s v="bvd-kjfs-mft"/>
    <x v="18"/>
    <d v="1899-12-30T01:39:18"/>
    <d v="1899-12-30T02:08:16"/>
    <n v="0"/>
    <n v="0"/>
  </r>
  <r>
    <n v="32"/>
    <s v="ONESMUS KORIR"/>
    <d v="1899-12-30T20:39:02"/>
    <d v="1899-12-30T20:39:05"/>
    <d v="1899-12-30T22:18:20"/>
    <s v="1 hr 39 min 10s"/>
    <s v="bvd-kjfs-mft"/>
    <x v="18"/>
    <d v="1899-12-30T01:39:18"/>
    <d v="1899-12-30T02:08:18"/>
    <n v="0"/>
    <n v="0"/>
  </r>
  <r>
    <n v="33"/>
    <s v="PRINCESS MAJOLA"/>
    <d v="1899-12-30T20:39:02"/>
    <d v="1899-12-30T20:39:05"/>
    <d v="1899-12-30T22:18:20"/>
    <s v="1 hr 37 min 34s"/>
    <s v="bvd-kjfs-mft"/>
    <x v="18"/>
    <d v="1899-12-30T01:39:18"/>
    <d v="1899-12-30T02:08:20"/>
    <n v="0"/>
    <n v="0"/>
  </r>
  <r>
    <n v="34"/>
    <s v="RACHEAL KYALIMPA"/>
    <d v="1899-12-30T20:39:02"/>
    <d v="1899-12-30T20:39:05"/>
    <d v="1899-12-30T22:18:20"/>
    <s v="1 hr 37 min 19s"/>
    <s v="bvd-kjfs-mft"/>
    <x v="18"/>
    <d v="1899-12-30T01:39:18"/>
    <d v="1899-12-30T02:08:22"/>
    <n v="0"/>
    <n v="0"/>
  </r>
  <r>
    <n v="35"/>
    <s v="ROBERT ESSUON"/>
    <d v="1899-12-30T20:39:02"/>
    <d v="1899-12-30T20:39:05"/>
    <d v="1899-12-30T22:18:20"/>
    <s v="1 hr 37 min 23s"/>
    <s v="bvd-kjfs-mft"/>
    <x v="18"/>
    <d v="1899-12-30T01:39:18"/>
    <d v="1899-12-30T02:08:24"/>
    <n v="0"/>
    <n v="0"/>
  </r>
  <r>
    <n v="36"/>
    <s v="ROBERT MAKUBUYA"/>
    <d v="1899-12-30T20:39:02"/>
    <d v="1899-12-30T20:39:05"/>
    <d v="1899-12-30T22:18:20"/>
    <s v="1 hr 39 min 4s"/>
    <s v="bvd-kjfs-mft"/>
    <x v="18"/>
    <d v="1899-12-30T01:39:18"/>
    <d v="1899-12-30T02:08:26"/>
    <n v="0"/>
    <n v="0"/>
  </r>
  <r>
    <n v="37"/>
    <s v="RTN JOSES KAYUNGA"/>
    <d v="1899-12-30T20:39:02"/>
    <d v="1899-12-30T20:39:05"/>
    <d v="1899-12-30T22:18:20"/>
    <s v="1 hr 39 min 10s"/>
    <s v="bvd-kjfs-mft"/>
    <x v="18"/>
    <d v="1899-12-30T01:39:18"/>
    <d v="1899-12-30T02:08:28"/>
    <n v="0"/>
    <n v="0"/>
  </r>
  <r>
    <n v="38"/>
    <s v="WANDA FORTUNATE"/>
    <d v="1899-12-30T20:39:02"/>
    <d v="1899-12-30T20:39:05"/>
    <d v="1899-12-30T22:18:20"/>
    <s v="1 hr 37 min 19s"/>
    <s v="bvd-kjfs-mft"/>
    <x v="18"/>
    <d v="1899-12-30T01:39:18"/>
    <d v="1899-12-30T02:08:30"/>
    <n v="0"/>
    <n v="0"/>
  </r>
  <r>
    <n v="39"/>
    <s v="YANGA SAMSON"/>
    <d v="1899-12-30T20:39:02"/>
    <d v="1899-12-30T20:39:05"/>
    <d v="1899-12-30T22:18:20"/>
    <s v="1 hr 37 min 19s"/>
    <s v="bvd-kjfs-mft"/>
    <x v="18"/>
    <d v="1899-12-30T01:39:18"/>
    <d v="1899-12-30T02:08:32"/>
    <n v="0"/>
    <n v="0"/>
  </r>
  <r>
    <n v="1"/>
    <s v="ALEX MUHEREZA"/>
    <d v="1899-12-30T20:36:18"/>
    <d v="1899-12-30T22:20:01"/>
    <d v="1899-12-30T22:20:03"/>
    <s v="0 min 2s"/>
    <s v="efd-qhwb-ejp"/>
    <x v="19"/>
    <d v="1899-12-30T01:43:45"/>
    <d v="1899-12-30T02:08:35"/>
    <n v="0"/>
    <n v="0"/>
  </r>
  <r>
    <n v="2"/>
    <s v="AMARA BAJAHA"/>
    <d v="1899-12-30T20:36:18"/>
    <d v="1899-12-30T20:36:23"/>
    <d v="1899-12-30T22:20:03"/>
    <s v="1 hr 43 min 37s"/>
    <s v="efd-qhwb-ejp"/>
    <x v="19"/>
    <d v="1899-12-30T01:43:45"/>
    <d v="1899-12-30T02:08:36"/>
    <n v="0"/>
    <n v="0"/>
  </r>
  <r>
    <n v="3"/>
    <s v="ANGULA ROSAMUNDE"/>
    <d v="1899-12-30T20:36:18"/>
    <d v="1899-12-30T20:36:23"/>
    <d v="1899-12-30T22:20:03"/>
    <s v="1 hr 43 min 38s"/>
    <s v="efd-qhwb-ejp"/>
    <x v="19"/>
    <d v="1899-12-30T01:43:45"/>
    <d v="1899-12-30T02:08:38"/>
    <n v="0"/>
    <n v="0"/>
  </r>
  <r>
    <n v="4"/>
    <s v="ANTHONY GODSON AIDOO"/>
    <d v="1899-12-30T20:36:18"/>
    <d v="1899-12-30T20:36:23"/>
    <d v="1899-12-30T22:20:03"/>
    <s v="1 hr 43 min 38s"/>
    <s v="efd-qhwb-ejp"/>
    <x v="19"/>
    <d v="1899-12-30T01:43:45"/>
    <d v="1899-12-30T02:08:40"/>
    <n v="0"/>
    <n v="0"/>
  </r>
  <r>
    <n v="5"/>
    <s v="ARON NTULIZE"/>
    <d v="1899-12-30T20:36:18"/>
    <d v="1899-12-30T20:36:23"/>
    <d v="1899-12-30T22:20:03"/>
    <s v="0 min 20s"/>
    <s v="efd-qhwb-ejp"/>
    <x v="19"/>
    <d v="1899-12-30T01:43:45"/>
    <d v="1899-12-30T02:08:42"/>
    <n v="0"/>
    <n v="0"/>
  </r>
  <r>
    <n v="6"/>
    <s v="BENJAMIN MALES LOKOYA"/>
    <d v="1899-12-30T20:36:18"/>
    <d v="1899-12-30T20:36:23"/>
    <d v="1899-12-30T22:20:03"/>
    <s v="1 hr 43 min 38s"/>
    <s v="efd-qhwb-ejp"/>
    <x v="19"/>
    <d v="1899-12-30T01:43:45"/>
    <d v="1899-12-30T02:08:44"/>
    <n v="0"/>
    <n v="0"/>
  </r>
  <r>
    <n v="7"/>
    <s v="CHRISTINA MOTHOBI"/>
    <d v="1899-12-30T20:36:18"/>
    <d v="1899-12-30T20:36:23"/>
    <d v="1899-12-30T22:20:03"/>
    <s v="1 hr 43 min 36s"/>
    <s v="efd-qhwb-ejp"/>
    <x v="19"/>
    <d v="1899-12-30T01:43:45"/>
    <d v="1899-12-30T02:08:46"/>
    <n v="0"/>
    <n v="0"/>
  </r>
  <r>
    <n v="8"/>
    <s v="CHRISTOPHER MARK MODI"/>
    <d v="1899-12-30T20:36:18"/>
    <d v="1899-12-30T20:36:23"/>
    <d v="1899-12-30T22:20:03"/>
    <s v="1 hr 43 min 36s"/>
    <s v="efd-qhwb-ejp"/>
    <x v="19"/>
    <d v="1899-12-30T01:43:45"/>
    <d v="1899-12-30T02:08:47"/>
    <n v="0"/>
    <n v="0"/>
  </r>
  <r>
    <n v="9"/>
    <s v="DANIEL ERABU"/>
    <d v="1899-12-30T20:36:18"/>
    <d v="1899-12-30T22:20:01"/>
    <d v="1899-12-30T22:20:03"/>
    <s v="0 min 2s"/>
    <s v="efd-qhwb-ejp"/>
    <x v="19"/>
    <d v="1899-12-30T01:43:45"/>
    <d v="1899-12-30T02:08:49"/>
    <n v="0"/>
    <n v="0"/>
  </r>
  <r>
    <n v="10"/>
    <s v="EL MAJID SWALEH"/>
    <d v="1899-12-30T20:36:18"/>
    <d v="1899-12-30T20:36:23"/>
    <d v="1899-12-30T22:20:03"/>
    <s v="1 hr 43 min 36s"/>
    <s v="efd-qhwb-ejp"/>
    <x v="19"/>
    <d v="1899-12-30T01:43:45"/>
    <d v="1899-12-30T02:08:51"/>
    <n v="0"/>
    <n v="0"/>
  </r>
  <r>
    <n v="11"/>
    <s v="EMMANUEL JOBS"/>
    <d v="1899-12-30T20:36:18"/>
    <d v="1899-12-30T20:36:23"/>
    <d v="1899-12-30T22:20:03"/>
    <s v="1 hr 43 min 38s"/>
    <s v="efd-qhwb-ejp"/>
    <x v="19"/>
    <d v="1899-12-30T01:43:45"/>
    <d v="1899-12-30T02:08:53"/>
    <n v="0"/>
    <n v="0"/>
  </r>
  <r>
    <n v="12"/>
    <s v="FIDELIS SKIPPER AMWEENYE EMOSHO (SKIPPER)"/>
    <d v="1899-12-30T20:36:18"/>
    <d v="1899-12-30T20:36:23"/>
    <d v="1899-12-30T22:20:03"/>
    <s v="1 hr 43 min 36s"/>
    <s v="efd-qhwb-ejp"/>
    <x v="19"/>
    <d v="1899-12-30T01:43:45"/>
    <d v="1899-12-30T02:08:55"/>
    <n v="0"/>
    <n v="0"/>
  </r>
  <r>
    <n v="13"/>
    <s v="GEOFFREY OYET"/>
    <d v="1899-12-30T20:36:18"/>
    <d v="1899-12-30T20:36:23"/>
    <d v="1899-12-30T22:20:03"/>
    <s v="1 hr 43 min 38s"/>
    <s v="efd-qhwb-ejp"/>
    <x v="19"/>
    <d v="1899-12-30T01:43:45"/>
    <d v="1899-12-30T02:08:57"/>
    <n v="0"/>
    <n v="0"/>
  </r>
  <r>
    <n v="14"/>
    <s v="GODFREY BIRUNGI"/>
    <d v="1899-12-30T20:36:18"/>
    <d v="1899-12-30T20:36:23"/>
    <d v="1899-12-30T22:20:03"/>
    <s v="1 hr 43 min 38s"/>
    <s v="efd-qhwb-ejp"/>
    <x v="19"/>
    <d v="1899-12-30T01:43:45"/>
    <d v="1899-12-30T02:08:58"/>
    <n v="0"/>
    <n v="0"/>
  </r>
  <r>
    <n v="15"/>
    <s v="HENRY CHELELE"/>
    <d v="1899-12-30T20:36:18"/>
    <d v="1899-12-30T20:36:23"/>
    <d v="1899-12-30T22:20:03"/>
    <s v="1 hr 43 min 38s"/>
    <s v="efd-qhwb-ejp"/>
    <x v="19"/>
    <d v="1899-12-30T01:43:45"/>
    <d v="1899-12-30T02:09:00"/>
    <n v="0"/>
    <n v="0"/>
  </r>
  <r>
    <n v="16"/>
    <s v="JACQUELINE NAMYALO"/>
    <d v="1899-12-30T20:36:18"/>
    <d v="1899-12-30T20:36:23"/>
    <d v="1899-12-30T22:20:03"/>
    <s v="1 hr 43 min 36s"/>
    <s v="efd-qhwb-ejp"/>
    <x v="19"/>
    <d v="1899-12-30T01:43:45"/>
    <d v="1899-12-30T02:09:02"/>
    <n v="0"/>
    <n v="0"/>
  </r>
  <r>
    <n v="17"/>
    <s v="JOHN NJOROGE"/>
    <d v="1899-12-30T20:36:18"/>
    <d v="1899-12-30T20:36:23"/>
    <d v="1899-12-30T22:20:03"/>
    <s v="1 hr 43 min 38s"/>
    <s v="efd-qhwb-ejp"/>
    <x v="19"/>
    <d v="1899-12-30T01:43:45"/>
    <d v="1899-12-30T02:09:04"/>
    <n v="0"/>
    <n v="0"/>
  </r>
  <r>
    <n v="18"/>
    <s v="JOHN RWARU"/>
    <d v="1899-12-30T20:36:18"/>
    <d v="1899-12-30T22:20:01"/>
    <d v="1899-12-30T22:20:03"/>
    <s v="0 min 2s"/>
    <s v="efd-qhwb-ejp"/>
    <x v="19"/>
    <d v="1899-12-30T01:43:45"/>
    <d v="1899-12-30T02:09:06"/>
    <n v="0"/>
    <n v="0"/>
  </r>
  <r>
    <n v="19"/>
    <s v="JOSEPH MBOGO"/>
    <d v="1899-12-30T20:36:18"/>
    <d v="1899-12-30T20:36:23"/>
    <d v="1899-12-30T22:20:03"/>
    <s v="1 hr 43 min 38s"/>
    <s v="efd-qhwb-ejp"/>
    <x v="19"/>
    <d v="1899-12-30T01:43:45"/>
    <d v="1899-12-30T02:09:08"/>
    <n v="0"/>
    <n v="0"/>
  </r>
  <r>
    <n v="20"/>
    <s v="JOSHUA MHAKURE"/>
    <d v="1899-12-30T20:36:18"/>
    <d v="1899-12-30T20:36:34"/>
    <d v="1899-12-30T22:20:03"/>
    <s v="1 hr 43 min 27s"/>
    <s v="efd-qhwb-ejp"/>
    <x v="19"/>
    <d v="1899-12-30T01:43:45"/>
    <d v="1899-12-30T02:09:10"/>
    <n v="0"/>
    <n v="0"/>
  </r>
  <r>
    <n v="21"/>
    <s v="KAMAU RUTH"/>
    <d v="1899-12-30T20:36:18"/>
    <d v="1899-12-30T20:36:23"/>
    <d v="1899-12-30T22:20:03"/>
    <s v="1 hr 43 min 38s"/>
    <s v="efd-qhwb-ejp"/>
    <x v="19"/>
    <d v="1899-12-30T01:43:45"/>
    <d v="1899-12-30T02:09:12"/>
    <n v="0"/>
    <n v="0"/>
  </r>
  <r>
    <n v="22"/>
    <s v="KIIR ABIEM"/>
    <d v="1899-12-30T20:36:18"/>
    <d v="1899-12-30T20:36:23"/>
    <d v="1899-12-30T22:20:03"/>
    <s v="1 hr 43 min 36s"/>
    <s v="efd-qhwb-ejp"/>
    <x v="19"/>
    <d v="1899-12-30T01:43:45"/>
    <d v="1899-12-30T02:09:14"/>
    <n v="0"/>
    <n v="0"/>
  </r>
  <r>
    <n v="23"/>
    <s v="LOKOSE ABEL"/>
    <d v="1899-12-30T20:36:18"/>
    <d v="1899-12-30T22:20:01"/>
    <d v="1899-12-30T22:20:03"/>
    <s v="0 min 2s"/>
    <s v="efd-qhwb-ejp"/>
    <x v="19"/>
    <d v="1899-12-30T01:43:45"/>
    <d v="1899-12-30T02:09:16"/>
    <n v="0"/>
    <n v="0"/>
  </r>
  <r>
    <n v="24"/>
    <s v="MAGHOGHO BOB"/>
    <d v="1899-12-30T20:36:18"/>
    <d v="1899-12-30T20:36:23"/>
    <d v="1899-12-30T22:20:03"/>
    <s v="0 min 36s"/>
    <s v="efd-qhwb-ejp"/>
    <x v="19"/>
    <d v="1899-12-30T01:43:45"/>
    <d v="1899-12-30T02:09:17"/>
    <n v="0"/>
    <n v="0"/>
  </r>
  <r>
    <n v="25"/>
    <s v="MARGARET NASSOLO"/>
    <d v="1899-12-30T20:36:18"/>
    <d v="1899-12-30T20:36:23"/>
    <d v="1899-12-30T22:20:03"/>
    <s v="1 hr 43 min 36s"/>
    <s v="efd-qhwb-ejp"/>
    <x v="19"/>
    <d v="1899-12-30T01:43:45"/>
    <d v="1899-12-30T02:09:19"/>
    <n v="0"/>
    <n v="0"/>
  </r>
  <r>
    <n v="26"/>
    <s v="MILDRED DRUSILA"/>
    <d v="1899-12-30T20:36:18"/>
    <d v="1899-12-30T20:36:23"/>
    <d v="1899-12-30T22:20:03"/>
    <s v="1 hr 43 min 38s"/>
    <s v="efd-qhwb-ejp"/>
    <x v="19"/>
    <d v="1899-12-30T01:43:45"/>
    <d v="1899-12-30T02:09:21"/>
    <n v="0"/>
    <n v="0"/>
  </r>
  <r>
    <n v="27"/>
    <s v="MOHAMED KABIA"/>
    <d v="1899-12-30T20:36:18"/>
    <d v="1899-12-30T22:20:01"/>
    <d v="1899-12-30T22:20:03"/>
    <s v="0 min 2s"/>
    <s v="efd-qhwb-ejp"/>
    <x v="19"/>
    <d v="1899-12-30T01:43:45"/>
    <d v="1899-12-30T02:09:23"/>
    <n v="0"/>
    <n v="0"/>
  </r>
  <r>
    <n v="28"/>
    <s v="MOHAMED SALLY KAMARA"/>
    <d v="1899-12-30T20:36:18"/>
    <d v="1899-12-30T20:36:23"/>
    <d v="1899-12-30T22:20:03"/>
    <s v="1 hr 43 min 36s"/>
    <s v="efd-qhwb-ejp"/>
    <x v="19"/>
    <d v="1899-12-30T01:43:45"/>
    <d v="1899-12-30T02:09:25"/>
    <n v="0"/>
    <n v="0"/>
  </r>
  <r>
    <n v="29"/>
    <s v="MOZE KEYZ"/>
    <d v="1899-12-30T20:36:18"/>
    <d v="1899-12-30T20:36:23"/>
    <d v="1899-12-30T22:20:03"/>
    <s v="1 hr 43 min 36s"/>
    <s v="efd-qhwb-ejp"/>
    <x v="19"/>
    <d v="1899-12-30T01:43:45"/>
    <d v="1899-12-30T02:09:27"/>
    <n v="0"/>
    <n v="0"/>
  </r>
  <r>
    <n v="30"/>
    <s v="NASSAMULA JOSEPHINE"/>
    <d v="1899-12-30T20:36:18"/>
    <d v="1899-12-30T20:36:23"/>
    <d v="1899-12-30T22:20:03"/>
    <s v="1 hr 43 min 36s"/>
    <s v="efd-qhwb-ejp"/>
    <x v="19"/>
    <d v="1899-12-30T01:43:45"/>
    <d v="1899-12-30T02:09:29"/>
    <n v="0"/>
    <n v="0"/>
  </r>
  <r>
    <n v="31"/>
    <s v="OCI GEOFFREY"/>
    <d v="1899-12-30T20:36:18"/>
    <d v="1899-12-30T20:36:23"/>
    <d v="1899-12-30T22:20:03"/>
    <s v="1 hr 43 min 38s"/>
    <s v="efd-qhwb-ejp"/>
    <x v="19"/>
    <d v="1899-12-30T01:43:45"/>
    <d v="1899-12-30T02:09:31"/>
    <n v="0"/>
    <n v="0"/>
  </r>
  <r>
    <n v="32"/>
    <s v="OKABO GEOFFREY"/>
    <d v="1899-12-30T20:36:18"/>
    <d v="1899-12-30T20:36:23"/>
    <d v="1899-12-30T22:20:03"/>
    <s v="1 hr 43 min 36s"/>
    <s v="efd-qhwb-ejp"/>
    <x v="19"/>
    <d v="1899-12-30T01:43:45"/>
    <d v="1899-12-30T02:09:33"/>
    <n v="0"/>
    <n v="0"/>
  </r>
  <r>
    <n v="33"/>
    <s v="ONESMUS KORIR"/>
    <d v="1899-12-30T20:36:18"/>
    <d v="1899-12-30T20:36:23"/>
    <d v="1899-12-30T22:20:03"/>
    <s v="1 hr 43 min 38s"/>
    <s v="efd-qhwb-ejp"/>
    <x v="19"/>
    <d v="1899-12-30T01:43:45"/>
    <d v="1899-12-30T02:09:35"/>
    <n v="0"/>
    <n v="0"/>
  </r>
  <r>
    <n v="34"/>
    <s v="PRINCESS MAJOLA"/>
    <d v="1899-12-30T20:36:18"/>
    <d v="1899-12-30T20:36:23"/>
    <d v="1899-12-30T22:20:03"/>
    <s v="1 hr 43 min 36s"/>
    <s v="efd-qhwb-ejp"/>
    <x v="19"/>
    <d v="1899-12-30T01:43:45"/>
    <d v="1899-12-30T02:09:37"/>
    <n v="0"/>
    <n v="0"/>
  </r>
  <r>
    <n v="35"/>
    <s v="RACHEAL KYALIMPA"/>
    <d v="1899-12-30T20:36:18"/>
    <d v="1899-12-30T20:36:23"/>
    <d v="1899-12-30T22:20:03"/>
    <s v="1 hr 43 min 36s"/>
    <s v="efd-qhwb-ejp"/>
    <x v="19"/>
    <d v="1899-12-30T01:43:45"/>
    <d v="1899-12-30T02:09:39"/>
    <n v="0"/>
    <n v="0"/>
  </r>
  <r>
    <n v="36"/>
    <s v="ROBERT ESSUON"/>
    <d v="1899-12-30T20:36:18"/>
    <d v="1899-12-30T20:36:23"/>
    <d v="1899-12-30T22:20:03"/>
    <s v="1 hr 43 min 38s"/>
    <s v="efd-qhwb-ejp"/>
    <x v="19"/>
    <d v="1899-12-30T01:43:45"/>
    <d v="1899-12-30T02:09:41"/>
    <n v="0"/>
    <n v="0"/>
  </r>
  <r>
    <n v="37"/>
    <s v="ROBERT MAKUBUYA"/>
    <d v="1899-12-30T20:36:18"/>
    <d v="1899-12-30T20:36:23"/>
    <d v="1899-12-30T22:20:03"/>
    <s v="1 hr 43 min 36s"/>
    <s v="efd-qhwb-ejp"/>
    <x v="19"/>
    <d v="1899-12-30T01:43:45"/>
    <d v="1899-12-30T02:09:43"/>
    <n v="0"/>
    <n v="0"/>
  </r>
  <r>
    <n v="38"/>
    <s v="RODNEY MUKUNZI"/>
    <d v="1899-12-30T20:36:18"/>
    <d v="1899-12-30T20:36:23"/>
    <d v="1899-12-30T22:20:03"/>
    <s v="1 hr 43 min 36s"/>
    <s v="efd-qhwb-ejp"/>
    <x v="19"/>
    <d v="1899-12-30T01:43:45"/>
    <d v="1899-12-30T02:09:45"/>
    <n v="0"/>
    <n v="0"/>
  </r>
  <r>
    <n v="39"/>
    <s v="RTN JOSES KAYUNGA"/>
    <d v="1899-12-30T20:36:18"/>
    <d v="1899-12-30T20:36:23"/>
    <d v="1899-12-30T22:20:03"/>
    <s v="1 hr 43 min 38s"/>
    <s v="efd-qhwb-ejp"/>
    <x v="19"/>
    <d v="1899-12-30T01:43:45"/>
    <d v="1899-12-30T02:09:47"/>
    <n v="0"/>
    <n v="0"/>
  </r>
  <r>
    <n v="40"/>
    <s v="THIS IS LINUS SANKEI"/>
    <d v="1899-12-30T20:36:18"/>
    <d v="1899-12-30T20:36:27"/>
    <d v="1899-12-30T22:20:03"/>
    <s v="1 hr 43 min 32s"/>
    <s v="efd-qhwb-ejp"/>
    <x v="19"/>
    <d v="1899-12-30T01:43:45"/>
    <d v="1899-12-30T02:09:49"/>
    <n v="0"/>
    <n v="0"/>
  </r>
  <r>
    <n v="41"/>
    <s v="TORY MOLS"/>
    <d v="1899-12-30T20:36:18"/>
    <d v="1899-12-30T22:20:01"/>
    <d v="1899-12-30T22:20:03"/>
    <s v="0 min 2s"/>
    <s v="efd-qhwb-ejp"/>
    <x v="19"/>
    <d v="1899-12-30T01:43:45"/>
    <d v="1899-12-30T02:09:51"/>
    <n v="0"/>
    <n v="0"/>
  </r>
  <r>
    <n v="42"/>
    <s v="VITALIS KOECH"/>
    <d v="1899-12-30T20:36:18"/>
    <d v="1899-12-30T20:36:23"/>
    <d v="1899-12-30T22:20:03"/>
    <s v="1 hr 43 min 36s"/>
    <s v="efd-qhwb-ejp"/>
    <x v="19"/>
    <d v="1899-12-30T01:43:45"/>
    <d v="1899-12-30T02:09:53"/>
    <n v="0"/>
    <n v="0"/>
  </r>
  <r>
    <n v="43"/>
    <s v="WANDA FORTUNATE"/>
    <d v="1899-12-30T20:36:18"/>
    <d v="1899-12-30T20:36:46"/>
    <d v="1899-12-30T22:20:03"/>
    <s v="1 hr 43 min 13s"/>
    <s v="efd-qhwb-ejp"/>
    <x v="19"/>
    <d v="1899-12-30T01:43:45"/>
    <d v="1899-12-30T02:09:55"/>
    <n v="0"/>
    <n v="0"/>
  </r>
  <r>
    <n v="1"/>
    <s v="ALEX MUHEREZA"/>
    <d v="1899-12-30T20:38:07"/>
    <d v="1899-12-30T22:32:12"/>
    <d v="1899-12-30T22:32:20"/>
    <s v="0 min 8s"/>
    <s v="pou-vdvr-wih"/>
    <x v="20"/>
    <d v="1899-12-30T01:54:13"/>
    <d v="1899-12-30T02:09:57"/>
    <n v="0"/>
    <n v="0"/>
  </r>
  <r>
    <n v="2"/>
    <s v="AMARA BAJAHA"/>
    <d v="1899-12-30T20:38:07"/>
    <d v="1899-12-30T20:38:10"/>
    <d v="1899-12-30T22:32:20"/>
    <s v="1 hr 54 min 2s"/>
    <s v="pou-vdvr-wih"/>
    <x v="20"/>
    <d v="1899-12-30T01:54:13"/>
    <d v="1899-12-30T02:09:58"/>
    <n v="0"/>
    <n v="0"/>
  </r>
  <r>
    <n v="3"/>
    <s v="ANGULA ROSAMUNDE"/>
    <d v="1899-12-30T20:38:07"/>
    <d v="1899-12-30T20:38:10"/>
    <d v="1899-12-30T22:32:20"/>
    <s v="1 hr 54 min 8s"/>
    <s v="pou-vdvr-wih"/>
    <x v="20"/>
    <d v="1899-12-30T01:54:13"/>
    <d v="1899-12-30T02:09:59"/>
    <n v="0"/>
    <n v="0"/>
  </r>
  <r>
    <n v="4"/>
    <s v="ANTHONY GODSON AIDOO"/>
    <d v="1899-12-30T20:38:07"/>
    <d v="1899-12-30T20:38:10"/>
    <d v="1899-12-30T22:32:20"/>
    <s v="1 hr 54 min 6s"/>
    <s v="pou-vdvr-wih"/>
    <x v="20"/>
    <d v="1899-12-30T01:54:13"/>
    <d v="1899-12-30T02:10:00"/>
    <n v="0"/>
    <n v="0"/>
  </r>
  <r>
    <n v="5"/>
    <s v="ARON NTULIZE"/>
    <d v="1899-12-30T20:38:07"/>
    <d v="1899-12-30T20:38:10"/>
    <d v="1899-12-30T22:32:20"/>
    <s v="1 hr 54 min 2s"/>
    <s v="pou-vdvr-wih"/>
    <x v="20"/>
    <d v="1899-12-30T01:54:13"/>
    <d v="1899-12-30T02:10:02"/>
    <n v="0"/>
    <n v="0"/>
  </r>
  <r>
    <n v="6"/>
    <s v="BENJAMIN MALES LOKOYA"/>
    <d v="1899-12-30T20:38:07"/>
    <d v="1899-12-30T20:38:10"/>
    <d v="1899-12-30T22:32:20"/>
    <s v="1 hr 54 min 8s"/>
    <s v="pou-vdvr-wih"/>
    <x v="20"/>
    <d v="1899-12-30T01:54:13"/>
    <d v="1899-12-30T02:10:03"/>
    <n v="0"/>
    <n v="0"/>
  </r>
  <r>
    <n v="7"/>
    <s v="CHERUU JUL"/>
    <d v="1899-12-30T20:38:07"/>
    <d v="1899-12-30T22:32:12"/>
    <d v="1899-12-30T22:32:20"/>
    <s v="0 min 9s"/>
    <s v="pou-vdvr-wih"/>
    <x v="20"/>
    <d v="1899-12-30T01:54:13"/>
    <d v="1899-12-30T02:10:04"/>
    <n v="0"/>
    <n v="0"/>
  </r>
  <r>
    <n v="8"/>
    <s v="CHRISTINA MOTHOBI"/>
    <d v="1899-12-30T20:38:07"/>
    <d v="1899-12-30T20:38:10"/>
    <d v="1899-12-30T22:32:20"/>
    <s v="1 hr 53 min 59s"/>
    <s v="pou-vdvr-wih"/>
    <x v="20"/>
    <d v="1899-12-30T01:54:13"/>
    <d v="1899-12-30T02:10:05"/>
    <n v="0"/>
    <n v="0"/>
  </r>
  <r>
    <n v="9"/>
    <s v="CHRISTOPHER MODI"/>
    <d v="1899-12-30T20:38:07"/>
    <d v="1899-12-30T20:38:10"/>
    <d v="1899-12-30T22:32:20"/>
    <s v="1 hr 53 min 59s"/>
    <s v="pou-vdvr-wih"/>
    <x v="20"/>
    <d v="1899-12-30T01:54:13"/>
    <d v="1899-12-30T02:10:06"/>
    <n v="0"/>
    <n v="0"/>
  </r>
  <r>
    <n v="10"/>
    <s v="DANIEL ERABU"/>
    <d v="1899-12-30T20:38:07"/>
    <d v="1899-12-30T20:38:10"/>
    <d v="1899-12-30T22:32:20"/>
    <s v="1 hr 53 min 59s"/>
    <s v="pou-vdvr-wih"/>
    <x v="20"/>
    <d v="1899-12-30T01:54:13"/>
    <d v="1899-12-30T02:10:08"/>
    <n v="0"/>
    <n v="0"/>
  </r>
  <r>
    <n v="11"/>
    <s v="DEUS NABIBASA"/>
    <d v="1899-12-30T20:38:07"/>
    <d v="1899-12-30T20:38:10"/>
    <d v="1899-12-30T22:32:20"/>
    <s v="1 min 15s"/>
    <s v="pou-vdvr-wih"/>
    <x v="20"/>
    <d v="1899-12-30T01:54:13"/>
    <d v="1899-12-30T02:10:09"/>
    <n v="0"/>
    <n v="0"/>
  </r>
  <r>
    <n v="12"/>
    <s v="EL MAJID SWALEH"/>
    <d v="1899-12-30T20:38:07"/>
    <d v="1899-12-30T20:38:10"/>
    <d v="1899-12-30T22:32:20"/>
    <s v="1 hr 53 min 59s"/>
    <s v="pou-vdvr-wih"/>
    <x v="20"/>
    <d v="1899-12-30T01:54:13"/>
    <d v="1899-12-30T02:10:10"/>
    <n v="0"/>
    <n v="0"/>
  </r>
  <r>
    <n v="13"/>
    <s v="EMMANUEL JOBS"/>
    <d v="1899-12-30T20:38:07"/>
    <d v="1899-12-30T20:38:10"/>
    <d v="1899-12-30T22:32:20"/>
    <s v="1 hr 53 min 59s"/>
    <s v="pou-vdvr-wih"/>
    <x v="20"/>
    <d v="1899-12-30T01:54:13"/>
    <d v="1899-12-30T02:10:11"/>
    <n v="0"/>
    <n v="0"/>
  </r>
  <r>
    <n v="14"/>
    <s v="FIDELIS SKIPPER AMWEENYE EMOSHO (SKIPPER)"/>
    <d v="1899-12-30T20:38:07"/>
    <d v="1899-12-30T20:38:10"/>
    <d v="1899-12-30T22:32:20"/>
    <s v="1 hr 53 min 59s"/>
    <s v="pou-vdvr-wih"/>
    <x v="20"/>
    <d v="1899-12-30T01:54:13"/>
    <d v="1899-12-30T02:10:13"/>
    <n v="0"/>
    <n v="0"/>
  </r>
  <r>
    <n v="15"/>
    <s v="GEOFFREY OYET"/>
    <d v="1899-12-30T20:38:07"/>
    <d v="1899-12-30T20:38:10"/>
    <d v="1899-12-30T22:32:20"/>
    <s v="1 hr 53 min 59s"/>
    <s v="pou-vdvr-wih"/>
    <x v="20"/>
    <d v="1899-12-30T01:54:13"/>
    <d v="1899-12-30T02:10:14"/>
    <n v="0"/>
    <n v="0"/>
  </r>
  <r>
    <n v="16"/>
    <s v="GODFREY BIRUNGI"/>
    <d v="1899-12-30T20:38:07"/>
    <d v="1899-12-30T20:38:10"/>
    <d v="1899-12-30T22:32:20"/>
    <s v="1 hr 54 min 8s"/>
    <s v="pou-vdvr-wih"/>
    <x v="20"/>
    <d v="1899-12-30T01:54:13"/>
    <d v="1899-12-30T02:10:15"/>
    <n v="0"/>
    <n v="0"/>
  </r>
  <r>
    <n v="17"/>
    <s v="HENRY CHELELE"/>
    <d v="1899-12-30T20:38:07"/>
    <d v="1899-12-30T20:38:10"/>
    <d v="1899-12-30T22:32:20"/>
    <s v="1 hr 54 min 8s"/>
    <s v="pou-vdvr-wih"/>
    <x v="20"/>
    <d v="1899-12-30T01:54:13"/>
    <d v="1899-12-30T02:10:16"/>
    <n v="0"/>
    <n v="0"/>
  </r>
  <r>
    <n v="18"/>
    <s v="ISAAC OGWANG"/>
    <d v="1899-12-30T20:38:07"/>
    <d v="1899-12-30T20:38:10"/>
    <d v="1899-12-30T22:32:20"/>
    <s v="1 hr 53 min 59s"/>
    <s v="pou-vdvr-wih"/>
    <x v="20"/>
    <d v="1899-12-30T01:54:13"/>
    <d v="1899-12-30T02:10:18"/>
    <n v="0"/>
    <n v="0"/>
  </r>
  <r>
    <n v="19"/>
    <s v="JACQUELINE NAMYALO"/>
    <d v="1899-12-30T20:38:07"/>
    <d v="1899-12-30T20:38:10"/>
    <d v="1899-12-30T22:32:20"/>
    <s v="1 hr 53 min 59s"/>
    <s v="pou-vdvr-wih"/>
    <x v="20"/>
    <d v="1899-12-30T01:54:13"/>
    <d v="1899-12-30T02:10:19"/>
    <n v="0"/>
    <n v="0"/>
  </r>
  <r>
    <n v="20"/>
    <s v="JAMES KAYONGO"/>
    <d v="1899-12-30T20:38:07"/>
    <d v="1899-12-30T20:38:10"/>
    <d v="1899-12-30T22:32:20"/>
    <s v="1 hr 54 min 8s"/>
    <s v="pou-vdvr-wih"/>
    <x v="20"/>
    <d v="1899-12-30T01:54:13"/>
    <d v="1899-12-30T02:10:20"/>
    <n v="0"/>
    <n v="0"/>
  </r>
  <r>
    <n v="21"/>
    <s v="JOHN NJOROGE"/>
    <d v="1899-12-30T20:38:07"/>
    <d v="1899-12-30T22:32:12"/>
    <d v="1899-12-30T22:32:20"/>
    <s v="0 min 9s"/>
    <s v="pou-vdvr-wih"/>
    <x v="20"/>
    <d v="1899-12-30T01:54:13"/>
    <d v="1899-12-30T02:10:22"/>
    <n v="0"/>
    <n v="0"/>
  </r>
  <r>
    <n v="22"/>
    <s v="JOHN RWARU"/>
    <d v="1899-12-30T20:38:07"/>
    <d v="1899-12-30T20:38:10"/>
    <d v="1899-12-30T22:32:20"/>
    <s v="1 hr 53 min 59s"/>
    <s v="pou-vdvr-wih"/>
    <x v="20"/>
    <d v="1899-12-30T01:54:13"/>
    <d v="1899-12-30T02:10:23"/>
    <n v="0"/>
    <n v="0"/>
  </r>
  <r>
    <n v="23"/>
    <s v="JOSEPH MBOGO"/>
    <d v="1899-12-30T20:38:07"/>
    <d v="1899-12-30T20:38:10"/>
    <d v="1899-12-30T22:32:20"/>
    <s v="1 hr 54 min 8s"/>
    <s v="pou-vdvr-wih"/>
    <x v="20"/>
    <d v="1899-12-30T01:54:13"/>
    <d v="1899-12-30T02:10:24"/>
    <n v="0"/>
    <n v="0"/>
  </r>
  <r>
    <n v="24"/>
    <s v="JOSEPH MUTIE"/>
    <d v="1899-12-30T20:38:07"/>
    <d v="1899-12-30T22:32:12"/>
    <d v="1899-12-30T22:32:20"/>
    <s v="0 min 9s"/>
    <s v="pou-vdvr-wih"/>
    <x v="20"/>
    <d v="1899-12-30T01:54:13"/>
    <d v="1899-12-30T02:10:25"/>
    <n v="0"/>
    <n v="0"/>
  </r>
  <r>
    <n v="25"/>
    <s v="JOSHUA MHAKURE"/>
    <d v="1899-12-30T20:38:07"/>
    <d v="1899-12-30T20:38:10"/>
    <d v="1899-12-30T22:32:20"/>
    <s v="1 hr 54 min 8s"/>
    <s v="pou-vdvr-wih"/>
    <x v="20"/>
    <d v="1899-12-30T01:54:13"/>
    <d v="1899-12-30T02:10:27"/>
    <n v="0"/>
    <n v="0"/>
  </r>
  <r>
    <n v="26"/>
    <s v="JULIUS K CHERUIYOT"/>
    <d v="1899-12-30T20:38:07"/>
    <d v="1899-12-30T20:38:10"/>
    <d v="1899-12-30T22:32:20"/>
    <s v="1 hr 53 min 59s"/>
    <s v="pou-vdvr-wih"/>
    <x v="20"/>
    <d v="1899-12-30T01:54:13"/>
    <d v="1899-12-30T02:10:28"/>
    <n v="0"/>
    <n v="0"/>
  </r>
  <r>
    <n v="27"/>
    <s v="KAMAU RUTH"/>
    <d v="1899-12-30T20:38:07"/>
    <d v="1899-12-30T20:38:10"/>
    <d v="1899-12-30T22:32:20"/>
    <s v="1 hr 54 min 8s"/>
    <s v="pou-vdvr-wih"/>
    <x v="20"/>
    <d v="1899-12-30T01:54:13"/>
    <d v="1899-12-30T02:10:29"/>
    <n v="0"/>
    <n v="0"/>
  </r>
  <r>
    <n v="28"/>
    <s v="KIIR ABIEM"/>
    <d v="1899-12-30T20:38:07"/>
    <d v="1899-12-30T20:38:10"/>
    <d v="1899-12-30T22:32:20"/>
    <s v="1 hr 53 min 59s"/>
    <s v="pou-vdvr-wih"/>
    <x v="20"/>
    <d v="1899-12-30T01:54:13"/>
    <d v="1899-12-30T02:10:31"/>
    <n v="0"/>
    <n v="0"/>
  </r>
  <r>
    <n v="29"/>
    <s v="LINUS SANKEI"/>
    <d v="1899-12-30T20:38:07"/>
    <d v="1899-12-30T20:38:10"/>
    <d v="1899-12-30T22:32:20"/>
    <s v="1 hr 53 min 59s"/>
    <s v="pou-vdvr-wih"/>
    <x v="20"/>
    <d v="1899-12-30T01:54:13"/>
    <d v="1899-12-30T02:10:32"/>
    <n v="0"/>
    <n v="0"/>
  </r>
  <r>
    <n v="30"/>
    <s v="LOKOSE ABEL"/>
    <d v="1899-12-30T20:38:07"/>
    <d v="1899-12-30T20:38:10"/>
    <d v="1899-12-30T22:32:20"/>
    <s v="1 hr 54 min 8s"/>
    <s v="pou-vdvr-wih"/>
    <x v="20"/>
    <d v="1899-12-30T01:54:13"/>
    <d v="1899-12-30T02:10:33"/>
    <n v="0"/>
    <n v="0"/>
  </r>
  <r>
    <n v="31"/>
    <s v="MAGHOGHO BOB"/>
    <d v="1899-12-30T20:38:07"/>
    <d v="1899-12-30T20:38:10"/>
    <d v="1899-12-30T22:32:20"/>
    <s v="1 hr 53 min 59s"/>
    <s v="pou-vdvr-wih"/>
    <x v="20"/>
    <d v="1899-12-30T01:54:13"/>
    <d v="1899-12-30T02:10:34"/>
    <n v="0"/>
    <n v="0"/>
  </r>
  <r>
    <n v="32"/>
    <s v="MARGARET NASSOLO"/>
    <d v="1899-12-30T20:38:07"/>
    <d v="1899-12-30T20:38:10"/>
    <d v="1899-12-30T22:32:20"/>
    <s v="1 hr 54 min 8s"/>
    <s v="pou-vdvr-wih"/>
    <x v="20"/>
    <d v="1899-12-30T01:54:13"/>
    <d v="1899-12-30T02:10:36"/>
    <n v="0"/>
    <n v="0"/>
  </r>
  <r>
    <n v="33"/>
    <s v="MARTIN LEMI"/>
    <d v="1899-12-30T20:38:07"/>
    <d v="1899-12-30T20:38:10"/>
    <d v="1899-12-30T22:32:20"/>
    <s v="1 hr 54 min 8s"/>
    <s v="pou-vdvr-wih"/>
    <x v="20"/>
    <d v="1899-12-30T01:54:13"/>
    <d v="1899-12-30T02:10:37"/>
    <n v="0"/>
    <n v="0"/>
  </r>
  <r>
    <n v="34"/>
    <s v="MARY NAMUKOKO"/>
    <d v="1899-12-30T20:38:07"/>
    <d v="1899-12-30T22:32:12"/>
    <d v="1899-12-30T22:32:20"/>
    <s v="0 min 1s"/>
    <s v="pou-vdvr-wih"/>
    <x v="20"/>
    <d v="1899-12-30T01:54:13"/>
    <d v="1899-12-30T02:10:38"/>
    <n v="0"/>
    <n v="0"/>
  </r>
  <r>
    <n v="35"/>
    <s v="MERGED AUDIO"/>
    <d v="1899-12-30T20:38:07"/>
    <d v="1899-12-30T22:32:12"/>
    <d v="1899-12-30T22:32:20"/>
    <s v="0 min 9s"/>
    <s v="pou-vdvr-wih"/>
    <x v="20"/>
    <d v="1899-12-30T01:54:13"/>
    <d v="1899-12-30T02:10:40"/>
    <n v="0"/>
    <n v="0"/>
  </r>
  <r>
    <n v="36"/>
    <s v="MOHAMED KABIA"/>
    <d v="1899-12-30T20:38:07"/>
    <d v="1899-12-30T20:38:10"/>
    <d v="1899-12-30T22:32:20"/>
    <s v="1 min 9s"/>
    <s v="pou-vdvr-wih"/>
    <x v="20"/>
    <d v="1899-12-30T01:54:13"/>
    <d v="1899-12-30T02:10:41"/>
    <n v="0"/>
    <n v="0"/>
  </r>
  <r>
    <n v="37"/>
    <s v="MOHAMED SALLY KAMARA"/>
    <d v="1899-12-30T20:38:07"/>
    <d v="1899-12-30T20:38:10"/>
    <d v="1899-12-30T22:32:20"/>
    <s v="1 hr 53 min 59s"/>
    <s v="pou-vdvr-wih"/>
    <x v="20"/>
    <d v="1899-12-30T01:54:13"/>
    <d v="1899-12-30T02:10:42"/>
    <n v="0"/>
    <n v="0"/>
  </r>
  <r>
    <n v="38"/>
    <s v="MOZE KEYZ"/>
    <d v="1899-12-30T20:38:07"/>
    <d v="1899-12-30T20:38:10"/>
    <d v="1899-12-30T22:32:20"/>
    <s v="1 hr 53 min 59s"/>
    <s v="pou-vdvr-wih"/>
    <x v="20"/>
    <d v="1899-12-30T01:54:13"/>
    <d v="1899-12-30T02:10:44"/>
    <n v="0"/>
    <n v="0"/>
  </r>
  <r>
    <n v="39"/>
    <s v="OCI GEOFFREY"/>
    <d v="1899-12-30T20:38:07"/>
    <d v="1899-12-30T20:38:10"/>
    <d v="1899-12-30T22:32:20"/>
    <s v="1 hr 54 min 8s"/>
    <s v="pou-vdvr-wih"/>
    <x v="20"/>
    <d v="1899-12-30T01:54:13"/>
    <d v="1899-12-30T02:10:45"/>
    <n v="0"/>
    <n v="0"/>
  </r>
  <r>
    <n v="40"/>
    <s v="OKABO GEOFFREY"/>
    <d v="1899-12-30T20:38:07"/>
    <d v="1899-12-30T20:38:10"/>
    <d v="1899-12-30T22:32:20"/>
    <s v="1 hr 54 min 8s"/>
    <s v="pou-vdvr-wih"/>
    <x v="20"/>
    <d v="1899-12-30T01:54:13"/>
    <d v="1899-12-30T02:10:46"/>
    <n v="0"/>
    <n v="0"/>
  </r>
  <r>
    <n v="41"/>
    <s v="OMBASO JARED"/>
    <d v="1899-12-30T20:38:07"/>
    <d v="1899-12-30T20:38:10"/>
    <d v="1899-12-30T22:32:20"/>
    <s v="1 hr 53 min 59s"/>
    <s v="pou-vdvr-wih"/>
    <x v="20"/>
    <d v="1899-12-30T01:54:13"/>
    <d v="1899-12-30T02:10:48"/>
    <n v="0"/>
    <n v="0"/>
  </r>
  <r>
    <n v="42"/>
    <s v="OMELLA OWEN"/>
    <d v="1899-12-30T20:38:07"/>
    <d v="1899-12-30T20:38:10"/>
    <d v="1899-12-30T22:32:20"/>
    <s v="1 hr 54 min 8s"/>
    <s v="pou-vdvr-wih"/>
    <x v="20"/>
    <d v="1899-12-30T01:54:13"/>
    <d v="1899-12-30T02:10:49"/>
    <n v="0"/>
    <n v="0"/>
  </r>
  <r>
    <n v="43"/>
    <s v="ONESMUS KORIR"/>
    <d v="1899-12-30T20:38:07"/>
    <d v="1899-12-30T20:38:10"/>
    <d v="1899-12-30T22:32:20"/>
    <s v="1 hr 53 min 59s"/>
    <s v="pou-vdvr-wih"/>
    <x v="20"/>
    <d v="1899-12-30T01:54:13"/>
    <d v="1899-12-30T02:10:50"/>
    <n v="0"/>
    <n v="0"/>
  </r>
  <r>
    <n v="44"/>
    <s v="PRINCESS MAJOLA"/>
    <d v="1899-12-30T20:38:07"/>
    <d v="1899-12-30T20:38:10"/>
    <d v="1899-12-30T22:32:20"/>
    <s v="1 hr 53 min 59s"/>
    <s v="pou-vdvr-wih"/>
    <x v="20"/>
    <d v="1899-12-30T01:54:13"/>
    <d v="1899-12-30T02:10:52"/>
    <n v="0"/>
    <n v="0"/>
  </r>
  <r>
    <n v="45"/>
    <s v="RACHEAL KYALIMPA"/>
    <d v="1899-12-30T20:38:07"/>
    <d v="1899-12-30T20:38:10"/>
    <d v="1899-12-30T22:32:20"/>
    <s v="1 hr 53 min 59s"/>
    <s v="pou-vdvr-wih"/>
    <x v="20"/>
    <d v="1899-12-30T01:54:13"/>
    <d v="1899-12-30T02:10:53"/>
    <n v="0"/>
    <n v="0"/>
  </r>
  <r>
    <n v="46"/>
    <s v="ROBERT ESSUON"/>
    <d v="1899-12-30T20:38:07"/>
    <d v="1899-12-30T20:38:10"/>
    <d v="1899-12-30T22:32:20"/>
    <s v="1 hr 54 min 8s"/>
    <s v="pou-vdvr-wih"/>
    <x v="20"/>
    <d v="1899-12-30T01:54:13"/>
    <d v="1899-12-30T02:10:54"/>
    <n v="0"/>
    <n v="0"/>
  </r>
  <r>
    <n v="47"/>
    <s v="ROBERT MAKUBUYA"/>
    <d v="1899-12-30T20:38:07"/>
    <d v="1899-12-30T20:38:10"/>
    <d v="1899-12-30T22:32:20"/>
    <s v="1 hr 54 min 8s"/>
    <s v="pou-vdvr-wih"/>
    <x v="20"/>
    <d v="1899-12-30T01:54:13"/>
    <d v="1899-12-30T02:10:56"/>
    <n v="0"/>
    <n v="0"/>
  </r>
  <r>
    <n v="48"/>
    <s v="RTN JOSES KAYUNGA"/>
    <d v="1899-12-30T20:38:07"/>
    <d v="1899-12-30T20:38:10"/>
    <d v="1899-12-30T22:32:20"/>
    <s v="1 hr 53 min 59s"/>
    <s v="pou-vdvr-wih"/>
    <x v="20"/>
    <d v="1899-12-30T01:54:13"/>
    <d v="1899-12-30T02:10:57"/>
    <n v="0"/>
    <n v="0"/>
  </r>
  <r>
    <n v="49"/>
    <s v="SABO MIKE"/>
    <d v="1899-12-30T20:38:07"/>
    <d v="1899-12-30T20:38:10"/>
    <d v="1899-12-30T22:32:20"/>
    <s v="1 hr 53 min 59s"/>
    <s v="pou-vdvr-wih"/>
    <x v="20"/>
    <d v="1899-12-30T01:54:13"/>
    <d v="1899-12-30T02:10:59"/>
    <n v="0"/>
    <n v="0"/>
  </r>
  <r>
    <n v="50"/>
    <s v="TORY MOLS"/>
    <d v="1899-12-30T20:38:07"/>
    <d v="1899-12-30T22:32:12"/>
    <d v="1899-12-30T22:32:20"/>
    <s v="0 min 9s"/>
    <s v="pou-vdvr-wih"/>
    <x v="20"/>
    <d v="1899-12-30T01:54:13"/>
    <d v="1899-12-30T02:11:00"/>
    <n v="0"/>
    <n v="0"/>
  </r>
  <r>
    <n v="51"/>
    <s v="VITALIS KOECH"/>
    <d v="1899-12-30T20:38:07"/>
    <d v="1899-12-30T20:38:10"/>
    <d v="1899-12-30T22:32:20"/>
    <s v="1 hr 53 min 59s"/>
    <s v="pou-vdvr-wih"/>
    <x v="20"/>
    <d v="1899-12-30T01:54:13"/>
    <d v="1899-12-30T02:11:01"/>
    <n v="0"/>
    <n v="0"/>
  </r>
  <r>
    <n v="52"/>
    <s v="WANDA FORTUNATE"/>
    <d v="1899-12-30T20:38:07"/>
    <d v="1899-12-30T20:38:10"/>
    <d v="1899-12-30T22:32:20"/>
    <s v="1 hr 53 min 59s"/>
    <s v="pou-vdvr-wih"/>
    <x v="20"/>
    <d v="1899-12-30T01:54:13"/>
    <d v="1899-12-30T02:11:03"/>
    <n v="0"/>
    <n v="0"/>
  </r>
  <r>
    <n v="53"/>
    <s v="YANGA SAMSON"/>
    <d v="1899-12-30T20:38:07"/>
    <d v="1899-12-30T20:38:10"/>
    <d v="1899-12-30T22:32:20"/>
    <s v="1 hr 54 min 8s"/>
    <s v="pou-vdvr-wih"/>
    <x v="20"/>
    <d v="1899-12-30T01:54:13"/>
    <d v="1899-12-30T02:11:04"/>
    <n v="0"/>
    <n v="0"/>
  </r>
  <r>
    <n v="1"/>
    <s v="AMARA BAJAHA"/>
    <d v="1899-12-30T20:37:01"/>
    <d v="1899-12-30T20:37:02"/>
    <d v="1899-12-30T23:14:25"/>
    <s v="2 hr 36 min 39s"/>
    <s v="vum-zrrm-fqa"/>
    <x v="21"/>
    <d v="1899-12-30T02:37:24"/>
    <d v="1899-12-30T02:11:06"/>
    <n v="0"/>
    <n v="0"/>
  </r>
  <r>
    <n v="2"/>
    <s v="ANTHONY GODSON AIDOO"/>
    <d v="1899-12-30T20:37:01"/>
    <d v="1899-12-30T20:37:02"/>
    <d v="1899-12-30T23:14:25"/>
    <s v="2 hr 37 min 15s"/>
    <s v="vum-zrrm-fqa"/>
    <x v="21"/>
    <d v="1899-12-30T02:37:24"/>
    <d v="1899-12-30T02:11:03"/>
    <n v="0"/>
    <n v="0"/>
  </r>
  <r>
    <n v="3"/>
    <s v="ARON NTULIZE"/>
    <d v="1899-12-30T20:37:01"/>
    <d v="1899-12-30T22:33:37"/>
    <d v="1899-12-30T23:14:25"/>
    <s v="32 min 1s"/>
    <s v="vum-zrrm-fqa"/>
    <x v="21"/>
    <d v="1899-12-30T02:37:24"/>
    <d v="1899-12-30T02:11:01"/>
    <n v="0"/>
    <n v="0"/>
  </r>
  <r>
    <n v="4"/>
    <s v="BENJAMIN MALES LOKOYA"/>
    <d v="1899-12-30T20:37:01"/>
    <d v="1899-12-30T20:37:02"/>
    <d v="1899-12-30T23:14:25"/>
    <s v="1 hr 56 min 29s"/>
    <s v="vum-zrrm-fqa"/>
    <x v="21"/>
    <d v="1899-12-30T02:37:24"/>
    <d v="1899-12-30T02:10:59"/>
    <n v="0"/>
    <n v="0"/>
  </r>
  <r>
    <n v="5"/>
    <s v="CHRISTINA MOTHOBI"/>
    <d v="1899-12-30T20:37:01"/>
    <d v="1899-12-30T20:37:02"/>
    <d v="1899-12-30T23:14:25"/>
    <s v="1 hr 56 min 29s"/>
    <s v="vum-zrrm-fqa"/>
    <x v="21"/>
    <d v="1899-12-30T02:37:24"/>
    <d v="1899-12-30T02:10:57"/>
    <n v="0"/>
    <n v="0"/>
  </r>
  <r>
    <n v="6"/>
    <s v="CHRISTOPHER MODI"/>
    <d v="1899-12-30T20:37:01"/>
    <d v="1899-12-30T20:37:02"/>
    <d v="1899-12-30T23:14:25"/>
    <s v="2 hr 5 min 33s"/>
    <s v="vum-zrrm-fqa"/>
    <x v="21"/>
    <d v="1899-12-30T02:37:24"/>
    <d v="1899-12-30T02:10:55"/>
    <n v="0"/>
    <n v="0"/>
  </r>
  <r>
    <n v="7"/>
    <s v="CPAJULIUS CHERUIYOT"/>
    <d v="1899-12-30T20:37:01"/>
    <d v="1899-12-30T22:33:37"/>
    <d v="1899-12-30T23:14:25"/>
    <s v="22 min 28s"/>
    <s v="vum-zrrm-fqa"/>
    <x v="21"/>
    <d v="1899-12-30T02:37:24"/>
    <d v="1899-12-30T02:10:52"/>
    <n v="0"/>
    <n v="0"/>
  </r>
  <r>
    <n v="8"/>
    <s v="DANIEL ERABU"/>
    <d v="1899-12-30T20:37:01"/>
    <d v="1899-12-30T20:37:02"/>
    <d v="1899-12-30T23:14:25"/>
    <s v="1 hr 56 min 29s"/>
    <s v="vum-zrrm-fqa"/>
    <x v="21"/>
    <d v="1899-12-30T02:37:24"/>
    <d v="1899-12-30T02:10:50"/>
    <n v="0"/>
    <n v="0"/>
  </r>
  <r>
    <n v="9"/>
    <s v="EL MAJID SWALEH"/>
    <d v="1899-12-30T20:37:01"/>
    <d v="1899-12-30T20:37:02"/>
    <d v="1899-12-30T23:14:25"/>
    <s v="2 hr 37 min 12s"/>
    <s v="vum-zrrm-fqa"/>
    <x v="21"/>
    <d v="1899-12-30T02:37:24"/>
    <d v="1899-12-30T02:10:48"/>
    <n v="0"/>
    <n v="0"/>
  </r>
  <r>
    <n v="10"/>
    <s v="EMMANUEL JOBS"/>
    <d v="1899-12-30T20:37:01"/>
    <d v="1899-12-30T20:37:02"/>
    <d v="1899-12-30T23:14:25"/>
    <s v="1 hr 59 min 44s"/>
    <s v="vum-zrrm-fqa"/>
    <x v="21"/>
    <d v="1899-12-30T02:37:24"/>
    <d v="1899-12-30T02:10:46"/>
    <n v="0"/>
    <n v="0"/>
  </r>
  <r>
    <n v="11"/>
    <s v="FIDELIS SKIPPER AMWEENYE EMOSHO (SKIPPER)"/>
    <d v="1899-12-30T20:37:01"/>
    <d v="1899-12-30T20:37:02"/>
    <d v="1899-12-30T23:14:25"/>
    <s v="1 hr 56 min 29s"/>
    <s v="vum-zrrm-fqa"/>
    <x v="21"/>
    <d v="1899-12-30T02:37:24"/>
    <d v="1899-12-30T02:10:43"/>
    <n v="0"/>
    <n v="0"/>
  </r>
  <r>
    <n v="12"/>
    <s v="FREDY BAHILI"/>
    <d v="1899-12-30T20:37:01"/>
    <d v="1899-12-30T22:33:37"/>
    <d v="1899-12-30T23:14:25"/>
    <s v="11 min 49s"/>
    <s v="vum-zrrm-fqa"/>
    <x v="21"/>
    <d v="1899-12-30T02:37:24"/>
    <d v="1899-12-30T02:10:41"/>
    <n v="0"/>
    <n v="0"/>
  </r>
  <r>
    <n v="13"/>
    <s v="GODFREY BIRUNGI"/>
    <d v="1899-12-30T20:37:01"/>
    <d v="1899-12-30T20:37:02"/>
    <d v="1899-12-30T23:14:25"/>
    <s v="2 hr 37 min 15s"/>
    <s v="vum-zrrm-fqa"/>
    <x v="21"/>
    <d v="1899-12-30T02:37:24"/>
    <d v="1899-12-30T02:10:39"/>
    <n v="0"/>
    <n v="0"/>
  </r>
  <r>
    <n v="14"/>
    <s v="HAROLD SUCCESS GOLAFALE"/>
    <d v="1899-12-30T20:37:01"/>
    <d v="1899-12-30T20:37:02"/>
    <d v="1899-12-30T23:14:25"/>
    <s v="2 hr 24 min 29s"/>
    <s v="vum-zrrm-fqa"/>
    <x v="21"/>
    <d v="1899-12-30T02:37:24"/>
    <d v="1899-12-30T02:10:37"/>
    <n v="0"/>
    <n v="0"/>
  </r>
  <r>
    <n v="15"/>
    <s v="HENRY CHELELE"/>
    <d v="1899-12-30T20:37:01"/>
    <d v="1899-12-30T20:37:02"/>
    <d v="1899-12-30T23:14:25"/>
    <s v="2 hr 19 min 59s"/>
    <s v="vum-zrrm-fqa"/>
    <x v="21"/>
    <d v="1899-12-30T02:37:24"/>
    <d v="1899-12-30T02:10:35"/>
    <n v="0"/>
    <n v="0"/>
  </r>
  <r>
    <n v="16"/>
    <s v="ISAAC OGWANG"/>
    <d v="1899-12-30T20:37:01"/>
    <d v="1899-12-30T20:37:02"/>
    <d v="1899-12-30T23:14:25"/>
    <s v="1 hr 56 min 29s"/>
    <s v="vum-zrrm-fqa"/>
    <x v="21"/>
    <d v="1899-12-30T02:37:24"/>
    <d v="1899-12-30T02:10:32"/>
    <n v="0"/>
    <n v="0"/>
  </r>
  <r>
    <n v="17"/>
    <s v="JACQUELINE NAMYALO"/>
    <d v="1899-12-30T20:37:01"/>
    <d v="1899-12-30T20:37:02"/>
    <d v="1899-12-30T23:14:25"/>
    <s v="1 hr 56 min 29s"/>
    <s v="vum-zrrm-fqa"/>
    <x v="21"/>
    <d v="1899-12-30T02:37:24"/>
    <d v="1899-12-30T02:10:30"/>
    <n v="0"/>
    <n v="0"/>
  </r>
  <r>
    <n v="18"/>
    <s v="JOHN NJOROGE"/>
    <d v="1899-12-30T20:37:01"/>
    <d v="1899-12-30T20:37:02"/>
    <d v="1899-12-30T23:14:25"/>
    <s v="1 hr 56 min 29s"/>
    <s v="vum-zrrm-fqa"/>
    <x v="21"/>
    <d v="1899-12-30T02:37:24"/>
    <d v="1899-12-30T02:10:28"/>
    <n v="0"/>
    <n v="0"/>
  </r>
  <r>
    <n v="19"/>
    <s v="JOSEPH MBOGO"/>
    <d v="1899-12-30T20:37:01"/>
    <d v="1899-12-30T22:33:37"/>
    <d v="1899-12-30T23:14:25"/>
    <s v="40 min 46s"/>
    <s v="vum-zrrm-fqa"/>
    <x v="21"/>
    <d v="1899-12-30T02:37:24"/>
    <d v="1899-12-30T02:10:25"/>
    <n v="0"/>
    <n v="0"/>
  </r>
  <r>
    <n v="20"/>
    <s v="JOSEPH MUTIE"/>
    <d v="1899-12-30T20:37:01"/>
    <d v="1899-12-30T22:33:37"/>
    <d v="1899-12-30T23:14:25"/>
    <s v="40 min 46s"/>
    <s v="vum-zrrm-fqa"/>
    <x v="21"/>
    <d v="1899-12-30T02:37:24"/>
    <d v="1899-12-30T02:10:23"/>
    <n v="0"/>
    <n v="0"/>
  </r>
  <r>
    <n v="21"/>
    <s v="JOSHUA MHAKURE"/>
    <d v="1899-12-30T20:37:01"/>
    <d v="1899-12-30T20:37:02"/>
    <d v="1899-12-30T23:14:25"/>
    <s v="1 hr 56 min 29s"/>
    <s v="vum-zrrm-fqa"/>
    <x v="21"/>
    <d v="1899-12-30T02:37:24"/>
    <d v="1899-12-30T02:10:21"/>
    <n v="0"/>
    <n v="0"/>
  </r>
  <r>
    <n v="22"/>
    <s v="JULIUS K CHERUIYOT"/>
    <d v="1899-12-30T20:37:01"/>
    <d v="1899-12-30T20:37:02"/>
    <d v="1899-12-30T23:14:25"/>
    <s v="2 hr 12 min 43s"/>
    <s v="vum-zrrm-fqa"/>
    <x v="21"/>
    <d v="1899-12-30T02:37:24"/>
    <d v="1899-12-30T02:10:19"/>
    <n v="0"/>
    <n v="0"/>
  </r>
  <r>
    <n v="23"/>
    <s v="KAKOOZA GODFREY"/>
    <d v="1899-12-30T20:37:01"/>
    <d v="1899-12-30T20:37:02"/>
    <d v="1899-12-30T23:14:25"/>
    <s v="2 hr 5 min 1s"/>
    <s v="vum-zrrm-fqa"/>
    <x v="21"/>
    <d v="1899-12-30T02:37:24"/>
    <d v="1899-12-30T02:10:16"/>
    <n v="0"/>
    <n v="0"/>
  </r>
  <r>
    <n v="24"/>
    <s v="KAMAU RUTH"/>
    <d v="1899-12-30T20:37:01"/>
    <d v="1899-12-30T20:37:02"/>
    <d v="1899-12-30T23:14:25"/>
    <s v="2 hr 37 min 15s"/>
    <s v="vum-zrrm-fqa"/>
    <x v="21"/>
    <d v="1899-12-30T02:37:24"/>
    <d v="1899-12-30T02:10:14"/>
    <n v="0"/>
    <n v="0"/>
  </r>
  <r>
    <n v="25"/>
    <s v="KIIR ABIEM"/>
    <d v="1899-12-30T20:37:01"/>
    <d v="1899-12-30T20:37:02"/>
    <d v="1899-12-30T23:14:25"/>
    <s v="1 hr 56 min 29s"/>
    <s v="vum-zrrm-fqa"/>
    <x v="21"/>
    <d v="1899-12-30T02:37:24"/>
    <d v="1899-12-30T02:10:12"/>
    <n v="0"/>
    <n v="0"/>
  </r>
  <r>
    <n v="26"/>
    <s v="LINUS SANKEI"/>
    <d v="1899-12-30T20:37:01"/>
    <d v="1899-12-30T22:33:37"/>
    <d v="1899-12-30T23:14:25"/>
    <s v="18 min 16s"/>
    <s v="vum-zrrm-fqa"/>
    <x v="21"/>
    <d v="1899-12-30T02:37:24"/>
    <d v="1899-12-30T02:10:09"/>
    <n v="0"/>
    <n v="0"/>
  </r>
  <r>
    <n v="27"/>
    <s v="LOKOSE ABEL"/>
    <d v="1899-12-30T20:37:01"/>
    <d v="1899-12-30T20:37:02"/>
    <d v="1899-12-30T23:14:25"/>
    <s v="2 hr 5 min 1s"/>
    <s v="vum-zrrm-fqa"/>
    <x v="21"/>
    <d v="1899-12-30T02:37:24"/>
    <d v="1899-12-30T02:10:07"/>
    <n v="0"/>
    <n v="0"/>
  </r>
  <r>
    <n v="28"/>
    <s v="MARGARET NASSOLO"/>
    <d v="1899-12-30T20:37:01"/>
    <d v="1899-12-30T20:37:02"/>
    <d v="1899-12-30T23:14:25"/>
    <s v="1 hr 56 min 29s"/>
    <s v="vum-zrrm-fqa"/>
    <x v="21"/>
    <d v="1899-12-30T02:37:24"/>
    <d v="1899-12-30T02:10:05"/>
    <n v="0"/>
    <n v="0"/>
  </r>
  <r>
    <n v="29"/>
    <s v="MARTIN LEMI"/>
    <d v="1899-12-30T20:37:01"/>
    <d v="1899-12-30T22:33:37"/>
    <d v="1899-12-30T23:14:25"/>
    <s v="40 min 46s"/>
    <s v="vum-zrrm-fqa"/>
    <x v="21"/>
    <d v="1899-12-30T02:37:24"/>
    <d v="1899-12-30T02:10:02"/>
    <n v="0"/>
    <n v="0"/>
  </r>
  <r>
    <n v="30"/>
    <s v="MILDRED DRUSILA"/>
    <d v="1899-12-30T20:37:01"/>
    <d v="1899-12-30T22:33:37"/>
    <d v="1899-12-30T23:14:25"/>
    <s v="40 min 46s"/>
    <s v="vum-zrrm-fqa"/>
    <x v="21"/>
    <d v="1899-12-30T02:37:24"/>
    <d v="1899-12-30T02:10:00"/>
    <n v="0"/>
    <n v="0"/>
  </r>
  <r>
    <n v="31"/>
    <s v="MOHAMED KABIA"/>
    <d v="1899-12-30T20:37:01"/>
    <d v="1899-12-30T20:37:02"/>
    <d v="1899-12-30T23:14:25"/>
    <s v="1 hr 56 min 45s"/>
    <s v="vum-zrrm-fqa"/>
    <x v="21"/>
    <d v="1899-12-30T02:37:24"/>
    <d v="1899-12-30T02:09:58"/>
    <n v="0"/>
    <n v="0"/>
  </r>
  <r>
    <n v="32"/>
    <s v="MOHAMED SALLY KAMARA"/>
    <d v="1899-12-30T20:37:01"/>
    <d v="1899-12-30T20:37:02"/>
    <d v="1899-12-30T23:14:25"/>
    <s v="2 hr 31 min 59s"/>
    <s v="vum-zrrm-fqa"/>
    <x v="21"/>
    <d v="1899-12-30T02:37:24"/>
    <d v="1899-12-30T02:09:55"/>
    <n v="0"/>
    <n v="0"/>
  </r>
  <r>
    <n v="33"/>
    <s v="OCI GEOFFREY"/>
    <d v="1899-12-30T20:37:01"/>
    <d v="1899-12-30T20:37:02"/>
    <d v="1899-12-30T23:14:25"/>
    <s v="2 hr 37 min 15s"/>
    <s v="vum-zrrm-fqa"/>
    <x v="21"/>
    <d v="1899-12-30T02:37:24"/>
    <d v="1899-12-30T02:09:53"/>
    <n v="0"/>
    <n v="0"/>
  </r>
  <r>
    <n v="34"/>
    <s v="OKABO GEOFFREY"/>
    <d v="1899-12-30T20:37:01"/>
    <d v="1899-12-30T22:33:37"/>
    <d v="1899-12-30T23:14:25"/>
    <s v="14 min 8s"/>
    <s v="vum-zrrm-fqa"/>
    <x v="21"/>
    <d v="1899-12-30T02:37:24"/>
    <d v="1899-12-30T02:09:50"/>
    <n v="0"/>
    <n v="0"/>
  </r>
  <r>
    <n v="35"/>
    <s v="OMBASO JARED"/>
    <d v="1899-12-30T20:37:01"/>
    <d v="1899-12-30T20:37:02"/>
    <d v="1899-12-30T23:14:25"/>
    <s v="2 hr 9 min 54s"/>
    <s v="vum-zrrm-fqa"/>
    <x v="21"/>
    <d v="1899-12-30T02:37:24"/>
    <d v="1899-12-30T02:09:48"/>
    <n v="0"/>
    <n v="0"/>
  </r>
  <r>
    <n v="36"/>
    <s v="OMELLA OWEN"/>
    <d v="1899-12-30T20:37:01"/>
    <d v="1899-12-30T20:37:02"/>
    <d v="1899-12-30T23:14:25"/>
    <s v="2 hr 12 min 11s"/>
    <s v="vum-zrrm-fqa"/>
    <x v="21"/>
    <d v="1899-12-30T02:37:24"/>
    <d v="1899-12-30T02:09:46"/>
    <n v="0"/>
    <n v="0"/>
  </r>
  <r>
    <n v="37"/>
    <s v="ONESMUS KORIR"/>
    <d v="1899-12-30T20:37:01"/>
    <d v="1899-12-30T20:37:02"/>
    <d v="1899-12-30T23:14:25"/>
    <s v="2 hr 30 min 40s"/>
    <s v="vum-zrrm-fqa"/>
    <x v="21"/>
    <d v="1899-12-30T02:37:24"/>
    <d v="1899-12-30T02:09:43"/>
    <n v="0"/>
    <n v="0"/>
  </r>
  <r>
    <n v="38"/>
    <s v="PRINCESS MAJOLA"/>
    <d v="1899-12-30T20:37:01"/>
    <d v="1899-12-30T22:33:37"/>
    <d v="1899-12-30T23:14:25"/>
    <s v="24 min 7s"/>
    <s v="vum-zrrm-fqa"/>
    <x v="21"/>
    <d v="1899-12-30T02:37:24"/>
    <d v="1899-12-30T02:09:41"/>
    <n v="0"/>
    <n v="0"/>
  </r>
  <r>
    <n v="39"/>
    <s v="RACHEAL KYALIMPA"/>
    <d v="1899-12-30T20:37:01"/>
    <d v="1899-12-30T20:37:02"/>
    <d v="1899-12-30T23:14:25"/>
    <s v="2 hr 8 min 15s"/>
    <s v="vum-zrrm-fqa"/>
    <x v="21"/>
    <d v="1899-12-30T02:37:24"/>
    <d v="1899-12-30T02:09:38"/>
    <n v="0"/>
    <n v="0"/>
  </r>
  <r>
    <n v="40"/>
    <s v="RODNEY MUKUNZI"/>
    <d v="1899-12-30T20:37:01"/>
    <d v="1899-12-30T20:37:02"/>
    <d v="1899-12-30T23:14:25"/>
    <s v="1 hr 56 min 29s"/>
    <s v="vum-zrrm-fqa"/>
    <x v="21"/>
    <d v="1899-12-30T02:37:24"/>
    <d v="1899-12-30T02:09:36"/>
    <n v="0"/>
    <n v="0"/>
  </r>
  <r>
    <n v="41"/>
    <s v="RTN JOSES KAYUNGA"/>
    <d v="1899-12-30T20:37:01"/>
    <d v="1899-12-30T22:33:37"/>
    <d v="1899-12-30T23:14:25"/>
    <s v="37 min 26s"/>
    <s v="vum-zrrm-fqa"/>
    <x v="21"/>
    <d v="1899-12-30T02:37:24"/>
    <d v="1899-12-30T02:09:34"/>
    <n v="0"/>
    <n v="0"/>
  </r>
  <r>
    <n v="42"/>
    <s v="SABO MIKE"/>
    <d v="1899-12-30T20:37:01"/>
    <d v="1899-12-30T20:37:02"/>
    <d v="1899-12-30T23:14:25"/>
    <s v="2 hr 17 min 41s"/>
    <s v="vum-zrrm-fqa"/>
    <x v="21"/>
    <d v="1899-12-30T02:37:24"/>
    <d v="1899-12-30T02:09:31"/>
    <n v="0"/>
    <n v="0"/>
  </r>
  <r>
    <n v="43"/>
    <s v="TORY MOLS"/>
    <d v="1899-12-30T20:37:01"/>
    <d v="1899-12-30T20:37:02"/>
    <d v="1899-12-30T23:14:25"/>
    <s v="2 hr 37 min 15s"/>
    <s v="vum-zrrm-fqa"/>
    <x v="21"/>
    <d v="1899-12-30T02:37:24"/>
    <d v="1899-12-30T02:09:29"/>
    <n v="0"/>
    <n v="0"/>
  </r>
  <r>
    <n v="44"/>
    <s v="TURINAWE PATIENCE"/>
    <d v="1899-12-30T20:37:01"/>
    <d v="1899-12-30T20:37:02"/>
    <d v="1899-12-30T23:14:25"/>
    <s v="1 hr 56 min 29s"/>
    <s v="vum-zrrm-fqa"/>
    <x v="21"/>
    <d v="1899-12-30T02:37:24"/>
    <d v="1899-12-30T02:09:26"/>
    <n v="0"/>
    <n v="0"/>
  </r>
  <r>
    <n v="45"/>
    <s v="VITALIS KOECH"/>
    <d v="1899-12-30T20:37:01"/>
    <d v="1899-12-30T20:37:02"/>
    <d v="1899-12-30T23:14:25"/>
    <s v="1 hr 56 min 29s"/>
    <s v="vum-zrrm-fqa"/>
    <x v="21"/>
    <d v="1899-12-30T02:37:24"/>
    <d v="1899-12-30T02:09:24"/>
    <n v="0"/>
    <n v="0"/>
  </r>
  <r>
    <n v="46"/>
    <s v="WANDA FORTUNATE"/>
    <d v="1899-12-30T20:37:01"/>
    <d v="1899-12-30T22:33:37"/>
    <d v="1899-12-30T23:14:25"/>
    <s v="8 min 58s"/>
    <s v="vum-zrrm-fqa"/>
    <x v="21"/>
    <d v="1899-12-30T02:37:24"/>
    <d v="1899-12-30T02:09:21"/>
    <n v="0"/>
    <n v="0"/>
  </r>
  <r>
    <n v="47"/>
    <s v="YANGA SAMSON"/>
    <d v="1899-12-30T20:37:01"/>
    <d v="1899-12-30T20:37:02"/>
    <d v="1899-12-30T23:14:25"/>
    <s v="1 hr 56 min 29s"/>
    <s v="vum-zrrm-fqa"/>
    <x v="21"/>
    <d v="1899-12-30T02:37:24"/>
    <d v="1899-12-30T02:09:19"/>
    <n v="0"/>
    <n v="0"/>
  </r>
  <r>
    <n v="48"/>
    <s v="YUSUPHA SEESAY"/>
    <d v="1899-12-30T20:37:01"/>
    <d v="1899-12-30T20:37:02"/>
    <d v="1899-12-30T23:14:25"/>
    <s v="2 hr 23 min 26s"/>
    <s v="vum-zrrm-fqa"/>
    <x v="21"/>
    <d v="1899-12-30T02:37:24"/>
    <d v="1899-12-30T02:09:16"/>
    <n v="0"/>
    <n v="0"/>
  </r>
  <r>
    <n v="1"/>
    <s v="ALEX MUHEREZA"/>
    <d v="1899-12-30T20:36:06"/>
    <d v="1899-12-30T22:08:40"/>
    <d v="1899-12-30T22:51:09"/>
    <s v="13 min 30s"/>
    <s v="cap-fywb-wck"/>
    <x v="22"/>
    <d v="1899-12-30T02:15:03"/>
    <d v="1899-12-30T02:09:14"/>
    <n v="0"/>
    <n v="0"/>
  </r>
  <r>
    <n v="2"/>
    <s v="AMARA BAJAHA"/>
    <d v="1899-12-30T20:36:06"/>
    <d v="1899-12-30T20:36:07"/>
    <d v="1899-12-30T22:51:09"/>
    <s v="2 hr 14 min 33s"/>
    <s v="cap-fywb-wck"/>
    <x v="22"/>
    <d v="1899-12-30T02:15:03"/>
    <d v="1899-12-30T02:09:13"/>
    <n v="0"/>
    <n v="0"/>
  </r>
  <r>
    <n v="3"/>
    <s v="ANGULA ROSAMUNDE"/>
    <d v="1899-12-30T20:36:06"/>
    <d v="1899-12-30T20:36:07"/>
    <d v="1899-12-30T22:51:09"/>
    <s v="1 hr 32 min 30s"/>
    <s v="cap-fywb-wck"/>
    <x v="22"/>
    <d v="1899-12-30T02:15:03"/>
    <d v="1899-12-30T02:09:13"/>
    <n v="0"/>
    <n v="0"/>
  </r>
  <r>
    <n v="4"/>
    <s v="ANTHONY GODSON AIDOO"/>
    <d v="1899-12-30T20:36:06"/>
    <d v="1899-12-30T20:36:07"/>
    <d v="1899-12-30T22:51:09"/>
    <s v="2 hr 14 min 17s"/>
    <s v="cap-fywb-wck"/>
    <x v="22"/>
    <d v="1899-12-30T02:15:03"/>
    <d v="1899-12-30T02:09:12"/>
    <n v="0"/>
    <n v="0"/>
  </r>
  <r>
    <n v="5"/>
    <s v="BENJAMIN MALES LOKOYA"/>
    <d v="1899-12-30T20:36:06"/>
    <d v="1899-12-30T20:36:07"/>
    <d v="1899-12-30T22:51:09"/>
    <s v="1 hr 59 min 29s"/>
    <s v="cap-fywb-wck"/>
    <x v="22"/>
    <d v="1899-12-30T02:15:03"/>
    <d v="1899-12-30T02:09:12"/>
    <n v="0"/>
    <n v="0"/>
  </r>
  <r>
    <n v="6"/>
    <s v="CHRISTINA MOTHOBI"/>
    <d v="1899-12-30T20:36:06"/>
    <d v="1899-12-30T20:36:07"/>
    <d v="1899-12-30T22:51:09"/>
    <s v="1 hr 32 min 30s"/>
    <s v="cap-fywb-wck"/>
    <x v="22"/>
    <d v="1899-12-30T02:15:03"/>
    <d v="1899-12-30T02:09:11"/>
    <n v="0"/>
    <n v="0"/>
  </r>
  <r>
    <n v="7"/>
    <s v="CHRISTOPHER MODI"/>
    <d v="1899-12-30T20:36:06"/>
    <d v="1899-12-30T20:36:07"/>
    <d v="1899-12-30T22:51:09"/>
    <s v="2 hr 5 min 16s"/>
    <s v="cap-fywb-wck"/>
    <x v="22"/>
    <d v="1899-12-30T02:15:03"/>
    <d v="1899-12-30T02:09:11"/>
    <n v="0"/>
    <n v="0"/>
  </r>
  <r>
    <n v="8"/>
    <s v="CPAJULIUS CHERUIYOT"/>
    <d v="1899-12-30T20:36:06"/>
    <d v="1899-12-30T22:08:40"/>
    <d v="1899-12-30T22:51:09"/>
    <s v="42 min 29s"/>
    <s v="cap-fywb-wck"/>
    <x v="22"/>
    <d v="1899-12-30T02:15:03"/>
    <d v="1899-12-30T02:09:10"/>
    <n v="0"/>
    <n v="0"/>
  </r>
  <r>
    <n v="9"/>
    <s v="DEUS NABIBASA"/>
    <d v="1899-12-30T20:36:06"/>
    <d v="1899-12-30T20:36:07"/>
    <d v="1899-12-30T22:51:09"/>
    <s v="2 hr 14 min 16s"/>
    <s v="cap-fywb-wck"/>
    <x v="22"/>
    <d v="1899-12-30T02:15:03"/>
    <d v="1899-12-30T02:09:10"/>
    <n v="0"/>
    <n v="0"/>
  </r>
  <r>
    <n v="10"/>
    <s v="EL-MAJID SWALEH"/>
    <d v="1899-12-30T20:36:06"/>
    <d v="1899-12-30T20:36:07"/>
    <d v="1899-12-30T22:51:09"/>
    <s v="1 hr 32 min 30s"/>
    <s v="cap-fywb-wck"/>
    <x v="22"/>
    <d v="1899-12-30T02:15:03"/>
    <d v="1899-12-30T02:09:09"/>
    <n v="0"/>
    <n v="0"/>
  </r>
  <r>
    <n v="11"/>
    <s v="EMMANUEL JOBS"/>
    <d v="1899-12-30T20:36:06"/>
    <d v="1899-12-30T20:36:07"/>
    <d v="1899-12-30T22:51:09"/>
    <s v="1 hr 33 min 45s"/>
    <s v="cap-fywb-wck"/>
    <x v="22"/>
    <d v="1899-12-30T02:15:03"/>
    <d v="1899-12-30T02:09:09"/>
    <n v="0"/>
    <n v="0"/>
  </r>
  <r>
    <n v="12"/>
    <s v="GEOFFREY OYET"/>
    <d v="1899-12-30T20:36:06"/>
    <d v="1899-12-30T20:36:07"/>
    <d v="1899-12-30T22:51:09"/>
    <s v="1 hr 44 min 30s"/>
    <s v="cap-fywb-wck"/>
    <x v="22"/>
    <d v="1899-12-30T02:15:03"/>
    <d v="1899-12-30T02:09:08"/>
    <n v="0"/>
    <n v="0"/>
  </r>
  <r>
    <n v="13"/>
    <s v="GODFREY BIRUNGI"/>
    <d v="1899-12-30T20:36:06"/>
    <d v="1899-12-30T20:36:07"/>
    <d v="1899-12-30T22:51:09"/>
    <s v="2 hr 14 min 59s"/>
    <s v="cap-fywb-wck"/>
    <x v="22"/>
    <d v="1899-12-30T02:15:03"/>
    <d v="1899-12-30T02:09:08"/>
    <n v="0"/>
    <n v="0"/>
  </r>
  <r>
    <n v="14"/>
    <s v="HENRY CHELELE"/>
    <d v="1899-12-30T20:36:06"/>
    <d v="1899-12-30T20:39:09"/>
    <d v="1899-12-30T22:51:09"/>
    <s v="1 hr 47 min 50s"/>
    <s v="cap-fywb-wck"/>
    <x v="22"/>
    <d v="1899-12-30T02:15:03"/>
    <d v="1899-12-30T02:09:07"/>
    <n v="0"/>
    <n v="0"/>
  </r>
  <r>
    <n v="15"/>
    <s v="JOHN RWARU"/>
    <d v="1899-12-30T20:36:06"/>
    <d v="1899-12-30T22:08:40"/>
    <d v="1899-12-30T22:51:09"/>
    <s v="34 min 16s"/>
    <s v="cap-fywb-wck"/>
    <x v="22"/>
    <d v="1899-12-30T02:15:03"/>
    <d v="1899-12-30T02:09:07"/>
    <n v="0"/>
    <n v="0"/>
  </r>
  <r>
    <n v="16"/>
    <s v="JOSEPH MBOGO"/>
    <d v="1899-12-30T20:36:06"/>
    <d v="1899-12-30T22:08:40"/>
    <d v="1899-12-30T22:51:09"/>
    <s v="42 min 29s"/>
    <s v="cap-fywb-wck"/>
    <x v="22"/>
    <d v="1899-12-30T02:15:03"/>
    <d v="1899-12-30T02:09:06"/>
    <n v="0"/>
    <n v="0"/>
  </r>
  <r>
    <n v="17"/>
    <s v="JOSEPH MUTIE"/>
    <d v="1899-12-30T20:36:06"/>
    <d v="1899-12-30T22:13:39"/>
    <d v="1899-12-30T22:51:09"/>
    <s v="37 min 30s"/>
    <s v="cap-fywb-wck"/>
    <x v="22"/>
    <d v="1899-12-30T02:15:03"/>
    <d v="1899-12-30T02:09:05"/>
    <n v="0"/>
    <n v="0"/>
  </r>
  <r>
    <n v="18"/>
    <s v="JOSHUA MHAKURE"/>
    <d v="1899-12-30T20:36:06"/>
    <d v="1899-12-30T22:08:40"/>
    <d v="1899-12-30T22:51:09"/>
    <s v="41 min 34s"/>
    <s v="cap-fywb-wck"/>
    <x v="22"/>
    <d v="1899-12-30T02:15:03"/>
    <d v="1899-12-30T02:09:05"/>
    <n v="0"/>
    <n v="0"/>
  </r>
  <r>
    <n v="19"/>
    <s v="JULIUS K CHERUIYOT"/>
    <d v="1899-12-30T20:36:06"/>
    <d v="1899-12-30T20:36:07"/>
    <d v="1899-12-30T22:51:09"/>
    <s v="2 hr 10 min 59s"/>
    <s v="cap-fywb-wck"/>
    <x v="22"/>
    <d v="1899-12-30T02:15:03"/>
    <d v="1899-12-30T02:09:04"/>
    <n v="0"/>
    <n v="0"/>
  </r>
  <r>
    <n v="20"/>
    <s v="KAKOOZA GODFREY"/>
    <d v="1899-12-30T20:36:06"/>
    <d v="1899-12-30T20:36:07"/>
    <d v="1899-12-30T22:51:09"/>
    <s v="3 min 2s"/>
    <s v="cap-fywb-wck"/>
    <x v="22"/>
    <d v="1899-12-30T02:15:03"/>
    <d v="1899-12-30T02:09:04"/>
    <n v="0"/>
    <n v="0"/>
  </r>
  <r>
    <n v="21"/>
    <s v="KAMAU RUTH"/>
    <d v="1899-12-30T20:36:06"/>
    <d v="1899-12-30T20:36:07"/>
    <d v="1899-12-30T22:51:09"/>
    <s v="2 hr 14 min 33s"/>
    <s v="cap-fywb-wck"/>
    <x v="22"/>
    <d v="1899-12-30T02:15:03"/>
    <d v="1899-12-30T02:09:03"/>
    <n v="0"/>
    <n v="0"/>
  </r>
  <r>
    <n v="22"/>
    <s v="KIIR ABIEM"/>
    <d v="1899-12-30T20:36:06"/>
    <d v="1899-12-30T20:36:07"/>
    <d v="1899-12-30T22:51:09"/>
    <s v="1 hr 32 min 30s"/>
    <s v="cap-fywb-wck"/>
    <x v="22"/>
    <d v="1899-12-30T02:15:03"/>
    <d v="1899-12-30T02:09:03"/>
    <n v="0"/>
    <n v="0"/>
  </r>
  <r>
    <n v="23"/>
    <s v="LOKOSE ABEL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4"/>
    <s v="MAGHOGHO BOB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5"/>
    <s v="MARGARET NASSOLO"/>
    <d v="1899-12-30T20:36:06"/>
    <d v="1899-12-30T20:36:07"/>
    <d v="1899-12-30T22:51:09"/>
    <s v="1 hr 32 min 30s"/>
    <s v="cap-fywb-wck"/>
    <x v="22"/>
    <d v="1899-12-30T02:15:03"/>
    <d v="1899-12-30T02:09:01"/>
    <n v="0"/>
    <n v="0"/>
  </r>
  <r>
    <n v="26"/>
    <s v="MARTIN LEMI"/>
    <d v="1899-12-30T20:36:06"/>
    <d v="1899-12-30T20:36:07"/>
    <d v="1899-12-30T22:51:09"/>
    <s v="2 hr 14 min 59s"/>
    <s v="cap-fywb-wck"/>
    <x v="22"/>
    <d v="1899-12-30T02:15:03"/>
    <d v="1899-12-30T02:09:01"/>
    <n v="0"/>
    <n v="0"/>
  </r>
  <r>
    <n v="27"/>
    <s v="MILDRED DRUSILA"/>
    <d v="1899-12-30T20:36:06"/>
    <d v="1899-12-30T20:36:07"/>
    <d v="1899-12-30T22:51:09"/>
    <s v="2 hr 14 min 30s"/>
    <s v="cap-fywb-wck"/>
    <x v="22"/>
    <d v="1899-12-30T02:15:03"/>
    <d v="1899-12-30T02:09:00"/>
    <n v="0"/>
    <n v="0"/>
  </r>
  <r>
    <n v="28"/>
    <s v="NASSAMULA JOSEPHINE"/>
    <d v="1899-12-30T20:36:06"/>
    <d v="1899-12-30T20:36:07"/>
    <d v="1899-12-30T22:51:09"/>
    <s v="1 hr 32 min 30s"/>
    <s v="cap-fywb-wck"/>
    <x v="22"/>
    <d v="1899-12-30T02:15:03"/>
    <d v="1899-12-30T02:08:59"/>
    <n v="0"/>
    <n v="0"/>
  </r>
  <r>
    <n v="29"/>
    <s v="OCI GEOFFREY"/>
    <d v="1899-12-30T20:36:06"/>
    <d v="1899-12-30T20:36:07"/>
    <d v="1899-12-30T22:51:09"/>
    <s v="2 hr 14 min 20s"/>
    <s v="cap-fywb-wck"/>
    <x v="22"/>
    <d v="1899-12-30T02:15:03"/>
    <d v="1899-12-30T02:08:59"/>
    <n v="0"/>
    <n v="0"/>
  </r>
  <r>
    <n v="30"/>
    <s v="OKABO GEOFFREY"/>
    <d v="1899-12-30T20:36:06"/>
    <d v="1899-12-30T22:08:40"/>
    <d v="1899-12-30T22:51:09"/>
    <s v="42 min 2s"/>
    <s v="cap-fywb-wck"/>
    <x v="22"/>
    <d v="1899-12-30T02:15:03"/>
    <d v="1899-12-30T02:08:58"/>
    <n v="0"/>
    <n v="0"/>
  </r>
  <r>
    <n v="31"/>
    <s v="OMBASO JARED"/>
    <d v="1899-12-30T20:36:06"/>
    <d v="1899-12-30T20:36:07"/>
    <d v="1899-12-30T22:51:09"/>
    <s v="2 hr 14 min 17s"/>
    <s v="cap-fywb-wck"/>
    <x v="22"/>
    <d v="1899-12-30T02:15:03"/>
    <d v="1899-12-30T02:08:58"/>
    <n v="0"/>
    <n v="0"/>
  </r>
  <r>
    <n v="32"/>
    <s v="OMELLA OWEN"/>
    <d v="1899-12-30T20:36:06"/>
    <d v="1899-12-30T20:36:07"/>
    <d v="1899-12-30T22:51:09"/>
    <s v="1 hr 59 min 52s"/>
    <s v="cap-fywb-wck"/>
    <x v="22"/>
    <d v="1899-12-30T02:15:03"/>
    <d v="1899-12-30T02:08:57"/>
    <n v="0"/>
    <n v="0"/>
  </r>
  <r>
    <n v="33"/>
    <s v="ONESMUS KORIR"/>
    <d v="1899-12-30T20:36:06"/>
    <d v="1899-12-30T20:36:07"/>
    <d v="1899-12-30T22:51:09"/>
    <s v="2 hr 10 min 10s"/>
    <s v="cap-fywb-wck"/>
    <x v="22"/>
    <d v="1899-12-30T02:15:03"/>
    <d v="1899-12-30T02:08:57"/>
    <n v="0"/>
    <n v="0"/>
  </r>
  <r>
    <n v="34"/>
    <s v="PRINCESS MAJOLA"/>
    <d v="1899-12-30T20:36:06"/>
    <d v="1899-12-30T20:36:07"/>
    <d v="1899-12-30T22:51:09"/>
    <s v="2 hr 14 min 16s"/>
    <s v="cap-fywb-wck"/>
    <x v="22"/>
    <d v="1899-12-30T02:15:03"/>
    <d v="1899-12-30T02:08:56"/>
    <n v="0"/>
    <n v="0"/>
  </r>
  <r>
    <n v="35"/>
    <s v="RACHEAL KYALIMPA"/>
    <d v="1899-12-30T20:36:06"/>
    <d v="1899-12-30T20:36:07"/>
    <d v="1899-12-30T22:51:09"/>
    <s v="2 hr 14 min 22s"/>
    <s v="cap-fywb-wck"/>
    <x v="22"/>
    <d v="1899-12-30T02:15:03"/>
    <d v="1899-12-30T02:08:56"/>
    <n v="0"/>
    <n v="0"/>
  </r>
  <r>
    <n v="36"/>
    <s v="ROBERT MAKUBUYA"/>
    <d v="1899-12-30T20:36:06"/>
    <d v="1899-12-30T22:08:40"/>
    <d v="1899-12-30T22:51:09"/>
    <s v="4 min 33s"/>
    <s v="cap-fywb-wck"/>
    <x v="22"/>
    <d v="1899-12-30T02:15:03"/>
    <d v="1899-12-30T02:08:55"/>
    <n v="0"/>
    <n v="0"/>
  </r>
  <r>
    <n v="37"/>
    <s v="RTN JOSES KAYUNGA"/>
    <d v="1899-12-30T20:36:06"/>
    <d v="1899-12-30T20:36:20"/>
    <d v="1899-12-30T22:51:09"/>
    <s v="2 hr 14 min 3s"/>
    <s v="cap-fywb-wck"/>
    <x v="22"/>
    <d v="1899-12-30T02:15:03"/>
    <d v="1899-12-30T02:08:54"/>
    <n v="0"/>
    <n v="0"/>
  </r>
  <r>
    <n v="38"/>
    <s v="SABO MIKE"/>
    <d v="1899-12-30T20:36:06"/>
    <d v="1899-12-30T20:36:07"/>
    <d v="1899-12-30T22:51:09"/>
    <s v="2 hr 14 min 19s"/>
    <s v="cap-fywb-wck"/>
    <x v="22"/>
    <d v="1899-12-30T02:15:03"/>
    <d v="1899-12-30T02:08:54"/>
    <n v="0"/>
    <n v="0"/>
  </r>
  <r>
    <n v="39"/>
    <s v="SARAH NAKAMATTE"/>
    <d v="1899-12-30T20:36:06"/>
    <d v="1899-12-30T20:39:09"/>
    <d v="1899-12-30T22:51:09"/>
    <s v="1 hr 31 min 58s"/>
    <s v="cap-fywb-wck"/>
    <x v="22"/>
    <d v="1899-12-30T02:15:03"/>
    <d v="1899-12-30T02:08:53"/>
    <n v="0"/>
    <n v="0"/>
  </r>
  <r>
    <n v="40"/>
    <s v="SIMONPETER OUMA"/>
    <d v="1899-12-30T20:36:06"/>
    <d v="1899-12-30T20:36:07"/>
    <d v="1899-12-30T22:51:09"/>
    <s v="2 hr 14 min 59s"/>
    <s v="cap-fywb-wck"/>
    <x v="22"/>
    <d v="1899-12-30T02:15:03"/>
    <d v="1899-12-30T02:08:53"/>
    <n v="0"/>
    <n v="0"/>
  </r>
  <r>
    <n v="41"/>
    <s v="THIS IS LINUS SANKEI"/>
    <d v="1899-12-30T20:36:06"/>
    <d v="1899-12-30T22:08:40"/>
    <d v="1899-12-30T22:51:09"/>
    <s v="42 min 4s"/>
    <s v="cap-fywb-wck"/>
    <x v="22"/>
    <d v="1899-12-30T02:15:03"/>
    <d v="1899-12-30T02:08:52"/>
    <n v="0"/>
    <n v="0"/>
  </r>
  <r>
    <n v="42"/>
    <s v="TORY MOLS"/>
    <d v="1899-12-30T20:36:06"/>
    <d v="1899-12-30T20:39:09"/>
    <d v="1899-12-30T22:51:09"/>
    <s v="2 hr 11 min 57s"/>
    <s v="cap-fywb-wck"/>
    <x v="22"/>
    <d v="1899-12-30T02:15:03"/>
    <d v="1899-12-30T02:08:51"/>
    <n v="0"/>
    <n v="0"/>
  </r>
  <r>
    <n v="43"/>
    <s v="TURINAWE PATIENCE"/>
    <d v="1899-12-30T20:36:06"/>
    <d v="1899-12-30T20:36:07"/>
    <d v="1899-12-30T22:51:09"/>
    <s v="1 hr 51 min 10s"/>
    <s v="cap-fywb-wck"/>
    <x v="22"/>
    <d v="1899-12-30T02:15:03"/>
    <d v="1899-12-30T02:08:51"/>
    <n v="0"/>
    <n v="0"/>
  </r>
  <r>
    <n v="44"/>
    <s v="YANGA SAMSON"/>
    <d v="1899-12-30T20:36:06"/>
    <d v="1899-12-30T22:08:40"/>
    <d v="1899-12-30T22:51:09"/>
    <s v="41 min 54s"/>
    <s v="cap-fywb-wck"/>
    <x v="22"/>
    <d v="1899-12-30T02:15:03"/>
    <d v="1899-12-30T02:08:50"/>
    <n v="0"/>
    <n v="0"/>
  </r>
  <r>
    <n v="1"/>
    <s v="AMARA BAJAHA"/>
    <d v="1899-12-30T20:38:21"/>
    <d v="1899-12-30T20:38:25"/>
    <d v="1899-12-30T23:02:12"/>
    <s v="2 hr 18 min 24s"/>
    <s v="qiv-znga-pbm"/>
    <x v="23"/>
    <d v="1899-12-30T02:23:51"/>
    <d v="1899-12-30T02:08:50"/>
    <n v="0"/>
    <n v="0"/>
  </r>
  <r>
    <n v="2"/>
    <s v="ANGULA ROSAMUNDE"/>
    <d v="1899-12-30T20:38:21"/>
    <d v="1899-12-30T20:38:25"/>
    <d v="1899-12-30T23:02:12"/>
    <s v="2 hr 21 min 48s"/>
    <s v="qiv-znga-pbm"/>
    <x v="23"/>
    <d v="1899-12-30T02:23:51"/>
    <d v="1899-12-30T02:08:48"/>
    <n v="0"/>
    <n v="0"/>
  </r>
  <r>
    <n v="3"/>
    <s v="ANTHONY GODSON AIDOO"/>
    <d v="1899-12-30T20:38:21"/>
    <d v="1899-12-30T20:38:25"/>
    <d v="1899-12-30T23:02:12"/>
    <s v="2 hr 18 min 43s"/>
    <s v="qiv-znga-pbm"/>
    <x v="23"/>
    <d v="1899-12-30T02:23:51"/>
    <d v="1899-12-30T02:08:47"/>
    <n v="0"/>
    <n v="0"/>
  </r>
  <r>
    <n v="4"/>
    <s v="BENJAMIN MALES LOKOYA"/>
    <d v="1899-12-30T20:38:21"/>
    <d v="1899-12-30T20:38:25"/>
    <d v="1899-12-30T23:02:12"/>
    <s v="2 hr 18 min 24s"/>
    <s v="qiv-znga-pbm"/>
    <x v="23"/>
    <d v="1899-12-30T02:23:51"/>
    <d v="1899-12-30T02:08:45"/>
    <n v="0"/>
    <n v="0"/>
  </r>
  <r>
    <n v="5"/>
    <s v="CHERUU JUL"/>
    <d v="1899-12-30T20:38:21"/>
    <d v="1899-12-30T20:38:25"/>
    <d v="1899-12-30T23:02:12"/>
    <s v="2 hr 18 min 24s"/>
    <s v="qiv-znga-pbm"/>
    <x v="23"/>
    <d v="1899-12-30T02:23:51"/>
    <d v="1899-12-30T02:08:44"/>
    <n v="0"/>
    <n v="0"/>
  </r>
  <r>
    <n v="6"/>
    <s v="CHRISTINA MOTHOBI"/>
    <d v="1899-12-30T20:38:21"/>
    <d v="1899-12-30T20:38:25"/>
    <d v="1899-12-30T23:02:12"/>
    <s v="2 hr 18 min 24s"/>
    <s v="qiv-znga-pbm"/>
    <x v="23"/>
    <d v="1899-12-30T02:23:51"/>
    <d v="1899-12-30T02:08:43"/>
    <n v="0"/>
    <n v="0"/>
  </r>
  <r>
    <n v="7"/>
    <s v="CHRISTOPHER MODI"/>
    <d v="1899-12-30T20:38:21"/>
    <d v="1899-12-30T20:38:25"/>
    <d v="1899-12-30T23:02:12"/>
    <s v="2 hr 18 min 24s"/>
    <s v="qiv-znga-pbm"/>
    <x v="23"/>
    <d v="1899-12-30T02:23:51"/>
    <d v="1899-12-30T02:08:41"/>
    <n v="0"/>
    <n v="0"/>
  </r>
  <r>
    <n v="8"/>
    <s v="EL MAJID SWALEH"/>
    <d v="1899-12-30T20:38:21"/>
    <d v="1899-12-30T20:38:25"/>
    <d v="1899-12-30T23:02:12"/>
    <s v="2 hr 18 min 24s"/>
    <s v="qiv-znga-pbm"/>
    <x v="23"/>
    <d v="1899-12-30T02:23:51"/>
    <d v="1899-12-30T02:08:40"/>
    <n v="0"/>
    <n v="0"/>
  </r>
  <r>
    <n v="9"/>
    <s v="EMMANUEL JOBS"/>
    <d v="1899-12-30T20:38:21"/>
    <d v="1899-12-30T20:38:25"/>
    <d v="1899-12-30T23:02:12"/>
    <s v="2 hr 18 min 24s"/>
    <s v="qiv-znga-pbm"/>
    <x v="23"/>
    <d v="1899-12-30T02:23:51"/>
    <d v="1899-12-30T02:08:38"/>
    <n v="0"/>
    <n v="0"/>
  </r>
  <r>
    <n v="10"/>
    <s v="FIDELIS SKIPPER AMWEENYE EMOSHO (SKIPPER)"/>
    <d v="1899-12-30T20:38:21"/>
    <d v="1899-12-30T20:38:25"/>
    <d v="1899-12-30T23:02:12"/>
    <s v="2 hr 18 min 24s"/>
    <s v="qiv-znga-pbm"/>
    <x v="23"/>
    <d v="1899-12-30T02:23:51"/>
    <d v="1899-12-30T02:08:37"/>
    <n v="0"/>
    <n v="0"/>
  </r>
  <r>
    <n v="11"/>
    <s v="GODFREY BIRUNGI"/>
    <d v="1899-12-30T20:38:21"/>
    <d v="1899-12-30T20:38:25"/>
    <d v="1899-12-30T23:02:12"/>
    <s v="2 hr 23 min 47s"/>
    <s v="qiv-znga-pbm"/>
    <x v="23"/>
    <d v="1899-12-30T02:23:51"/>
    <d v="1899-12-30T02:08:35"/>
    <n v="0"/>
    <n v="0"/>
  </r>
  <r>
    <n v="12"/>
    <s v="HENRY CHELELE"/>
    <d v="1899-12-30T20:38:21"/>
    <d v="1899-12-30T20:38:25"/>
    <d v="1899-12-30T23:02:12"/>
    <s v="2 hr 18 min 24s"/>
    <s v="qiv-znga-pbm"/>
    <x v="23"/>
    <d v="1899-12-30T02:23:51"/>
    <d v="1899-12-30T02:08:34"/>
    <n v="0"/>
    <n v="0"/>
  </r>
  <r>
    <n v="13"/>
    <s v="JACQUELINE NAMYALO"/>
    <d v="1899-12-30T20:38:21"/>
    <d v="1899-12-30T20:38:25"/>
    <d v="1899-12-30T23:02:12"/>
    <s v="2 hr 18 min 24s"/>
    <s v="qiv-znga-pbm"/>
    <x v="23"/>
    <d v="1899-12-30T02:23:51"/>
    <d v="1899-12-30T02:08:32"/>
    <n v="0"/>
    <n v="0"/>
  </r>
  <r>
    <n v="14"/>
    <s v="JOHN RWARU"/>
    <d v="1899-12-30T20:38:21"/>
    <d v="1899-12-30T20:38:25"/>
    <d v="1899-12-30T23:02:12"/>
    <s v="2 hr 18 min 24s"/>
    <s v="qiv-znga-pbm"/>
    <x v="23"/>
    <d v="1899-12-30T02:23:51"/>
    <d v="1899-12-30T02:08:31"/>
    <n v="0"/>
    <n v="0"/>
  </r>
  <r>
    <n v="15"/>
    <s v="JOSEPH MBOGO"/>
    <d v="1899-12-30T20:38:21"/>
    <d v="1899-12-30T20:38:25"/>
    <d v="1899-12-30T23:02:12"/>
    <s v="2 hr 23 min 47s"/>
    <s v="qiv-znga-pbm"/>
    <x v="23"/>
    <d v="1899-12-30T02:23:51"/>
    <d v="1899-12-30T02:08:29"/>
    <n v="0"/>
    <n v="0"/>
  </r>
  <r>
    <n v="16"/>
    <s v="JOSEPH MUTIE"/>
    <d v="1899-12-30T20:38:21"/>
    <d v="1899-12-30T20:38:25"/>
    <d v="1899-12-30T23:02:12"/>
    <s v="2 hr 18 min 24s"/>
    <s v="qiv-znga-pbm"/>
    <x v="23"/>
    <d v="1899-12-30T02:23:51"/>
    <d v="1899-12-30T02:08:28"/>
    <n v="0"/>
    <n v="0"/>
  </r>
  <r>
    <n v="17"/>
    <s v="JOSHUA MHAKURE"/>
    <d v="1899-12-30T20:38:21"/>
    <d v="1899-12-30T20:38:25"/>
    <d v="1899-12-30T23:02:12"/>
    <s v="2 hr 19 min 11s"/>
    <s v="qiv-znga-pbm"/>
    <x v="23"/>
    <d v="1899-12-30T02:23:51"/>
    <d v="1899-12-30T02:08:26"/>
    <n v="0"/>
    <n v="0"/>
  </r>
  <r>
    <n v="18"/>
    <s v="JULIUS K CHERUIYOT"/>
    <d v="1899-12-30T20:38:21"/>
    <d v="1899-12-30T20:38:25"/>
    <d v="1899-12-30T23:02:12"/>
    <s v="2 hr 18 min 24s"/>
    <s v="qiv-znga-pbm"/>
    <x v="23"/>
    <d v="1899-12-30T02:23:51"/>
    <d v="1899-12-30T02:08:25"/>
    <n v="0"/>
    <n v="0"/>
  </r>
  <r>
    <n v="19"/>
    <s v="KAMARA"/>
    <d v="1899-12-30T20:38:21"/>
    <d v="1899-12-30T20:38:25"/>
    <d v="1899-12-30T23:02:12"/>
    <s v="2 hr 18 min 24s"/>
    <s v="qiv-znga-pbm"/>
    <x v="23"/>
    <d v="1899-12-30T02:23:51"/>
    <d v="1899-12-30T02:08:23"/>
    <n v="0"/>
    <n v="0"/>
  </r>
  <r>
    <n v="20"/>
    <s v="KAMAU RUTH"/>
    <d v="1899-12-30T20:38:21"/>
    <d v="1899-12-30T20:38:25"/>
    <d v="1899-12-30T23:02:12"/>
    <s v="2 hr 18 min 24s"/>
    <s v="qiv-znga-pbm"/>
    <x v="23"/>
    <d v="1899-12-30T02:23:51"/>
    <d v="1899-12-30T02:08:22"/>
    <n v="0"/>
    <n v="0"/>
  </r>
  <r>
    <n v="21"/>
    <s v="LOKOSE ABEL"/>
    <d v="1899-12-30T20:38:21"/>
    <d v="1899-12-30T20:38:25"/>
    <d v="1899-12-30T23:02:12"/>
    <s v="5 min 47s"/>
    <s v="qiv-znga-pbm"/>
    <x v="23"/>
    <d v="1899-12-30T02:23:51"/>
    <d v="1899-12-30T02:08:20"/>
    <n v="0"/>
    <n v="0"/>
  </r>
  <r>
    <n v="22"/>
    <s v="MAGHOGHO BOB"/>
    <d v="1899-12-30T20:38:21"/>
    <d v="1899-12-30T20:38:25"/>
    <d v="1899-12-30T23:02:12"/>
    <s v="2 hr 18 min 24s"/>
    <s v="qiv-znga-pbm"/>
    <x v="23"/>
    <d v="1899-12-30T02:23:51"/>
    <d v="1899-12-30T02:08:19"/>
    <n v="0"/>
    <n v="0"/>
  </r>
  <r>
    <n v="23"/>
    <s v="MARGARET NASSOLO"/>
    <d v="1899-12-30T20:38:21"/>
    <d v="1899-12-30T20:38:25"/>
    <d v="1899-12-30T23:02:12"/>
    <s v="2 hr 18 min 24s"/>
    <s v="qiv-znga-pbm"/>
    <x v="23"/>
    <d v="1899-12-30T02:23:51"/>
    <d v="1899-12-30T02:08:17"/>
    <n v="0"/>
    <n v="0"/>
  </r>
  <r>
    <n v="24"/>
    <s v="MARTIN LEMI"/>
    <d v="1899-12-30T20:38:21"/>
    <d v="1899-12-30T20:38:25"/>
    <d v="1899-12-30T23:02:12"/>
    <s v="2 hr 23 min 47s"/>
    <s v="qiv-znga-pbm"/>
    <x v="23"/>
    <d v="1899-12-30T02:23:51"/>
    <d v="1899-12-30T02:08:16"/>
    <n v="0"/>
    <n v="0"/>
  </r>
  <r>
    <n v="25"/>
    <s v="MILDRED DRUSILA"/>
    <d v="1899-12-30T20:38:21"/>
    <d v="1899-12-30T20:38:25"/>
    <d v="1899-12-30T23:02:12"/>
    <s v="2 hr 23 min 47s"/>
    <s v="qiv-znga-pbm"/>
    <x v="23"/>
    <d v="1899-12-30T02:23:51"/>
    <d v="1899-12-30T02:08:14"/>
    <n v="0"/>
    <n v="0"/>
  </r>
  <r>
    <n v="26"/>
    <s v="MOHAMED SALLY KAMARA"/>
    <d v="1899-12-30T20:38:21"/>
    <d v="1899-12-30T20:38:25"/>
    <d v="1899-12-30T23:02:12"/>
    <s v="2 hr 18 min 24s"/>
    <s v="qiv-znga-pbm"/>
    <x v="23"/>
    <d v="1899-12-30T02:23:51"/>
    <d v="1899-12-30T02:08:13"/>
    <n v="0"/>
    <n v="0"/>
  </r>
  <r>
    <n v="27"/>
    <s v="OCI GEOFFREY"/>
    <d v="1899-12-30T20:38:21"/>
    <d v="1899-12-30T20:38:25"/>
    <d v="1899-12-30T23:02:12"/>
    <s v="2 hr 18 min 24s"/>
    <s v="qiv-znga-pbm"/>
    <x v="23"/>
    <d v="1899-12-30T02:23:51"/>
    <d v="1899-12-30T02:08:11"/>
    <n v="0"/>
    <n v="0"/>
  </r>
  <r>
    <n v="28"/>
    <s v="OMELLA OWEN"/>
    <d v="1899-12-30T20:38:21"/>
    <d v="1899-12-30T20:38:25"/>
    <d v="1899-12-30T23:02:12"/>
    <s v="2 hr 18 min 24s"/>
    <s v="qiv-znga-pbm"/>
    <x v="23"/>
    <d v="1899-12-30T02:23:51"/>
    <d v="1899-12-30T02:08:10"/>
    <n v="0"/>
    <n v="0"/>
  </r>
  <r>
    <n v="29"/>
    <s v="ONESMUS KORIR"/>
    <d v="1899-12-30T20:38:21"/>
    <d v="1899-12-30T20:38:25"/>
    <d v="1899-12-30T23:02:12"/>
    <s v="2 hr 18 min 24s"/>
    <s v="qiv-znga-pbm"/>
    <x v="23"/>
    <d v="1899-12-30T02:23:51"/>
    <d v="1899-12-30T02:08:08"/>
    <n v="0"/>
    <n v="0"/>
  </r>
  <r>
    <n v="30"/>
    <s v="OWEKA WELL-BORN"/>
    <d v="1899-12-30T20:38:21"/>
    <d v="1899-12-30T22:58:55"/>
    <d v="1899-12-30T23:02:12"/>
    <s v="3 min 18s"/>
    <s v="qiv-znga-pbm"/>
    <x v="23"/>
    <d v="1899-12-30T02:23:51"/>
    <d v="1899-12-30T02:08:07"/>
    <n v="0"/>
    <n v="0"/>
  </r>
  <r>
    <n v="31"/>
    <s v="PRINCESS MAJOLA"/>
    <d v="1899-12-30T20:38:21"/>
    <d v="1899-12-30T20:38:25"/>
    <d v="1899-12-30T23:02:12"/>
    <s v="2 hr 18 min 24s"/>
    <s v="qiv-znga-pbm"/>
    <x v="23"/>
    <d v="1899-12-30T02:23:51"/>
    <d v="1899-12-30T02:08:05"/>
    <n v="0"/>
    <n v="0"/>
  </r>
  <r>
    <n v="32"/>
    <s v="RACHEAL KYALIMPA"/>
    <d v="1899-12-30T20:38:21"/>
    <d v="1899-12-30T20:38:25"/>
    <d v="1899-12-30T23:02:12"/>
    <s v="2 hr 18 min 24s"/>
    <s v="qiv-znga-pbm"/>
    <x v="23"/>
    <d v="1899-12-30T02:23:51"/>
    <d v="1899-12-30T02:08:03"/>
    <n v="0"/>
    <n v="0"/>
  </r>
  <r>
    <n v="33"/>
    <s v="ROBERT MAKUBUYA"/>
    <d v="1899-12-30T20:38:21"/>
    <d v="1899-12-30T20:38:25"/>
    <d v="1899-12-30T23:02:12"/>
    <s v="2 hr 18 min 39s"/>
    <s v="qiv-znga-pbm"/>
    <x v="23"/>
    <d v="1899-12-30T02:23:51"/>
    <d v="1899-12-30T02:08:02"/>
    <n v="0"/>
    <n v="0"/>
  </r>
  <r>
    <n v="34"/>
    <s v="RTN JOSES KAYUNGA"/>
    <d v="1899-12-30T20:38:21"/>
    <d v="1899-12-30T20:38:25"/>
    <d v="1899-12-30T23:02:12"/>
    <s v="2 hr 23 min 47s"/>
    <s v="qiv-znga-pbm"/>
    <x v="23"/>
    <d v="1899-12-30T02:23:51"/>
    <d v="1899-12-30T02:08:00"/>
    <n v="0"/>
    <n v="0"/>
  </r>
  <r>
    <n v="35"/>
    <s v="SIMONPETER OUMA"/>
    <d v="1899-12-30T20:38:21"/>
    <d v="1899-12-30T20:38:25"/>
    <d v="1899-12-30T23:02:12"/>
    <s v="2 hr 18 min 24s"/>
    <s v="qiv-znga-pbm"/>
    <x v="23"/>
    <d v="1899-12-30T02:23:51"/>
    <d v="1899-12-30T02:07:59"/>
    <n v="0"/>
    <n v="0"/>
  </r>
  <r>
    <n v="36"/>
    <s v="THIS IS LINUS SANKEI"/>
    <d v="1899-12-30T20:38:21"/>
    <d v="1899-12-30T20:38:25"/>
    <d v="1899-12-30T23:02:12"/>
    <s v="2 hr 18 min 24s"/>
    <s v="qiv-znga-pbm"/>
    <x v="23"/>
    <d v="1899-12-30T02:23:51"/>
    <d v="1899-12-30T02:07:57"/>
    <n v="0"/>
    <n v="0"/>
  </r>
  <r>
    <n v="37"/>
    <s v="TINDERET SUGARBELT"/>
    <d v="1899-12-30T20:38:21"/>
    <d v="1899-12-30T20:38:25"/>
    <d v="1899-12-30T23:02:12"/>
    <s v="2 hr 18 min 24s"/>
    <s v="qiv-znga-pbm"/>
    <x v="23"/>
    <d v="1899-12-30T02:23:51"/>
    <d v="1899-12-30T02:07:56"/>
    <n v="0"/>
    <n v="0"/>
  </r>
  <r>
    <n v="38"/>
    <s v="TORY MOLS"/>
    <d v="1899-12-30T20:38:21"/>
    <d v="1899-12-30T20:38:25"/>
    <d v="1899-12-30T23:02:12"/>
    <s v="2 hr 23 min 47s"/>
    <s v="qiv-znga-pbm"/>
    <x v="23"/>
    <d v="1899-12-30T02:23:51"/>
    <d v="1899-12-30T02:07:54"/>
    <n v="0"/>
    <n v="0"/>
  </r>
  <r>
    <n v="39"/>
    <s v="TURINAWE PATIENCE"/>
    <d v="1899-12-30T20:38:21"/>
    <d v="1899-12-30T20:38:25"/>
    <d v="1899-12-30T23:02:12"/>
    <s v="0 min 32s"/>
    <s v="qiv-znga-pbm"/>
    <x v="23"/>
    <d v="1899-12-30T02:23:51"/>
    <d v="1899-12-30T02:07:52"/>
    <n v="0"/>
    <n v="0"/>
  </r>
  <r>
    <n v="40"/>
    <s v="VITALIS KOECH"/>
    <d v="1899-12-30T20:38:21"/>
    <d v="1899-12-30T20:38:41"/>
    <d v="1899-12-30T23:02:12"/>
    <s v="2 hr 18 min 7s"/>
    <s v="qiv-znga-pbm"/>
    <x v="23"/>
    <d v="1899-12-30T02:23:51"/>
    <d v="1899-12-30T02:07:51"/>
    <n v="0"/>
    <n v="0"/>
  </r>
  <r>
    <n v="1"/>
    <s v="ALEX MUHEREZA"/>
    <d v="1899-12-30T20:37:17"/>
    <d v="1899-12-30T21:39:32"/>
    <d v="1899-12-30T23:10:04"/>
    <s v="59 min 23s"/>
    <s v="pip-nwdr-msi"/>
    <x v="24"/>
    <d v="1899-12-30T02:32:47"/>
    <d v="1899-12-30T02:07:49"/>
    <n v="0"/>
    <n v="0"/>
  </r>
  <r>
    <n v="2"/>
    <s v="AMARA BAJAHA"/>
    <d v="1899-12-30T20:37:17"/>
    <d v="1899-12-30T20:37:21"/>
    <d v="1899-12-30T23:10:04"/>
    <s v="2 hr 17 min 47s"/>
    <s v="pip-nwdr-msi"/>
    <x v="24"/>
    <d v="1899-12-30T02:32:47"/>
    <d v="1899-12-30T02:07:47"/>
    <n v="0"/>
    <n v="0"/>
  </r>
  <r>
    <n v="3"/>
    <s v="ANGULA ROSAMUNDE"/>
    <d v="1899-12-30T20:37:17"/>
    <d v="1899-12-30T20:37:21"/>
    <d v="1899-12-30T23:10:04"/>
    <s v="2 hr 32 min 12s"/>
    <s v="pip-nwdr-msi"/>
    <x v="24"/>
    <d v="1899-12-30T02:32:47"/>
    <d v="1899-12-30T02:07:44"/>
    <n v="0"/>
    <n v="0"/>
  </r>
  <r>
    <n v="4"/>
    <s v="ANTHONY GODSON AIDOO"/>
    <d v="1899-12-30T20:37:17"/>
    <d v="1899-12-30T20:37:21"/>
    <d v="1899-12-30T23:10:04"/>
    <s v="2 hr 28 min 5s"/>
    <s v="pip-nwdr-msi"/>
    <x v="24"/>
    <d v="1899-12-30T02:32:47"/>
    <d v="1899-12-30T02:07:42"/>
    <n v="0"/>
    <n v="0"/>
  </r>
  <r>
    <n v="5"/>
    <s v="ARON NTULIZE"/>
    <d v="1899-12-30T20:37:17"/>
    <d v="1899-12-30T20:37:21"/>
    <d v="1899-12-30T23:10:04"/>
    <s v="1 hr 43 min 49s"/>
    <s v="pip-nwdr-msi"/>
    <x v="24"/>
    <d v="1899-12-30T02:32:47"/>
    <d v="1899-12-30T02:07:39"/>
    <n v="0"/>
    <n v="0"/>
  </r>
  <r>
    <n v="6"/>
    <s v="BENJAMIN MALES LOKOYA"/>
    <d v="1899-12-30T20:37:17"/>
    <d v="1899-12-30T20:37:21"/>
    <d v="1899-12-30T23:10:04"/>
    <s v="2 hr 32 min 11s"/>
    <s v="pip-nwdr-msi"/>
    <x v="24"/>
    <d v="1899-12-30T02:32:47"/>
    <d v="1899-12-30T02:07:36"/>
    <n v="0"/>
    <n v="0"/>
  </r>
  <r>
    <n v="7"/>
    <s v="CHRISTINA MOTHOBI"/>
    <d v="1899-12-30T20:37:17"/>
    <d v="1899-12-30T20:37:21"/>
    <d v="1899-12-30T23:10:04"/>
    <s v="1 hr 43 min 49s"/>
    <s v="pip-nwdr-msi"/>
    <x v="24"/>
    <d v="1899-12-30T02:32:47"/>
    <d v="1899-12-30T02:07:34"/>
    <n v="0"/>
    <n v="0"/>
  </r>
  <r>
    <n v="8"/>
    <s v="CHRISTOPHER MODI"/>
    <d v="1899-12-30T20:37:17"/>
    <d v="1899-12-30T20:37:21"/>
    <d v="1899-12-30T23:10:04"/>
    <s v="1 hr 43 min 49s"/>
    <s v="pip-nwdr-msi"/>
    <x v="24"/>
    <d v="1899-12-30T02:32:47"/>
    <d v="1899-12-30T02:07:31"/>
    <n v="0"/>
    <n v="0"/>
  </r>
  <r>
    <n v="9"/>
    <s v="CPAJULIUS CHERUIYOT"/>
    <d v="1899-12-30T20:37:17"/>
    <d v="1899-12-30T20:37:21"/>
    <d v="1899-12-30T23:10:04"/>
    <s v="2 hr 30 min 37s"/>
    <s v="pip-nwdr-msi"/>
    <x v="24"/>
    <d v="1899-12-30T02:32:47"/>
    <d v="1899-12-30T02:07:29"/>
    <n v="0"/>
    <n v="0"/>
  </r>
  <r>
    <n v="10"/>
    <s v="EL MAJID SWALEH"/>
    <d v="1899-12-30T20:37:17"/>
    <d v="1899-12-30T20:37:21"/>
    <d v="1899-12-30T23:10:04"/>
    <s v="1 hr 43 min 49s"/>
    <s v="pip-nwdr-msi"/>
    <x v="24"/>
    <d v="1899-12-30T02:32:47"/>
    <d v="1899-12-30T02:07:26"/>
    <n v="0"/>
    <n v="0"/>
  </r>
  <r>
    <n v="11"/>
    <s v="EMMANUEL JOBS"/>
    <d v="1899-12-30T20:37:17"/>
    <d v="1899-12-30T20:37:21"/>
    <d v="1899-12-30T23:10:04"/>
    <s v="1 hr 49 min 38s"/>
    <s v="pip-nwdr-msi"/>
    <x v="24"/>
    <d v="1899-12-30T02:32:47"/>
    <d v="1899-12-30T02:07:24"/>
    <n v="0"/>
    <n v="0"/>
  </r>
  <r>
    <n v="12"/>
    <s v="FIDELIS SKIPPER AMWEENYE EMOSHO (SKIPPER)"/>
    <d v="1899-12-30T20:37:17"/>
    <d v="1899-12-30T20:37:21"/>
    <d v="1899-12-30T23:10:04"/>
    <s v="1 hr 43 min 49s"/>
    <s v="pip-nwdr-msi"/>
    <x v="24"/>
    <d v="1899-12-30T02:32:47"/>
    <d v="1899-12-30T02:07:21"/>
    <n v="0"/>
    <n v="0"/>
  </r>
  <r>
    <n v="13"/>
    <s v="GODFREY BIRUNGI"/>
    <d v="1899-12-30T20:37:17"/>
    <d v="1899-12-30T20:37:21"/>
    <d v="1899-12-30T23:10:04"/>
    <s v="2 hr 32 min 37s"/>
    <s v="pip-nwdr-msi"/>
    <x v="24"/>
    <d v="1899-12-30T02:32:47"/>
    <d v="1899-12-30T02:07:18"/>
    <n v="0"/>
    <n v="0"/>
  </r>
  <r>
    <n v="14"/>
    <s v="HAROLD SUCCESS GOLAFALE"/>
    <d v="1899-12-30T20:37:17"/>
    <d v="1899-12-30T20:37:21"/>
    <d v="1899-12-30T23:10:04"/>
    <s v="1 hr 2 min 9s"/>
    <s v="pip-nwdr-msi"/>
    <x v="24"/>
    <d v="1899-12-30T02:32:47"/>
    <d v="1899-12-30T02:07:16"/>
    <n v="0"/>
    <n v="0"/>
  </r>
  <r>
    <n v="15"/>
    <s v="HENRY CHELELE"/>
    <d v="1899-12-30T20:37:17"/>
    <d v="1899-12-30T21:39:32"/>
    <d v="1899-12-30T23:10:04"/>
    <s v="41 min 40s"/>
    <s v="pip-nwdr-msi"/>
    <x v="24"/>
    <d v="1899-12-30T02:32:47"/>
    <d v="1899-12-30T02:07:13"/>
    <n v="0"/>
    <n v="0"/>
  </r>
  <r>
    <n v="16"/>
    <s v="ISAAC OGWANG"/>
    <d v="1899-12-30T20:37:17"/>
    <d v="1899-12-30T21:39:32"/>
    <d v="1899-12-30T23:10:04"/>
    <s v="1 hr 30 min 28s"/>
    <s v="pip-nwdr-msi"/>
    <x v="24"/>
    <d v="1899-12-30T02:32:47"/>
    <d v="1899-12-30T02:07:10"/>
    <n v="0"/>
    <n v="0"/>
  </r>
  <r>
    <n v="17"/>
    <s v="ISINGOMA MAURICE"/>
    <d v="1899-12-30T20:37:17"/>
    <d v="1899-12-30T21:39:32"/>
    <d v="1899-12-30T23:10:04"/>
    <s v="1 hr 30 min 25s"/>
    <s v="pip-nwdr-msi"/>
    <x v="24"/>
    <d v="1899-12-30T02:32:47"/>
    <d v="1899-12-30T02:07:08"/>
    <n v="0"/>
    <n v="0"/>
  </r>
  <r>
    <n v="18"/>
    <s v="JOHN NJOROGE"/>
    <d v="1899-12-30T20:37:17"/>
    <d v="1899-12-30T21:39:32"/>
    <d v="1899-12-30T23:10:04"/>
    <s v="41 min 40s"/>
    <s v="pip-nwdr-msi"/>
    <x v="24"/>
    <d v="1899-12-30T02:32:47"/>
    <d v="1899-12-30T02:07:05"/>
    <n v="0"/>
    <n v="0"/>
  </r>
  <r>
    <n v="19"/>
    <s v="JOHN RWARU"/>
    <d v="1899-12-30T20:37:17"/>
    <d v="1899-12-30T20:37:21"/>
    <d v="1899-12-30T23:10:04"/>
    <s v="1 hr 53 min 58s"/>
    <s v="pip-nwdr-msi"/>
    <x v="24"/>
    <d v="1899-12-30T02:32:47"/>
    <d v="1899-12-30T02:07:02"/>
    <n v="0"/>
    <n v="0"/>
  </r>
  <r>
    <n v="20"/>
    <s v="JOSEPH MBOGO"/>
    <d v="1899-12-30T20:37:17"/>
    <d v="1899-12-30T20:37:21"/>
    <d v="1899-12-30T23:10:04"/>
    <s v="2 hr 32 min 37s"/>
    <s v="pip-nwdr-msi"/>
    <x v="24"/>
    <d v="1899-12-30T02:32:47"/>
    <d v="1899-12-30T02:07:00"/>
    <n v="0"/>
    <n v="0"/>
  </r>
  <r>
    <n v="21"/>
    <s v="JOSEPH SAMILA"/>
    <d v="1899-12-30T20:37:17"/>
    <d v="1899-12-30T20:37:21"/>
    <d v="1899-12-30T23:10:04"/>
    <s v="2 hr 23 min 16s"/>
    <s v="pip-nwdr-msi"/>
    <x v="24"/>
    <d v="1899-12-30T02:32:47"/>
    <d v="1899-12-30T02:06:57"/>
    <n v="0"/>
    <n v="0"/>
  </r>
  <r>
    <n v="22"/>
    <s v="JOSHUA MHAKURE"/>
    <d v="1899-12-30T20:37:17"/>
    <d v="1899-12-30T20:37:21"/>
    <d v="1899-12-30T23:10:04"/>
    <s v="2 hr 2 min 20s"/>
    <s v="pip-nwdr-msi"/>
    <x v="24"/>
    <d v="1899-12-30T02:32:47"/>
    <d v="1899-12-30T02:06:54"/>
    <n v="0"/>
    <n v="0"/>
  </r>
  <r>
    <n v="23"/>
    <s v="KAKOOZA GODFREY"/>
    <d v="1899-12-30T20:37:17"/>
    <d v="1899-12-30T21:39:32"/>
    <d v="1899-12-30T23:10:04"/>
    <s v="41 min 40s"/>
    <s v="pip-nwdr-msi"/>
    <x v="24"/>
    <d v="1899-12-30T02:32:47"/>
    <d v="1899-12-30T02:06:52"/>
    <n v="0"/>
    <n v="0"/>
  </r>
  <r>
    <n v="24"/>
    <s v="KAMARA"/>
    <d v="1899-12-30T20:37:17"/>
    <d v="1899-12-30T22:50:36"/>
    <d v="1899-12-30T23:10:04"/>
    <s v="19 min 25s"/>
    <s v="pip-nwdr-msi"/>
    <x v="24"/>
    <d v="1899-12-30T02:32:47"/>
    <d v="1899-12-30T02:06:49"/>
    <n v="0"/>
    <n v="0"/>
  </r>
  <r>
    <n v="25"/>
    <s v="KAMAU RUTH"/>
    <d v="1899-12-30T20:37:17"/>
    <d v="1899-12-30T20:37:21"/>
    <d v="1899-12-30T23:10:04"/>
    <s v="2 hr 10 min 33s"/>
    <s v="pip-nwdr-msi"/>
    <x v="24"/>
    <d v="1899-12-30T02:32:47"/>
    <d v="1899-12-30T02:06:46"/>
    <n v="0"/>
    <n v="0"/>
  </r>
  <r>
    <n v="26"/>
    <s v="LOKOSE ABEL"/>
    <d v="1899-12-30T20:37:17"/>
    <d v="1899-12-30T21:39:32"/>
    <d v="1899-12-30T23:10:04"/>
    <s v="1 hr 30 min 25s"/>
    <s v="pip-nwdr-msi"/>
    <x v="24"/>
    <d v="1899-12-30T02:32:47"/>
    <d v="1899-12-30T02:06:43"/>
    <n v="0"/>
    <n v="0"/>
  </r>
  <r>
    <n v="27"/>
    <s v="MARGARET NASSOLO"/>
    <d v="1899-12-30T20:37:17"/>
    <d v="1899-12-30T20:37:21"/>
    <d v="1899-12-30T23:10:04"/>
    <s v="1 hr 43 min 49s"/>
    <s v="pip-nwdr-msi"/>
    <x v="24"/>
    <d v="1899-12-30T02:32:47"/>
    <d v="1899-12-30T02:06:41"/>
    <n v="0"/>
    <n v="0"/>
  </r>
  <r>
    <n v="28"/>
    <s v="MARTIN LEMI"/>
    <d v="1899-12-30T20:37:17"/>
    <d v="1899-12-30T20:37:21"/>
    <d v="1899-12-30T23:10:04"/>
    <s v="2 hr 32 min 37s"/>
    <s v="pip-nwdr-msi"/>
    <x v="24"/>
    <d v="1899-12-30T02:32:47"/>
    <d v="1899-12-30T02:06:38"/>
    <n v="0"/>
    <n v="0"/>
  </r>
  <r>
    <n v="29"/>
    <s v="MOHAMED KABIA"/>
    <d v="1899-12-30T20:37:17"/>
    <d v="1899-12-30T20:37:21"/>
    <d v="1899-12-30T23:10:04"/>
    <s v="1 hr 43 min 49s"/>
    <s v="pip-nwdr-msi"/>
    <x v="24"/>
    <d v="1899-12-30T02:32:47"/>
    <d v="1899-12-30T02:06:35"/>
    <n v="0"/>
    <n v="0"/>
  </r>
  <r>
    <n v="30"/>
    <s v="MOHAMED SALLY KAMARA"/>
    <d v="1899-12-30T20:37:17"/>
    <d v="1899-12-30T20:37:21"/>
    <d v="1899-12-30T23:10:04"/>
    <s v="2 hr 10 min 33s"/>
    <s v="pip-nwdr-msi"/>
    <x v="24"/>
    <d v="1899-12-30T02:32:47"/>
    <d v="1899-12-30T02:06:32"/>
    <n v="0"/>
    <n v="0"/>
  </r>
  <r>
    <n v="31"/>
    <s v="MORIBA KOROMA"/>
    <d v="1899-12-30T20:37:17"/>
    <d v="1899-12-30T20:37:21"/>
    <d v="1899-12-30T23:10:04"/>
    <s v="2 hr 32 min 34s"/>
    <s v="pip-nwdr-msi"/>
    <x v="24"/>
    <d v="1899-12-30T02:32:47"/>
    <d v="1899-12-30T02:06:30"/>
    <n v="0"/>
    <n v="0"/>
  </r>
  <r>
    <n v="32"/>
    <s v="MOZE KEYZ"/>
    <d v="1899-12-30T20:37:17"/>
    <d v="1899-12-30T20:37:21"/>
    <d v="1899-12-30T23:10:04"/>
    <s v="1 hr 43 min 49s"/>
    <s v="pip-nwdr-msi"/>
    <x v="24"/>
    <d v="1899-12-30T02:32:47"/>
    <d v="1899-12-30T02:06:27"/>
    <n v="0"/>
    <n v="0"/>
  </r>
  <r>
    <n v="33"/>
    <s v="NASSAMULA JOSEPHINE"/>
    <d v="1899-12-30T20:37:17"/>
    <d v="1899-12-30T21:39:32"/>
    <d v="1899-12-30T23:10:04"/>
    <s v="1 hr 8 min 24s"/>
    <s v="pip-nwdr-msi"/>
    <x v="24"/>
    <d v="1899-12-30T02:32:47"/>
    <d v="1899-12-30T02:06:24"/>
    <n v="0"/>
    <n v="0"/>
  </r>
  <r>
    <n v="34"/>
    <s v="OCI GEOFFREY"/>
    <d v="1899-12-30T20:37:17"/>
    <d v="1899-12-30T20:37:21"/>
    <d v="1899-12-30T23:10:04"/>
    <s v="2 hr 32 min 36s"/>
    <s v="pip-nwdr-msi"/>
    <x v="24"/>
    <d v="1899-12-30T02:32:47"/>
    <d v="1899-12-30T02:06:21"/>
    <n v="0"/>
    <n v="0"/>
  </r>
  <r>
    <n v="35"/>
    <s v="OKABO GEOFFREY"/>
    <d v="1899-12-30T20:37:17"/>
    <d v="1899-12-30T20:37:21"/>
    <d v="1899-12-30T23:10:04"/>
    <s v="1 hr 2 min 9s"/>
    <s v="pip-nwdr-msi"/>
    <x v="24"/>
    <d v="1899-12-30T02:32:47"/>
    <d v="1899-12-30T02:06:18"/>
    <n v="0"/>
    <n v="0"/>
  </r>
  <r>
    <n v="36"/>
    <s v="OMELLA OWEN"/>
    <d v="1899-12-30T20:37:17"/>
    <d v="1899-12-30T20:37:21"/>
    <d v="1899-12-30T23:10:04"/>
    <s v="1 hr 55 min 31s"/>
    <s v="pip-nwdr-msi"/>
    <x v="24"/>
    <d v="1899-12-30T02:32:47"/>
    <d v="1899-12-30T02:06:16"/>
    <n v="0"/>
    <n v="0"/>
  </r>
  <r>
    <n v="37"/>
    <s v="ONESMUS KORIR"/>
    <d v="1899-12-30T20:37:17"/>
    <d v="1899-12-30T20:37:21"/>
    <d v="1899-12-30T23:10:04"/>
    <s v="2 hr 32 min 34s"/>
    <s v="pip-nwdr-msi"/>
    <x v="24"/>
    <d v="1899-12-30T02:32:47"/>
    <d v="1899-12-30T02:06:13"/>
    <n v="0"/>
    <n v="0"/>
  </r>
  <r>
    <n v="38"/>
    <s v="PETET KOROMA"/>
    <d v="1899-12-30T20:37:17"/>
    <d v="1899-12-30T20:37:21"/>
    <d v="1899-12-30T23:10:04"/>
    <s v="1 hr 2 min 9s"/>
    <s v="pip-nwdr-msi"/>
    <x v="24"/>
    <d v="1899-12-30T02:32:47"/>
    <d v="1899-12-30T02:06:10"/>
    <n v="0"/>
    <n v="0"/>
  </r>
  <r>
    <n v="39"/>
    <s v="PRINCESS MAJOLA"/>
    <d v="1899-12-30T20:37:17"/>
    <d v="1899-12-30T20:37:21"/>
    <d v="1899-12-30T23:10:04"/>
    <s v="2 hr 32 min 34s"/>
    <s v="pip-nwdr-msi"/>
    <x v="24"/>
    <d v="1899-12-30T02:32:47"/>
    <d v="1899-12-30T02:06:07"/>
    <n v="0"/>
    <n v="0"/>
  </r>
  <r>
    <n v="40"/>
    <s v="RACHEAL KYALIMPA"/>
    <d v="1899-12-30T20:37:17"/>
    <d v="1899-12-30T20:37:21"/>
    <d v="1899-12-30T23:10:04"/>
    <s v="2 hr 10 min 27s"/>
    <s v="pip-nwdr-msi"/>
    <x v="24"/>
    <d v="1899-12-30T02:32:47"/>
    <d v="1899-12-30T02:06:04"/>
    <n v="0"/>
    <n v="0"/>
  </r>
  <r>
    <n v="41"/>
    <s v="ROBERT MAKUBUYA"/>
    <d v="1899-12-30T20:37:17"/>
    <d v="1899-12-30T21:39:32"/>
    <d v="1899-12-30T23:10:04"/>
    <s v="41 min 40s"/>
    <s v="pip-nwdr-msi"/>
    <x v="24"/>
    <d v="1899-12-30T02:32:47"/>
    <d v="1899-12-30T02:06:01"/>
    <n v="0"/>
    <n v="0"/>
  </r>
  <r>
    <n v="42"/>
    <s v="RTN JOSES KAYUNGA"/>
    <d v="1899-12-30T20:37:17"/>
    <d v="1899-12-30T20:37:21"/>
    <d v="1899-12-30T23:10:04"/>
    <s v="2 hr 32 min 37s"/>
    <s v="pip-nwdr-msi"/>
    <x v="24"/>
    <d v="1899-12-30T02:32:47"/>
    <d v="1899-12-30T02:05:58"/>
    <n v="0"/>
    <n v="0"/>
  </r>
  <r>
    <n v="43"/>
    <s v="SABO MIKE"/>
    <d v="1899-12-30T20:37:17"/>
    <d v="1899-12-30T21:39:32"/>
    <d v="1899-12-30T23:10:04"/>
    <s v="47 min 34s"/>
    <s v="pip-nwdr-msi"/>
    <x v="24"/>
    <d v="1899-12-30T02:32:47"/>
    <d v="1899-12-30T02:05:55"/>
    <n v="0"/>
    <n v="0"/>
  </r>
  <r>
    <n v="44"/>
    <s v="SIMONPETER OUMA"/>
    <d v="1899-12-30T20:37:17"/>
    <d v="1899-12-30T21:39:32"/>
    <d v="1899-12-30T23:10:04"/>
    <s v="52 min 36s"/>
    <s v="pip-nwdr-msi"/>
    <x v="24"/>
    <d v="1899-12-30T02:32:47"/>
    <d v="1899-12-30T02:05:52"/>
    <n v="0"/>
    <n v="0"/>
  </r>
  <r>
    <n v="45"/>
    <s v="THIS IS LINUS SANKEI"/>
    <d v="1899-12-30T20:37:17"/>
    <d v="1899-12-30T20:37:21"/>
    <d v="1899-12-30T23:10:04"/>
    <s v="1 hr 43 min 49s"/>
    <s v="pip-nwdr-msi"/>
    <x v="24"/>
    <d v="1899-12-30T02:32:47"/>
    <d v="1899-12-30T02:05:50"/>
    <n v="0"/>
    <n v="0"/>
  </r>
  <r>
    <n v="46"/>
    <s v="TINDERET SUGARBELT"/>
    <d v="1899-12-30T20:37:17"/>
    <d v="1899-12-30T21:39:32"/>
    <d v="1899-12-30T23:10:04"/>
    <s v="41 min 40s"/>
    <s v="pip-nwdr-msi"/>
    <x v="24"/>
    <d v="1899-12-30T02:32:47"/>
    <d v="1899-12-30T02:05:47"/>
    <n v="0"/>
    <n v="0"/>
  </r>
  <r>
    <n v="47"/>
    <s v="TORY MOLS"/>
    <d v="1899-12-30T20:37:17"/>
    <d v="1899-12-30T20:37:21"/>
    <d v="1899-12-30T23:10:04"/>
    <s v="2 hr 32 min 37s"/>
    <s v="pip-nwdr-msi"/>
    <x v="24"/>
    <d v="1899-12-30T02:32:47"/>
    <d v="1899-12-30T02:05:44"/>
    <n v="0"/>
    <n v="0"/>
  </r>
  <r>
    <n v="48"/>
    <s v="TURINAWE PATIENCE"/>
    <d v="1899-12-30T20:37:17"/>
    <d v="1899-12-30T20:37:21"/>
    <d v="1899-12-30T23:10:04"/>
    <s v="2 hr 7 min 7s"/>
    <s v="pip-nwdr-msi"/>
    <x v="24"/>
    <d v="1899-12-30T02:32:47"/>
    <d v="1899-12-30T02:05:41"/>
    <n v="0"/>
    <n v="0"/>
  </r>
  <r>
    <n v="49"/>
    <s v="VITALIS KOECH"/>
    <d v="1899-12-30T20:37:17"/>
    <d v="1899-12-30T21:39:32"/>
    <d v="1899-12-30T23:10:04"/>
    <s v="41 min 40s"/>
    <s v="pip-nwdr-msi"/>
    <x v="24"/>
    <d v="1899-12-30T02:32:47"/>
    <d v="1899-12-30T02:05:38"/>
    <n v="0"/>
    <n v="0"/>
  </r>
  <r>
    <n v="50"/>
    <s v="WANDA FORTUNATE"/>
    <d v="1899-12-30T20:37:17"/>
    <d v="1899-12-30T21:39:32"/>
    <d v="1899-12-30T23:10:04"/>
    <s v="41 min 40s"/>
    <s v="pip-nwdr-msi"/>
    <x v="24"/>
    <d v="1899-12-30T02:32:47"/>
    <d v="1899-12-30T02:05:35"/>
    <n v="0"/>
    <n v="0"/>
  </r>
  <r>
    <n v="51"/>
    <s v="YANGA SAMSON"/>
    <d v="1899-12-30T20:37:17"/>
    <d v="1899-12-30T20:37:21"/>
    <d v="1899-12-30T23:10:04"/>
    <s v="2 hr 32 min 34s"/>
    <s v="pip-nwdr-msi"/>
    <x v="24"/>
    <d v="1899-12-30T02:32:47"/>
    <d v="1899-12-30T02:05:32"/>
    <n v="0"/>
    <n v="0"/>
  </r>
  <r>
    <n v="52"/>
    <s v="YUSUPHA SEESAY"/>
    <d v="1899-12-30T20:37:17"/>
    <d v="1899-12-30T20:37:21"/>
    <d v="1899-12-30T23:10:04"/>
    <s v="1 hr 2 min 9s"/>
    <s v="pip-nwdr-msi"/>
    <x v="24"/>
    <d v="1899-12-30T02:32:47"/>
    <d v="1899-12-30T02:05:29"/>
    <n v="0"/>
    <n v="0"/>
  </r>
  <r>
    <n v="1"/>
    <s v="AMARA BAJAHA"/>
    <d v="1899-12-30T20:37:40"/>
    <d v="1899-12-30T20:37:44"/>
    <d v="1899-12-30T22:48:12"/>
    <s v="2 hr 10 min 7s"/>
    <s v="wkf-aivh-zve"/>
    <x v="25"/>
    <d v="1899-12-30T02:10:32"/>
    <d v="1899-12-30T02:05:26"/>
    <n v="0"/>
    <n v="0"/>
  </r>
  <r>
    <n v="2"/>
    <s v="ANGULA ROSAMUNDE"/>
    <d v="1899-12-30T20:37:40"/>
    <d v="1899-12-30T20:37:44"/>
    <d v="1899-12-30T22:48:12"/>
    <s v="2 hr 10 min 7s"/>
    <s v="wkf-aivh-zve"/>
    <x v="25"/>
    <d v="1899-12-30T02:10:32"/>
    <d v="1899-12-30T02:05:25"/>
    <n v="0"/>
    <n v="0"/>
  </r>
  <r>
    <n v="3"/>
    <s v="ANTHONY GODSON AIDOO"/>
    <d v="1899-12-30T20:37:40"/>
    <d v="1899-12-30T20:37:44"/>
    <d v="1899-12-30T22:48:12"/>
    <s v="2 hr 10 min 20s"/>
    <s v="wkf-aivh-zve"/>
    <x v="25"/>
    <d v="1899-12-30T02:10:32"/>
    <d v="1899-12-30T02:05:25"/>
    <n v="0"/>
    <n v="0"/>
  </r>
  <r>
    <n v="4"/>
    <s v="ARON NTULIZE"/>
    <d v="1899-12-30T20:37:40"/>
    <d v="1899-12-30T20:37:44"/>
    <d v="1899-12-30T22:48:12"/>
    <s v="2 hr 7 min 57s"/>
    <s v="wkf-aivh-zve"/>
    <x v="25"/>
    <d v="1899-12-30T02:10:32"/>
    <d v="1899-12-30T02:05:24"/>
    <n v="0"/>
    <n v="0"/>
  </r>
  <r>
    <n v="5"/>
    <s v="BENJAMIN MALES LOKOYA"/>
    <d v="1899-12-30T20:37:40"/>
    <d v="1899-12-30T20:37:44"/>
    <d v="1899-12-30T22:48:12"/>
    <s v="2 hr 10 min 20s"/>
    <s v="wkf-aivh-zve"/>
    <x v="25"/>
    <d v="1899-12-30T02:10:32"/>
    <d v="1899-12-30T02:05:23"/>
    <n v="0"/>
    <n v="0"/>
  </r>
  <r>
    <n v="6"/>
    <s v="CHERUU JUL"/>
    <d v="1899-12-30T20:37:40"/>
    <d v="1899-12-30T20:55:28"/>
    <d v="1899-12-30T22:48:12"/>
    <s v="1 hr 52 min 37s"/>
    <s v="wkf-aivh-zve"/>
    <x v="25"/>
    <d v="1899-12-30T02:10:32"/>
    <d v="1899-12-30T02:05:23"/>
    <n v="0"/>
    <n v="0"/>
  </r>
  <r>
    <n v="7"/>
    <s v="CHRISTINA MOTHOBI"/>
    <d v="1899-12-30T20:37:40"/>
    <d v="1899-12-30T20:37:44"/>
    <d v="1899-12-30T22:48:12"/>
    <s v="1 hr 27 min 13s"/>
    <s v="wkf-aivh-zve"/>
    <x v="25"/>
    <d v="1899-12-30T02:10:32"/>
    <d v="1899-12-30T02:05:22"/>
    <n v="0"/>
    <n v="0"/>
  </r>
  <r>
    <n v="8"/>
    <s v="CHRISTOPHER MODI"/>
    <d v="1899-12-30T20:37:40"/>
    <d v="1899-12-30T20:37:44"/>
    <d v="1899-12-30T22:48:12"/>
    <s v="17 min 43s"/>
    <s v="wkf-aivh-zve"/>
    <x v="25"/>
    <d v="1899-12-30T02:10:32"/>
    <d v="1899-12-30T02:05:22"/>
    <n v="0"/>
    <n v="0"/>
  </r>
  <r>
    <n v="9"/>
    <s v="EL MAJID SWALEH"/>
    <d v="1899-12-30T20:37:40"/>
    <d v="1899-12-30T20:37:44"/>
    <d v="1899-12-30T22:48:12"/>
    <s v="2 hr 10 min 13s"/>
    <s v="wkf-aivh-zve"/>
    <x v="25"/>
    <d v="1899-12-30T02:10:32"/>
    <d v="1899-12-30T02:05:21"/>
    <n v="0"/>
    <n v="0"/>
  </r>
  <r>
    <n v="10"/>
    <s v="EMMANUEL JOBS"/>
    <d v="1899-12-30T20:37:40"/>
    <d v="1899-12-30T20:37:44"/>
    <d v="1899-12-30T22:48:12"/>
    <s v="2 hr 10 min 20s"/>
    <s v="wkf-aivh-zve"/>
    <x v="25"/>
    <d v="1899-12-30T02:10:32"/>
    <d v="1899-12-30T02:05:21"/>
    <n v="0"/>
    <n v="0"/>
  </r>
  <r>
    <n v="11"/>
    <s v="ERIK"/>
    <d v="1899-12-30T20:37:40"/>
    <d v="1899-12-30T20:37:44"/>
    <d v="1899-12-30T22:48:12"/>
    <s v="1 hr 19 min 27s"/>
    <s v="wkf-aivh-zve"/>
    <x v="25"/>
    <d v="1899-12-30T02:10:32"/>
    <d v="1899-12-30T02:05:20"/>
    <n v="0"/>
    <n v="0"/>
  </r>
  <r>
    <n v="12"/>
    <s v="GEOFFREY OYET"/>
    <d v="1899-12-30T20:37:40"/>
    <d v="1899-12-30T21:56:30"/>
    <d v="1899-12-30T22:48:12"/>
    <s v="9 min 43s"/>
    <s v="wkf-aivh-zve"/>
    <x v="25"/>
    <d v="1899-12-30T02:10:32"/>
    <d v="1899-12-30T02:05:19"/>
    <n v="0"/>
    <n v="0"/>
  </r>
  <r>
    <n v="13"/>
    <s v="GODFREY BIRUNGI"/>
    <d v="1899-12-30T20:37:40"/>
    <d v="1899-12-30T20:37:44"/>
    <d v="1899-12-30T22:48:12"/>
    <s v="2 hr 10 min 20s"/>
    <s v="wkf-aivh-zve"/>
    <x v="25"/>
    <d v="1899-12-30T02:10:32"/>
    <d v="1899-12-30T02:05:19"/>
    <n v="0"/>
    <n v="0"/>
  </r>
  <r>
    <n v="14"/>
    <s v="HAROLD SUCCESS GOLAFALE"/>
    <d v="1899-12-30T20:37:40"/>
    <d v="1899-12-30T20:55:28"/>
    <d v="1899-12-30T22:48:12"/>
    <s v="1 hr 44 min 18s"/>
    <s v="wkf-aivh-zve"/>
    <x v="25"/>
    <d v="1899-12-30T02:10:32"/>
    <d v="1899-12-30T02:05:18"/>
    <n v="0"/>
    <n v="0"/>
  </r>
  <r>
    <n v="15"/>
    <s v="HELLEN ARIMPA"/>
    <d v="1899-12-30T20:37:40"/>
    <d v="1899-12-30T20:37:44"/>
    <d v="1899-12-30T22:48:12"/>
    <s v="1 hr 18 min 43s"/>
    <s v="wkf-aivh-zve"/>
    <x v="25"/>
    <d v="1899-12-30T02:10:32"/>
    <d v="1899-12-30T02:05:18"/>
    <n v="0"/>
    <n v="0"/>
  </r>
  <r>
    <n v="16"/>
    <s v="HENRY CHELELE"/>
    <d v="1899-12-30T20:37:40"/>
    <d v="1899-12-30T20:37:44"/>
    <d v="1899-12-30T22:48:12"/>
    <s v="2 hr 10 min 7s"/>
    <s v="wkf-aivh-zve"/>
    <x v="25"/>
    <d v="1899-12-30T02:10:32"/>
    <d v="1899-12-30T02:05:17"/>
    <n v="0"/>
    <n v="0"/>
  </r>
  <r>
    <n v="17"/>
    <s v="ISAAC OGWANG"/>
    <d v="1899-12-30T20:37:40"/>
    <d v="1899-12-30T20:55:28"/>
    <d v="1899-12-30T22:48:12"/>
    <s v="1 hr 9 min 30s"/>
    <s v="wkf-aivh-zve"/>
    <x v="25"/>
    <d v="1899-12-30T02:10:32"/>
    <d v="1899-12-30T02:05:16"/>
    <n v="0"/>
    <n v="0"/>
  </r>
  <r>
    <n v="18"/>
    <s v="ISINGOMA MAURICE"/>
    <d v="1899-12-30T20:37:40"/>
    <d v="1899-12-30T21:56:30"/>
    <d v="1899-12-30T22:48:12"/>
    <s v="41 min 38s"/>
    <s v="wkf-aivh-zve"/>
    <x v="25"/>
    <d v="1899-12-30T02:10:32"/>
    <d v="1899-12-30T02:05:16"/>
    <n v="0"/>
    <n v="0"/>
  </r>
  <r>
    <n v="19"/>
    <s v="IZARUKU RONALD"/>
    <d v="1899-12-30T20:37:40"/>
    <d v="1899-12-30T20:37:44"/>
    <d v="1899-12-30T22:48:12"/>
    <s v="1 hr 18 min 43s"/>
    <s v="wkf-aivh-zve"/>
    <x v="25"/>
    <d v="1899-12-30T02:10:32"/>
    <d v="1899-12-30T02:05:15"/>
    <n v="0"/>
    <n v="0"/>
  </r>
  <r>
    <n v="20"/>
    <s v="JOHN RWARU"/>
    <d v="1899-12-30T20:37:40"/>
    <d v="1899-12-30T20:37:44"/>
    <d v="1899-12-30T22:48:12"/>
    <s v="2 hr 10 min 20s"/>
    <s v="wkf-aivh-zve"/>
    <x v="25"/>
    <d v="1899-12-30T02:10:32"/>
    <d v="1899-12-30T02:05:15"/>
    <n v="0"/>
    <n v="0"/>
  </r>
  <r>
    <n v="21"/>
    <s v="JOSEPH MBOGO"/>
    <d v="1899-12-30T20:37:40"/>
    <d v="1899-12-30T20:55:28"/>
    <d v="1899-12-30T22:48:12"/>
    <s v="1 hr 9 min 30s"/>
    <s v="wkf-aivh-zve"/>
    <x v="25"/>
    <d v="1899-12-30T02:10:32"/>
    <d v="1899-12-30T02:05:14"/>
    <n v="0"/>
    <n v="0"/>
  </r>
  <r>
    <n v="22"/>
    <s v="JOSHUA MHAKURE"/>
    <d v="1899-12-30T20:37:40"/>
    <d v="1899-12-30T20:37:44"/>
    <d v="1899-12-30T22:48:12"/>
    <s v="1 hr 18 min 43s"/>
    <s v="wkf-aivh-zve"/>
    <x v="25"/>
    <d v="1899-12-30T02:10:32"/>
    <d v="1899-12-30T02:05:13"/>
    <n v="0"/>
    <n v="0"/>
  </r>
  <r>
    <n v="23"/>
    <s v="JULIUS K CHERUIYOT"/>
    <d v="1899-12-30T20:37:40"/>
    <d v="1899-12-30T20:37:44"/>
    <d v="1899-12-30T22:48:12"/>
    <s v="2 hr 10 min 20s"/>
    <s v="wkf-aivh-zve"/>
    <x v="25"/>
    <d v="1899-12-30T02:10:32"/>
    <d v="1899-12-30T02:05:13"/>
    <n v="0"/>
    <n v="0"/>
  </r>
  <r>
    <n v="24"/>
    <s v="KAMAU RUTH"/>
    <d v="1899-12-30T20:37:40"/>
    <d v="1899-12-30T20:55:28"/>
    <d v="1899-12-30T22:48:12"/>
    <s v="1 hr 46 min 46s"/>
    <s v="wkf-aivh-zve"/>
    <x v="25"/>
    <d v="1899-12-30T02:10:32"/>
    <d v="1899-12-30T02:05:12"/>
    <n v="0"/>
    <n v="0"/>
  </r>
  <r>
    <n v="25"/>
    <s v="KANANURA GASTON"/>
    <d v="1899-12-30T20:37:40"/>
    <d v="1899-12-30T20:37:44"/>
    <d v="1899-12-30T22:48:12"/>
    <s v="2 hr 10 min 15s"/>
    <s v="wkf-aivh-zve"/>
    <x v="25"/>
    <d v="1899-12-30T02:10:32"/>
    <d v="1899-12-30T02:05:12"/>
    <n v="0"/>
    <n v="0"/>
  </r>
  <r>
    <n v="26"/>
    <s v="MAGHOGHO BOB"/>
    <d v="1899-12-30T20:37:40"/>
    <d v="1899-12-30T20:37:44"/>
    <d v="1899-12-30T22:48:12"/>
    <s v="1 hr 27 min 13s"/>
    <s v="wkf-aivh-zve"/>
    <x v="25"/>
    <d v="1899-12-30T02:10:32"/>
    <d v="1899-12-30T02:05:11"/>
    <n v="0"/>
    <n v="0"/>
  </r>
  <r>
    <n v="27"/>
    <s v="MAHAMADOU MAMANE"/>
    <d v="1899-12-30T20:37:40"/>
    <d v="1899-12-30T20:55:28"/>
    <d v="1899-12-30T22:48:12"/>
    <s v="1 hr 9 min 30s"/>
    <s v="wkf-aivh-zve"/>
    <x v="25"/>
    <d v="1899-12-30T02:10:32"/>
    <d v="1899-12-30T02:05:10"/>
    <n v="0"/>
    <n v="0"/>
  </r>
  <r>
    <n v="28"/>
    <s v="MARGARET NASSOLO"/>
    <d v="1899-12-30T20:37:40"/>
    <d v="1899-12-30T20:37:44"/>
    <d v="1899-12-30T22:48:12"/>
    <s v="2 hr 10 min 7s"/>
    <s v="wkf-aivh-zve"/>
    <x v="25"/>
    <d v="1899-12-30T02:10:32"/>
    <d v="1899-12-30T02:05:10"/>
    <n v="0"/>
    <n v="0"/>
  </r>
  <r>
    <n v="29"/>
    <s v="MARTIN LEMI"/>
    <d v="1899-12-30T20:37:40"/>
    <d v="1899-12-30T20:37:44"/>
    <d v="1899-12-30T22:48:12"/>
    <s v="2 hr 10 min 20s"/>
    <s v="wkf-aivh-zve"/>
    <x v="25"/>
    <d v="1899-12-30T02:10:32"/>
    <d v="1899-12-30T02:05:09"/>
    <n v="0"/>
    <n v="0"/>
  </r>
  <r>
    <n v="30"/>
    <s v="MARY NAMUKOKO"/>
    <d v="1899-12-30T20:37:40"/>
    <d v="1899-12-30T20:55:28"/>
    <d v="1899-12-30T22:48:12"/>
    <s v="1 hr 1 min 0s"/>
    <s v="wkf-aivh-zve"/>
    <x v="25"/>
    <d v="1899-12-30T02:10:32"/>
    <d v="1899-12-30T02:05:08"/>
    <n v="0"/>
    <n v="0"/>
  </r>
  <r>
    <n v="31"/>
    <s v="MILDRED DRUSILA"/>
    <d v="1899-12-30T20:37:40"/>
    <d v="1899-12-30T20:38:13"/>
    <d v="1899-12-30T22:48:12"/>
    <s v="2 hr 9 min 50s"/>
    <s v="wkf-aivh-zve"/>
    <x v="25"/>
    <d v="1899-12-30T02:10:32"/>
    <d v="1899-12-30T02:05:08"/>
    <n v="0"/>
    <n v="0"/>
  </r>
  <r>
    <n v="32"/>
    <s v="MOHAMED KABIA"/>
    <d v="1899-12-30T20:37:40"/>
    <d v="1899-12-30T20:37:44"/>
    <d v="1899-12-30T22:48:12"/>
    <s v="1 hr 57 min 59s"/>
    <s v="wkf-aivh-zve"/>
    <x v="25"/>
    <d v="1899-12-30T02:10:32"/>
    <d v="1899-12-30T02:05:07"/>
    <n v="0"/>
    <n v="0"/>
  </r>
  <r>
    <n v="33"/>
    <s v="MOHAMED SALLY KAMARA"/>
    <d v="1899-12-30T20:37:40"/>
    <d v="1899-12-30T21:56:30"/>
    <d v="1899-12-30T22:48:12"/>
    <s v="51 min 37s"/>
    <s v="wkf-aivh-zve"/>
    <x v="25"/>
    <d v="1899-12-30T02:10:32"/>
    <d v="1899-12-30T02:05:07"/>
    <n v="0"/>
    <n v="0"/>
  </r>
  <r>
    <n v="34"/>
    <s v="MORIBA KOROMA"/>
    <d v="1899-12-30T20:37:40"/>
    <d v="1899-12-30T20:37:44"/>
    <d v="1899-12-30T22:48:12"/>
    <s v="1 hr 18 min 43s"/>
    <s v="wkf-aivh-zve"/>
    <x v="25"/>
    <d v="1899-12-30T02:10:32"/>
    <d v="1899-12-30T02:05:06"/>
    <n v="0"/>
    <n v="0"/>
  </r>
  <r>
    <n v="35"/>
    <s v="NASSAMULA JOSEPHINE"/>
    <d v="1899-12-30T20:37:40"/>
    <d v="1899-12-30T20:37:44"/>
    <d v="1899-12-30T22:48:12"/>
    <s v="1 hr 18 min 43s"/>
    <s v="wkf-aivh-zve"/>
    <x v="25"/>
    <d v="1899-12-30T02:10:32"/>
    <d v="1899-12-30T02:05:05"/>
    <n v="0"/>
    <n v="0"/>
  </r>
  <r>
    <n v="36"/>
    <s v="OCI GEOFFREY"/>
    <d v="1899-12-30T20:37:40"/>
    <d v="1899-12-30T20:37:44"/>
    <d v="1899-12-30T22:48:12"/>
    <s v="2 hr 10 min 20s"/>
    <s v="wkf-aivh-zve"/>
    <x v="25"/>
    <d v="1899-12-30T02:10:32"/>
    <d v="1899-12-30T02:05:05"/>
    <n v="0"/>
    <n v="0"/>
  </r>
  <r>
    <n v="37"/>
    <s v="ODUTI SAVIOUR"/>
    <d v="1899-12-30T20:37:40"/>
    <d v="1899-12-30T20:55:28"/>
    <d v="1899-12-30T22:48:12"/>
    <s v="1 hr 1 min 0s"/>
    <s v="wkf-aivh-zve"/>
    <x v="25"/>
    <d v="1899-12-30T02:10:32"/>
    <d v="1899-12-30T02:05:04"/>
    <n v="0"/>
    <n v="0"/>
  </r>
  <r>
    <n v="38"/>
    <s v="OKABO GEOFFREY"/>
    <d v="1899-12-30T20:37:40"/>
    <d v="1899-12-30T20:37:44"/>
    <d v="1899-12-30T22:48:12"/>
    <s v="2 hr 4 min 0s"/>
    <s v="wkf-aivh-zve"/>
    <x v="25"/>
    <d v="1899-12-30T02:10:32"/>
    <d v="1899-12-30T02:05:03"/>
    <n v="0"/>
    <n v="0"/>
  </r>
  <r>
    <n v="39"/>
    <s v="OMELLA OWEN"/>
    <d v="1899-12-30T20:37:40"/>
    <d v="1899-12-30T20:37:44"/>
    <d v="1899-12-30T22:48:12"/>
    <s v="2 hr 10 min 15s"/>
    <s v="wkf-aivh-zve"/>
    <x v="25"/>
    <d v="1899-12-30T02:10:32"/>
    <d v="1899-12-30T02:05:03"/>
    <n v="0"/>
    <n v="0"/>
  </r>
  <r>
    <n v="40"/>
    <s v="ONESMUS KORIR"/>
    <d v="1899-12-30T20:37:40"/>
    <d v="1899-12-30T20:37:44"/>
    <d v="1899-12-30T22:48:12"/>
    <s v="2 hr 10 min 20s"/>
    <s v="wkf-aivh-zve"/>
    <x v="25"/>
    <d v="1899-12-30T02:10:32"/>
    <d v="1899-12-30T02:05:02"/>
    <n v="0"/>
    <n v="0"/>
  </r>
  <r>
    <n v="41"/>
    <s v="PRINCESS MAJOLA"/>
    <d v="1899-12-30T20:37:40"/>
    <d v="1899-12-30T20:37:44"/>
    <d v="1899-12-30T22:48:12"/>
    <s v="2 hr 10 min 11s"/>
    <s v="wkf-aivh-zve"/>
    <x v="25"/>
    <d v="1899-12-30T02:10:32"/>
    <d v="1899-12-30T02:05:01"/>
    <n v="0"/>
    <n v="0"/>
  </r>
  <r>
    <n v="42"/>
    <s v="RACHEAL KYALIMPA"/>
    <d v="1899-12-30T20:37:40"/>
    <d v="1899-12-30T20:37:44"/>
    <d v="1899-12-30T22:48:12"/>
    <s v="2 hr 10 min 7s"/>
    <s v="wkf-aivh-zve"/>
    <x v="25"/>
    <d v="1899-12-30T02:10:32"/>
    <d v="1899-12-30T02:05:01"/>
    <n v="0"/>
    <n v="0"/>
  </r>
  <r>
    <n v="43"/>
    <s v="ROBERT MAKUBS"/>
    <d v="1899-12-30T20:37:40"/>
    <d v="1899-12-30T20:37:44"/>
    <d v="1899-12-30T22:48:12"/>
    <s v="2 hr 10 min 7s"/>
    <s v="wkf-aivh-zve"/>
    <x v="25"/>
    <d v="1899-12-30T02:10:32"/>
    <d v="1899-12-30T02:05:00"/>
    <n v="0"/>
    <n v="0"/>
  </r>
  <r>
    <n v="44"/>
    <s v="RTN JOSES KAYUNGA"/>
    <d v="1899-12-30T20:37:40"/>
    <d v="1899-12-30T20:55:28"/>
    <d v="1899-12-30T22:48:12"/>
    <s v="1 hr 11 min 10s"/>
    <s v="wkf-aivh-zve"/>
    <x v="25"/>
    <d v="1899-12-30T02:10:32"/>
    <d v="1899-12-30T02:04:59"/>
    <n v="0"/>
    <n v="0"/>
  </r>
  <r>
    <n v="45"/>
    <s v="SARAH NAKAMATTE"/>
    <d v="1899-12-30T20:37:40"/>
    <d v="1899-12-30T20:37:44"/>
    <d v="1899-12-30T22:48:12"/>
    <s v="1 hr 27 min 13s"/>
    <s v="wkf-aivh-zve"/>
    <x v="25"/>
    <d v="1899-12-30T02:10:32"/>
    <d v="1899-12-30T02:04:59"/>
    <n v="0"/>
    <n v="0"/>
  </r>
  <r>
    <n v="46"/>
    <s v="SIMONPETER OUMA"/>
    <d v="1899-12-30T20:37:40"/>
    <d v="1899-12-30T20:37:44"/>
    <d v="1899-12-30T22:48:12"/>
    <s v="2 hr 10 min 20s"/>
    <s v="wkf-aivh-zve"/>
    <x v="25"/>
    <d v="1899-12-30T02:10:32"/>
    <d v="1899-12-30T02:04:58"/>
    <n v="0"/>
    <n v="0"/>
  </r>
  <r>
    <n v="47"/>
    <s v="THIS IS LINUS SANKEI"/>
    <d v="1899-12-30T20:37:40"/>
    <d v="1899-12-30T20:37:44"/>
    <d v="1899-12-30T22:48:12"/>
    <s v="2 hr 10 min 9s"/>
    <s v="wkf-aivh-zve"/>
    <x v="25"/>
    <d v="1899-12-30T02:10:32"/>
    <d v="1899-12-30T02:04:57"/>
    <n v="0"/>
    <n v="0"/>
  </r>
  <r>
    <n v="48"/>
    <s v="TORY MOLS"/>
    <d v="1899-12-30T20:37:40"/>
    <d v="1899-12-30T20:55:28"/>
    <d v="1899-12-30T22:48:12"/>
    <s v="1 hr 52 min 37s"/>
    <s v="wkf-aivh-zve"/>
    <x v="25"/>
    <d v="1899-12-30T02:10:32"/>
    <d v="1899-12-30T02:04:57"/>
    <n v="0"/>
    <n v="0"/>
  </r>
  <r>
    <n v="49"/>
    <s v="WANDA FORTUNATE"/>
    <d v="1899-12-30T20:37:40"/>
    <d v="1899-12-30T20:37:44"/>
    <d v="1899-12-30T22:48:12"/>
    <s v="2 hr 10 min 7s"/>
    <s v="wkf-aivh-zve"/>
    <x v="25"/>
    <d v="1899-12-30T02:10:32"/>
    <d v="1899-12-30T02:04:56"/>
    <n v="0"/>
    <n v="0"/>
  </r>
  <r>
    <n v="1"/>
    <s v="ALEX MUHEREZA"/>
    <d v="1899-12-30T20:37:17"/>
    <d v="1899-12-30T20:37:20"/>
    <d v="1899-12-30T22:37:50"/>
    <s v="1 hr 26 min 34s"/>
    <s v="ztp-nrxc-seu"/>
    <x v="26"/>
    <d v="1899-12-30T02:00:33"/>
    <d v="1899-12-30T02:04:55"/>
    <n v="0"/>
    <n v="0"/>
  </r>
  <r>
    <n v="2"/>
    <s v="ANGULA ROSAMUNDE"/>
    <d v="1899-12-30T20:37:17"/>
    <d v="1899-12-30T20:37:20"/>
    <d v="1899-12-30T22:37:50"/>
    <s v="1 hr 17 min 53s"/>
    <s v="ztp-nrxc-seu"/>
    <x v="26"/>
    <d v="1899-12-30T02:00:33"/>
    <d v="1899-12-30T02:04:56"/>
    <n v="0"/>
    <n v="0"/>
  </r>
  <r>
    <n v="3"/>
    <s v="ANTHONY GODSON AIDOO"/>
    <d v="1899-12-30T20:37:17"/>
    <d v="1899-12-30T20:37:20"/>
    <d v="1899-12-30T22:37:50"/>
    <s v="1 hr 43 min 38s"/>
    <s v="ztp-nrxc-seu"/>
    <x v="26"/>
    <d v="1899-12-30T02:00:33"/>
    <d v="1899-12-30T02:04:56"/>
    <n v="0"/>
    <n v="0"/>
  </r>
  <r>
    <n v="4"/>
    <s v="ARON NTULIZE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5"/>
    <s v="BENJAMIN MALES LOKOYA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6"/>
    <s v="CHRISTINA MOTHOBI"/>
    <d v="1899-12-30T20:37:17"/>
    <d v="1899-12-30T20:37:20"/>
    <d v="1899-12-30T22:37:50"/>
    <s v="54 min 19s"/>
    <s v="ztp-nrxc-seu"/>
    <x v="26"/>
    <d v="1899-12-30T02:00:33"/>
    <d v="1899-12-30T02:04:58"/>
    <n v="0"/>
    <n v="0"/>
  </r>
  <r>
    <n v="7"/>
    <s v="EL MAJID SWALEH"/>
    <d v="1899-12-30T20:37:17"/>
    <d v="1899-12-30T21:48:30"/>
    <d v="1899-12-30T22:37:50"/>
    <s v="49 min 19s"/>
    <s v="ztp-nrxc-seu"/>
    <x v="26"/>
    <d v="1899-12-30T02:00:33"/>
    <d v="1899-12-30T02:04:59"/>
    <n v="0"/>
    <n v="0"/>
  </r>
  <r>
    <n v="8"/>
    <s v="EL-MAJID SWALEH"/>
    <d v="1899-12-30T20:37:17"/>
    <d v="1899-12-30T20:37:20"/>
    <d v="1899-12-30T22:37:50"/>
    <s v="54 min 19s"/>
    <s v="ztp-nrxc-seu"/>
    <x v="26"/>
    <d v="1899-12-30T02:00:33"/>
    <d v="1899-12-30T02:04:59"/>
    <n v="0"/>
    <n v="0"/>
  </r>
  <r>
    <n v="9"/>
    <s v="EMMANUEL JOBS"/>
    <d v="1899-12-30T20:37:17"/>
    <d v="1899-12-30T20:37:20"/>
    <d v="1899-12-30T22:37:50"/>
    <s v="1 hr 43 min 38s"/>
    <s v="ztp-nrxc-seu"/>
    <x v="26"/>
    <d v="1899-12-30T02:00:33"/>
    <d v="1899-12-30T02:05:00"/>
    <n v="0"/>
    <n v="0"/>
  </r>
  <r>
    <n v="10"/>
    <s v="ERIK"/>
    <d v="1899-12-30T20:37:17"/>
    <d v="1899-12-30T21:48:30"/>
    <d v="1899-12-30T22:37:50"/>
    <s v="7 min 23s"/>
    <s v="ztp-nrxc-seu"/>
    <x v="26"/>
    <d v="1899-12-30T02:00:33"/>
    <d v="1899-12-30T02:05:00"/>
    <n v="0"/>
    <n v="0"/>
  </r>
  <r>
    <n v="11"/>
    <s v="FIDELIS SKIPPER AMWEENYE EMOSHO (SKIPPER)"/>
    <d v="1899-12-30T20:37:17"/>
    <d v="1899-12-30T20:37:20"/>
    <d v="1899-12-30T22:37:50"/>
    <s v="1 hr 43 min 38s"/>
    <s v="ztp-nrxc-seu"/>
    <x v="26"/>
    <d v="1899-12-30T02:00:33"/>
    <d v="1899-12-30T02:05:01"/>
    <n v="0"/>
    <n v="0"/>
  </r>
  <r>
    <n v="12"/>
    <s v="GEOFFREY OYET"/>
    <d v="1899-12-30T20:37:17"/>
    <d v="1899-12-30T20:37:20"/>
    <d v="1899-12-30T22:37:50"/>
    <s v="1 hr 21 min 42s"/>
    <s v="ztp-nrxc-seu"/>
    <x v="26"/>
    <d v="1899-12-30T02:00:33"/>
    <d v="1899-12-30T02:05:01"/>
    <n v="0"/>
    <n v="0"/>
  </r>
  <r>
    <n v="13"/>
    <s v="GODFREY BIRUNGI"/>
    <d v="1899-12-30T20:37:17"/>
    <d v="1899-12-30T20:37:20"/>
    <d v="1899-12-30T22:37:50"/>
    <s v="1 hr 43 min 38s"/>
    <s v="ztp-nrxc-seu"/>
    <x v="26"/>
    <d v="1899-12-30T02:00:33"/>
    <d v="1899-12-30T02:05:02"/>
    <n v="0"/>
    <n v="0"/>
  </r>
  <r>
    <n v="14"/>
    <s v="HAROLD SUCCESS GOLAFALE"/>
    <d v="1899-12-30T20:37:17"/>
    <d v="1899-12-30T20:37:20"/>
    <d v="1899-12-30T22:37:50"/>
    <s v="1 hr 25 min 36s"/>
    <s v="ztp-nrxc-seu"/>
    <x v="26"/>
    <d v="1899-12-30T02:00:33"/>
    <d v="1899-12-30T02:05:02"/>
    <n v="0"/>
    <n v="0"/>
  </r>
  <r>
    <n v="15"/>
    <s v="HENRY CHELELE"/>
    <d v="1899-12-30T20:37:17"/>
    <d v="1899-12-30T21:48:30"/>
    <d v="1899-12-30T22:37:50"/>
    <s v="49 min 19s"/>
    <s v="ztp-nrxc-seu"/>
    <x v="26"/>
    <d v="1899-12-30T02:00:33"/>
    <d v="1899-12-30T02:05:03"/>
    <n v="0"/>
    <n v="0"/>
  </r>
  <r>
    <n v="16"/>
    <s v="ISAAC OGWANG"/>
    <d v="1899-12-30T20:37:17"/>
    <d v="1899-12-30T21:48:30"/>
    <d v="1899-12-30T22:37:50"/>
    <s v="42 min 1s"/>
    <s v="ztp-nrxc-seu"/>
    <x v="26"/>
    <d v="1899-12-30T02:00:33"/>
    <d v="1899-12-30T02:05:04"/>
    <n v="0"/>
    <n v="0"/>
  </r>
  <r>
    <n v="17"/>
    <s v="IZARUKU RONALD"/>
    <d v="1899-12-30T20:37:17"/>
    <d v="1899-12-30T20:37:20"/>
    <d v="1899-12-30T22:37:50"/>
    <s v="54 min 19s"/>
    <s v="ztp-nrxc-seu"/>
    <x v="26"/>
    <d v="1899-12-30T02:00:33"/>
    <d v="1899-12-30T02:05:04"/>
    <n v="0"/>
    <n v="0"/>
  </r>
  <r>
    <n v="18"/>
    <s v="JAMES KAYONGO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19"/>
    <s v="JOHN NJOROGE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20"/>
    <s v="JOHN RWARU"/>
    <d v="1899-12-30T20:37:17"/>
    <d v="1899-12-30T21:48:30"/>
    <d v="1899-12-30T22:37:50"/>
    <s v="42 min 46s"/>
    <s v="ztp-nrxc-seu"/>
    <x v="26"/>
    <d v="1899-12-30T02:00:33"/>
    <d v="1899-12-30T02:05:06"/>
    <n v="0"/>
    <n v="0"/>
  </r>
  <r>
    <n v="21"/>
    <s v="JOSEPH MBOGO"/>
    <d v="1899-12-30T20:37:17"/>
    <d v="1899-12-30T20:37:20"/>
    <d v="1899-12-30T22:37:50"/>
    <s v="1 hr 43 min 38s"/>
    <s v="ztp-nrxc-seu"/>
    <x v="26"/>
    <d v="1899-12-30T02:00:33"/>
    <d v="1899-12-30T02:05:06"/>
    <n v="0"/>
    <n v="0"/>
  </r>
  <r>
    <n v="22"/>
    <s v="JOSEPH MUTIE"/>
    <d v="1899-12-30T20:37:17"/>
    <d v="1899-12-30T20:37:20"/>
    <d v="1899-12-30T22:37:50"/>
    <s v="1 hr 43 min 38s"/>
    <s v="ztp-nrxc-seu"/>
    <x v="26"/>
    <d v="1899-12-30T02:00:33"/>
    <d v="1899-12-30T02:05:07"/>
    <n v="0"/>
    <n v="0"/>
  </r>
  <r>
    <n v="23"/>
    <s v="JOSEPH SAMILA"/>
    <d v="1899-12-30T20:37:17"/>
    <d v="1899-12-30T21:48:30"/>
    <d v="1899-12-30T22:37:50"/>
    <s v="49 min 19s"/>
    <s v="ztp-nrxc-seu"/>
    <x v="26"/>
    <d v="1899-12-30T02:00:33"/>
    <d v="1899-12-30T02:05:08"/>
    <n v="0"/>
    <n v="0"/>
  </r>
  <r>
    <n v="24"/>
    <s v="JOSHUA MHAKURE"/>
    <d v="1899-12-30T20:37:17"/>
    <d v="1899-12-30T20:37:20"/>
    <d v="1899-12-30T22:37:50"/>
    <s v="1 hr 43 min 38s"/>
    <s v="ztp-nrxc-seu"/>
    <x v="26"/>
    <d v="1899-12-30T02:00:33"/>
    <d v="1899-12-30T02:05:08"/>
    <n v="0"/>
    <n v="0"/>
  </r>
  <r>
    <n v="25"/>
    <s v="JULIUS K CHERUIYOT"/>
    <d v="1899-12-30T20:37:17"/>
    <d v="1899-12-30T20:37:20"/>
    <d v="1899-12-30T22:37:50"/>
    <s v="1 hr 42 min 40s"/>
    <s v="ztp-nrxc-seu"/>
    <x v="26"/>
    <d v="1899-12-30T02:00:33"/>
    <d v="1899-12-30T02:05:09"/>
    <n v="0"/>
    <n v="0"/>
  </r>
  <r>
    <n v="26"/>
    <s v="KAKOOZA GODFREY"/>
    <d v="1899-12-30T20:37:17"/>
    <d v="1899-12-30T20:37:20"/>
    <d v="1899-12-30T22:37:50"/>
    <s v="1 hr 1 min 42s"/>
    <s v="ztp-nrxc-seu"/>
    <x v="26"/>
    <d v="1899-12-30T02:00:33"/>
    <d v="1899-12-30T02:05:09"/>
    <n v="0"/>
    <n v="0"/>
  </r>
  <r>
    <n v="27"/>
    <s v="KAMAU RUTH"/>
    <d v="1899-12-30T20:37:17"/>
    <d v="1899-12-30T20:37:20"/>
    <d v="1899-12-30T22:37:50"/>
    <s v="1 hr 36 min 15s"/>
    <s v="ztp-nrxc-seu"/>
    <x v="26"/>
    <d v="1899-12-30T02:00:33"/>
    <d v="1899-12-30T02:05:10"/>
    <n v="0"/>
    <n v="0"/>
  </r>
  <r>
    <n v="28"/>
    <s v="KANANURA GASTON"/>
    <d v="1899-12-30T20:37:17"/>
    <d v="1899-12-30T20:37:20"/>
    <d v="1899-12-30T22:37:50"/>
    <s v="1 hr 43 min 38s"/>
    <s v="ztp-nrxc-seu"/>
    <x v="26"/>
    <d v="1899-12-30T02:00:33"/>
    <d v="1899-12-30T02:05:10"/>
    <n v="0"/>
    <n v="0"/>
  </r>
  <r>
    <n v="29"/>
    <s v="MAGHOGHO BOB"/>
    <d v="1899-12-30T20:37:17"/>
    <d v="1899-12-30T20:37:20"/>
    <d v="1899-12-30T22:37:50"/>
    <s v="54 min 19s"/>
    <s v="ztp-nrxc-seu"/>
    <x v="26"/>
    <d v="1899-12-30T02:00:33"/>
    <d v="1899-12-30T02:05:11"/>
    <n v="0"/>
    <n v="0"/>
  </r>
  <r>
    <n v="30"/>
    <s v="MAHAMADOU MAMANE"/>
    <d v="1899-12-30T20:37:17"/>
    <d v="1899-12-30T21:48:30"/>
    <d v="1899-12-30T22:37:50"/>
    <s v="49 min 19s"/>
    <s v="ztp-nrxc-seu"/>
    <x v="26"/>
    <d v="1899-12-30T02:00:33"/>
    <d v="1899-12-30T02:05:12"/>
    <n v="0"/>
    <n v="0"/>
  </r>
  <r>
    <n v="31"/>
    <s v="MARGARET NASSOLO"/>
    <d v="1899-12-30T20:37:17"/>
    <d v="1899-12-30T20:37:20"/>
    <d v="1899-12-30T22:37:50"/>
    <s v="1 hr 37 min 50s"/>
    <s v="ztp-nrxc-seu"/>
    <x v="26"/>
    <d v="1899-12-30T02:00:33"/>
    <d v="1899-12-30T02:05:12"/>
    <n v="0"/>
    <n v="0"/>
  </r>
  <r>
    <n v="32"/>
    <s v="MARTIN LEMI"/>
    <d v="1899-12-30T20:37:17"/>
    <d v="1899-12-30T20:37:20"/>
    <d v="1899-12-30T22:37:50"/>
    <s v="1 hr 42 min 25s"/>
    <s v="ztp-nrxc-seu"/>
    <x v="26"/>
    <d v="1899-12-30T02:00:33"/>
    <d v="1899-12-30T02:05:13"/>
    <n v="0"/>
    <n v="0"/>
  </r>
  <r>
    <n v="33"/>
    <s v="MARY NAMUKOKO"/>
    <d v="1899-12-30T20:37:17"/>
    <d v="1899-12-30T20:37:20"/>
    <d v="1899-12-30T22:37:50"/>
    <s v="54 min 19s"/>
    <s v="ztp-nrxc-seu"/>
    <x v="26"/>
    <d v="1899-12-30T02:00:33"/>
    <d v="1899-12-30T02:05:13"/>
    <n v="0"/>
    <n v="0"/>
  </r>
  <r>
    <n v="34"/>
    <s v="MILDRED DRUSILA"/>
    <d v="1899-12-30T20:37:17"/>
    <d v="1899-12-30T21:48:30"/>
    <d v="1899-12-30T22:37:50"/>
    <s v="48 min 59s"/>
    <s v="ztp-nrxc-seu"/>
    <x v="26"/>
    <d v="1899-12-30T02:00:33"/>
    <d v="1899-12-30T02:05:14"/>
    <n v="0"/>
    <n v="0"/>
  </r>
  <r>
    <n v="35"/>
    <s v="MOHAMED KABIA"/>
    <d v="1899-12-30T20:37:17"/>
    <d v="1899-12-30T20:37:20"/>
    <d v="1899-12-30T22:37:50"/>
    <s v="1 hr 9 min 53s"/>
    <s v="ztp-nrxc-seu"/>
    <x v="26"/>
    <d v="1899-12-30T02:00:33"/>
    <d v="1899-12-30T02:05:15"/>
    <n v="0"/>
    <n v="0"/>
  </r>
  <r>
    <n v="36"/>
    <s v="MOHAMED SALLY KAMARA"/>
    <d v="1899-12-30T20:37:17"/>
    <d v="1899-12-30T20:37:20"/>
    <d v="1899-12-30T22:37:50"/>
    <s v="1 hr 43 min 38s"/>
    <s v="ztp-nrxc-seu"/>
    <x v="26"/>
    <d v="1899-12-30T02:00:33"/>
    <d v="1899-12-30T02:05:15"/>
    <n v="0"/>
    <n v="0"/>
  </r>
  <r>
    <n v="37"/>
    <s v="MORIBA KOROMA"/>
    <d v="1899-12-30T20:37:17"/>
    <d v="1899-12-30T20:37:20"/>
    <d v="1899-12-30T22:37:50"/>
    <s v="54 min 19s"/>
    <s v="ztp-nrxc-seu"/>
    <x v="26"/>
    <d v="1899-12-30T02:00:33"/>
    <d v="1899-12-30T02:05:16"/>
    <n v="0"/>
    <n v="0"/>
  </r>
  <r>
    <n v="38"/>
    <s v="MOZE KEYZ"/>
    <d v="1899-12-30T20:37:17"/>
    <d v="1899-12-30T20:37:20"/>
    <d v="1899-12-30T22:37:50"/>
    <s v="54 min 19s"/>
    <s v="ztp-nrxc-seu"/>
    <x v="26"/>
    <d v="1899-12-30T02:00:33"/>
    <d v="1899-12-30T02:05:17"/>
    <n v="0"/>
    <n v="0"/>
  </r>
  <r>
    <n v="39"/>
    <s v="NASSAMULA JOSEPHINE"/>
    <d v="1899-12-30T20:37:17"/>
    <d v="1899-12-30T20:37:20"/>
    <d v="1899-12-30T22:37:50"/>
    <s v="1 hr 43 min 38s"/>
    <s v="ztp-nrxc-seu"/>
    <x v="26"/>
    <d v="1899-12-30T02:00:33"/>
    <d v="1899-12-30T02:05:17"/>
    <n v="0"/>
    <n v="0"/>
  </r>
  <r>
    <n v="40"/>
    <s v="OCI GEOFFREY"/>
    <d v="1899-12-30T20:37:17"/>
    <d v="1899-12-30T21:48:30"/>
    <d v="1899-12-30T22:37:50"/>
    <s v="49 min 19s"/>
    <s v="ztp-nrxc-seu"/>
    <x v="26"/>
    <d v="1899-12-30T02:00:33"/>
    <d v="1899-12-30T02:05:18"/>
    <n v="0"/>
    <n v="0"/>
  </r>
  <r>
    <n v="41"/>
    <s v="ODUTI SAVIOUR"/>
    <d v="1899-12-30T20:37:17"/>
    <d v="1899-12-30T20:37:20"/>
    <d v="1899-12-30T22:37:50"/>
    <s v="1 hr 36 min 6s"/>
    <s v="ztp-nrxc-seu"/>
    <x v="26"/>
    <d v="1899-12-30T02:00:33"/>
    <d v="1899-12-30T02:05:18"/>
    <n v="0"/>
    <n v="0"/>
  </r>
  <r>
    <n v="42"/>
    <s v="OKABO GEOFFREY"/>
    <d v="1899-12-30T20:37:17"/>
    <d v="1899-12-30T20:37:20"/>
    <d v="1899-12-30T22:37:50"/>
    <s v="1 hr 43 min 38s"/>
    <s v="ztp-nrxc-seu"/>
    <x v="26"/>
    <d v="1899-12-30T02:00:33"/>
    <d v="1899-12-30T02:05:19"/>
    <n v="0"/>
    <n v="0"/>
  </r>
  <r>
    <n v="43"/>
    <s v="OMBASO JARED"/>
    <d v="1899-12-30T20:37:17"/>
    <d v="1899-12-30T21:48:30"/>
    <d v="1899-12-30T22:37:50"/>
    <s v="49 min 19s"/>
    <s v="ztp-nrxc-seu"/>
    <x v="26"/>
    <d v="1899-12-30T02:00:33"/>
    <d v="1899-12-30T02:05:20"/>
    <n v="0"/>
    <n v="0"/>
  </r>
  <r>
    <n v="44"/>
    <s v="OMELLA OWEN"/>
    <d v="1899-12-30T20:37:17"/>
    <d v="1899-12-30T20:37:20"/>
    <d v="1899-12-30T22:37:50"/>
    <s v="1 hr 43 min 38s"/>
    <s v="ztp-nrxc-seu"/>
    <x v="26"/>
    <d v="1899-12-30T02:00:33"/>
    <d v="1899-12-30T02:05:20"/>
    <n v="0"/>
    <n v="0"/>
  </r>
  <r>
    <n v="45"/>
    <s v="ONE MAN"/>
    <d v="1899-12-30T20:37:17"/>
    <d v="1899-12-30T20:37:20"/>
    <d v="1899-12-30T22:37:50"/>
    <s v="1 hr 43 min 38s"/>
    <s v="ztp-nrxc-seu"/>
    <x v="26"/>
    <d v="1899-12-30T02:00:33"/>
    <d v="1899-12-30T02:05:21"/>
    <n v="0"/>
    <n v="0"/>
  </r>
  <r>
    <n v="46"/>
    <s v="ONESMUS KORIR"/>
    <d v="1899-12-30T20:37:17"/>
    <d v="1899-12-30T20:37:20"/>
    <d v="1899-12-30T22:37:50"/>
    <s v="1 hr 42 min 59s"/>
    <s v="ztp-nrxc-seu"/>
    <x v="26"/>
    <d v="1899-12-30T02:00:33"/>
    <d v="1899-12-30T02:05:22"/>
    <n v="0"/>
    <n v="0"/>
  </r>
  <r>
    <n v="47"/>
    <s v="PRINCESS MAJOLA"/>
    <d v="1899-12-30T20:37:17"/>
    <d v="1899-12-30T20:37:20"/>
    <d v="1899-12-30T22:37:50"/>
    <s v="1 hr 43 min 38s"/>
    <s v="ztp-nrxc-seu"/>
    <x v="26"/>
    <d v="1899-12-30T02:00:33"/>
    <d v="1899-12-30T02:05:22"/>
    <n v="0"/>
    <n v="0"/>
  </r>
  <r>
    <n v="48"/>
    <s v="RACHEAL KYALIMPA"/>
    <d v="1899-12-30T20:37:17"/>
    <d v="1899-12-30T20:37:20"/>
    <d v="1899-12-30T22:37:50"/>
    <s v="1 hr 43 min 38s"/>
    <s v="ztp-nrxc-seu"/>
    <x v="26"/>
    <d v="1899-12-30T02:00:33"/>
    <d v="1899-12-30T02:05:23"/>
    <n v="0"/>
    <n v="0"/>
  </r>
  <r>
    <n v="49"/>
    <s v="ROBERT MAKUBS"/>
    <d v="1899-12-30T20:37:17"/>
    <d v="1899-12-30T20:37:20"/>
    <d v="1899-12-30T22:37:50"/>
    <s v="1 hr 25 min 39s"/>
    <s v="ztp-nrxc-seu"/>
    <x v="26"/>
    <d v="1899-12-30T02:00:33"/>
    <d v="1899-12-30T02:05:24"/>
    <n v="0"/>
    <n v="0"/>
  </r>
  <r>
    <n v="50"/>
    <s v="RTN JOSES KAYUNGA"/>
    <d v="1899-12-30T20:37:17"/>
    <d v="1899-12-30T20:37:20"/>
    <d v="1899-12-30T22:37:50"/>
    <s v="1 hr 43 min 38s"/>
    <s v="ztp-nrxc-seu"/>
    <x v="26"/>
    <d v="1899-12-30T02:00:33"/>
    <d v="1899-12-30T02:05:24"/>
    <n v="0"/>
    <n v="0"/>
  </r>
  <r>
    <n v="51"/>
    <s v="SARAH NAKAMATTE"/>
    <d v="1899-12-30T20:37:17"/>
    <d v="1899-12-30T21:55:53"/>
    <d v="1899-12-30T22:37:50"/>
    <s v="35 min 34s"/>
    <s v="ztp-nrxc-seu"/>
    <x v="26"/>
    <d v="1899-12-30T02:00:33"/>
    <d v="1899-12-30T02:05:25"/>
    <n v="0"/>
    <n v="0"/>
  </r>
  <r>
    <n v="52"/>
    <s v="SIMONPETER OUMA"/>
    <d v="1899-12-30T20:37:17"/>
    <d v="1899-12-30T20:37:20"/>
    <d v="1899-12-30T22:37:50"/>
    <s v="1 hr 33 min 32s"/>
    <s v="ztp-nrxc-seu"/>
    <x v="26"/>
    <d v="1899-12-30T02:00:33"/>
    <d v="1899-12-30T02:05:26"/>
    <n v="0"/>
    <n v="0"/>
  </r>
  <r>
    <n v="53"/>
    <s v="THIS IS LINUS SANKEI"/>
    <d v="1899-12-30T20:37:17"/>
    <d v="1899-12-30T20:37:20"/>
    <d v="1899-12-30T22:37:50"/>
    <s v="1 hr 43 min 38s"/>
    <s v="ztp-nrxc-seu"/>
    <x v="26"/>
    <d v="1899-12-30T02:00:33"/>
    <d v="1899-12-30T02:05:26"/>
    <n v="0"/>
    <n v="0"/>
  </r>
  <r>
    <n v="54"/>
    <s v="TIMOTENGINEERING LIMITED"/>
    <d v="1899-12-30T20:37:17"/>
    <d v="1899-12-30T22:31:54"/>
    <d v="1899-12-30T22:37:50"/>
    <s v="5 min 55s"/>
    <s v="ztp-nrxc-seu"/>
    <x v="26"/>
    <d v="1899-12-30T02:00:33"/>
    <d v="1899-12-30T02:05:27"/>
    <n v="0"/>
    <n v="0"/>
  </r>
  <r>
    <n v="55"/>
    <s v="TORY MOLS"/>
    <d v="1899-12-30T20:37:17"/>
    <d v="1899-12-30T20:37:20"/>
    <d v="1899-12-30T22:37:50"/>
    <s v="1 hr 43 min 38s"/>
    <s v="ztp-nrxc-seu"/>
    <x v="26"/>
    <d v="1899-12-30T02:00:33"/>
    <d v="1899-12-30T02:05:28"/>
    <n v="0"/>
    <n v="0"/>
  </r>
  <r>
    <n v="56"/>
    <s v="TURINAWE PATIENCE"/>
    <d v="1899-12-30T20:37:17"/>
    <d v="1899-12-30T21:48:30"/>
    <d v="1899-12-30T22:37:50"/>
    <s v="10 min 50s"/>
    <s v="ztp-nrxc-seu"/>
    <x v="26"/>
    <d v="1899-12-30T02:00:33"/>
    <d v="1899-12-30T02:05:28"/>
    <n v="0"/>
    <n v="0"/>
  </r>
  <r>
    <n v="57"/>
    <s v="VITALIS KOECH"/>
    <d v="1899-12-30T20:37:17"/>
    <d v="1899-12-30T20:37:20"/>
    <d v="1899-12-30T22:37:50"/>
    <s v="1 hr 8 min 40s"/>
    <s v="ztp-nrxc-seu"/>
    <x v="26"/>
    <d v="1899-12-30T02:00:33"/>
    <d v="1899-12-30T02:05:29"/>
    <n v="0"/>
    <n v="0"/>
  </r>
  <r>
    <n v="58"/>
    <s v="WANDA FORTUNATE"/>
    <d v="1899-12-30T20:37:17"/>
    <d v="1899-12-30T20:37:20"/>
    <d v="1899-12-30T22:37:50"/>
    <s v="1 hr 38 min 4s"/>
    <s v="ztp-nrxc-seu"/>
    <x v="26"/>
    <d v="1899-12-30T02:00:33"/>
    <d v="1899-12-30T02:05:30"/>
    <n v="0"/>
    <n v="0"/>
  </r>
  <r>
    <n v="1"/>
    <s v="ANGULA ROSAMUNDE"/>
    <d v="1899-12-30T20:36:22"/>
    <d v="1899-12-30T20:36:26"/>
    <d v="1899-12-30T22:11:15"/>
    <s v="1 hr 34 min 3s"/>
    <s v="rhi-fugx-kpy"/>
    <x v="27"/>
    <d v="1899-12-30T01:34:53"/>
    <d v="1899-12-30T02:05:30"/>
    <n v="0"/>
    <n v="0"/>
  </r>
  <r>
    <n v="2"/>
    <s v="ANTHONY GODSON AIDOO"/>
    <d v="1899-12-30T20:36:22"/>
    <d v="1899-12-30T21:36:18"/>
    <d v="1899-12-30T22:11:15"/>
    <s v="33 min 8s"/>
    <s v="rhi-fugx-kpy"/>
    <x v="27"/>
    <d v="1899-12-30T01:34:53"/>
    <d v="1899-12-30T02:05:34"/>
    <n v="0"/>
    <n v="0"/>
  </r>
  <r>
    <n v="3"/>
    <s v="ARON NTULIZE"/>
    <d v="1899-12-30T20:36:22"/>
    <d v="1899-12-30T20:36:26"/>
    <d v="1899-12-30T22:11:15"/>
    <s v="1 hr 34 min 3s"/>
    <s v="rhi-fugx-kpy"/>
    <x v="27"/>
    <d v="1899-12-30T01:34:53"/>
    <d v="1899-12-30T02:05:39"/>
    <n v="0"/>
    <n v="0"/>
  </r>
  <r>
    <n v="4"/>
    <s v="BENJAMIN MALES LOKOYA"/>
    <d v="1899-12-30T20:36:22"/>
    <d v="1899-12-30T20:36:26"/>
    <d v="1899-12-30T22:11:15"/>
    <s v="1 hr 33 min 20s"/>
    <s v="rhi-fugx-kpy"/>
    <x v="27"/>
    <d v="1899-12-30T01:34:53"/>
    <d v="1899-12-30T02:05:43"/>
    <n v="0"/>
    <n v="0"/>
  </r>
  <r>
    <n v="5"/>
    <s v="CHANDIA FRED"/>
    <d v="1899-12-30T20:36:22"/>
    <d v="1899-12-30T21:36:18"/>
    <d v="1899-12-30T22:11:15"/>
    <s v="34 min 16s"/>
    <s v="rhi-fugx-kpy"/>
    <x v="27"/>
    <d v="1899-12-30T01:34:53"/>
    <d v="1899-12-30T02:05:47"/>
    <n v="0"/>
    <n v="0"/>
  </r>
  <r>
    <n v="6"/>
    <s v="CHERUU JUL"/>
    <d v="1899-12-30T20:36:22"/>
    <d v="1899-12-30T20:36:26"/>
    <d v="1899-12-30T22:11:15"/>
    <s v="1 hr 34 min 3s"/>
    <s v="rhi-fugx-kpy"/>
    <x v="27"/>
    <d v="1899-12-30T01:34:53"/>
    <d v="1899-12-30T02:05:52"/>
    <n v="0"/>
    <n v="0"/>
  </r>
  <r>
    <n v="7"/>
    <s v="CHRISTINA MOTHOBI"/>
    <d v="1899-12-30T20:36:22"/>
    <d v="1899-12-30T21:36:18"/>
    <d v="1899-12-30T22:11:15"/>
    <s v="33 min 39s"/>
    <s v="rhi-fugx-kpy"/>
    <x v="27"/>
    <d v="1899-12-30T01:34:53"/>
    <d v="1899-12-30T02:05:56"/>
    <n v="0"/>
    <n v="0"/>
  </r>
  <r>
    <n v="8"/>
    <s v="DANIEL ERABU"/>
    <d v="1899-12-30T20:36:22"/>
    <d v="1899-12-30T20:36:26"/>
    <d v="1899-12-30T22:11:15"/>
    <s v="1 hr 34 min 3s"/>
    <s v="rhi-fugx-kpy"/>
    <x v="27"/>
    <d v="1899-12-30T01:34:53"/>
    <d v="1899-12-30T02:06:00"/>
    <n v="0"/>
    <n v="0"/>
  </r>
  <r>
    <n v="9"/>
    <s v="EL MAJID SWALEH"/>
    <d v="1899-12-30T20:36:22"/>
    <d v="1899-12-30T20:36:26"/>
    <d v="1899-12-30T22:11:15"/>
    <s v="1 hr 34 min 3s"/>
    <s v="rhi-fugx-kpy"/>
    <x v="27"/>
    <d v="1899-12-30T01:34:53"/>
    <d v="1899-12-30T02:06:05"/>
    <n v="0"/>
    <n v="0"/>
  </r>
  <r>
    <n v="10"/>
    <s v="EL-MAJID SWALEH"/>
    <d v="1899-12-30T20:36:22"/>
    <d v="1899-12-30T22:04:48"/>
    <d v="1899-12-30T22:11:15"/>
    <s v="0 min 11s"/>
    <s v="rhi-fugx-kpy"/>
    <x v="27"/>
    <d v="1899-12-30T01:34:53"/>
    <d v="1899-12-30T02:06:09"/>
    <n v="0"/>
    <n v="0"/>
  </r>
  <r>
    <n v="11"/>
    <s v="EMMANUEL JOBS"/>
    <d v="1899-12-30T20:36:22"/>
    <d v="1899-12-30T21:36:18"/>
    <d v="1899-12-30T22:11:15"/>
    <s v="34 min 16s"/>
    <s v="rhi-fugx-kpy"/>
    <x v="27"/>
    <d v="1899-12-30T01:34:53"/>
    <d v="1899-12-30T02:06:13"/>
    <n v="0"/>
    <n v="0"/>
  </r>
  <r>
    <n v="12"/>
    <s v="FIDELIS AMWEENYE"/>
    <d v="1899-12-30T20:36:22"/>
    <d v="1899-12-30T20:36:26"/>
    <d v="1899-12-30T22:11:15"/>
    <s v="1 hr 34 min 3s"/>
    <s v="rhi-fugx-kpy"/>
    <x v="27"/>
    <d v="1899-12-30T01:34:53"/>
    <d v="1899-12-30T02:06:18"/>
    <n v="0"/>
    <n v="0"/>
  </r>
  <r>
    <n v="13"/>
    <s v="GEOFFREY OYET"/>
    <d v="1899-12-30T20:36:22"/>
    <d v="1899-12-30T21:36:18"/>
    <d v="1899-12-30T22:11:15"/>
    <s v="34 min 16s"/>
    <s v="rhi-fugx-kpy"/>
    <x v="27"/>
    <d v="1899-12-30T01:34:53"/>
    <d v="1899-12-30T02:06:22"/>
    <n v="0"/>
    <n v="0"/>
  </r>
  <r>
    <n v="14"/>
    <s v="GODFREY BIRUNGI"/>
    <d v="1899-12-30T20:36:22"/>
    <d v="1899-12-30T20:36:26"/>
    <d v="1899-12-30T22:11:15"/>
    <s v="1 hr 34 min 3s"/>
    <s v="rhi-fugx-kpy"/>
    <x v="27"/>
    <d v="1899-12-30T01:34:53"/>
    <d v="1899-12-30T02:06:27"/>
    <n v="0"/>
    <n v="0"/>
  </r>
  <r>
    <n v="15"/>
    <s v="HAROLD SUCCESS GOLAFALE"/>
    <d v="1899-12-30T20:36:22"/>
    <d v="1899-12-30T20:36:26"/>
    <d v="1899-12-30T22:11:15"/>
    <s v="1 hr 34 min 3s"/>
    <s v="rhi-fugx-kpy"/>
    <x v="27"/>
    <d v="1899-12-30T01:34:53"/>
    <d v="1899-12-30T02:06:31"/>
    <n v="0"/>
    <n v="0"/>
  </r>
  <r>
    <n v="16"/>
    <s v="HENRY CHELELE"/>
    <d v="1899-12-30T20:36:22"/>
    <d v="1899-12-30T21:36:18"/>
    <d v="1899-12-30T22:11:15"/>
    <s v="34 min 16s"/>
    <s v="rhi-fugx-kpy"/>
    <x v="27"/>
    <d v="1899-12-30T01:34:53"/>
    <d v="1899-12-30T02:06:36"/>
    <n v="0"/>
    <n v="0"/>
  </r>
  <r>
    <n v="17"/>
    <s v="ISAAC OGWANG"/>
    <d v="1899-12-30T20:36:22"/>
    <d v="1899-12-30T21:36:18"/>
    <d v="1899-12-30T22:11:15"/>
    <s v="34 min 12s"/>
    <s v="rhi-fugx-kpy"/>
    <x v="27"/>
    <d v="1899-12-30T01:34:53"/>
    <d v="1899-12-30T02:06:40"/>
    <n v="0"/>
    <n v="0"/>
  </r>
  <r>
    <n v="18"/>
    <s v="JOHN NJOROGE"/>
    <d v="1899-12-30T20:36:22"/>
    <d v="1899-12-30T21:36:18"/>
    <d v="1899-12-30T22:11:15"/>
    <s v="34 min 16s"/>
    <s v="rhi-fugx-kpy"/>
    <x v="27"/>
    <d v="1899-12-30T01:34:53"/>
    <d v="1899-12-30T02:06:45"/>
    <n v="0"/>
    <n v="0"/>
  </r>
  <r>
    <n v="19"/>
    <s v="JOHN RWARU"/>
    <d v="1899-12-30T20:36:22"/>
    <d v="1899-12-30T20:36:26"/>
    <d v="1899-12-30T22:11:15"/>
    <s v="1 hr 34 min 3s"/>
    <s v="rhi-fugx-kpy"/>
    <x v="27"/>
    <d v="1899-12-30T01:34:53"/>
    <d v="1899-12-30T02:06:49"/>
    <n v="0"/>
    <n v="0"/>
  </r>
  <r>
    <n v="20"/>
    <s v="JOSEPH MBOGO"/>
    <d v="1899-12-30T20:36:22"/>
    <d v="1899-12-30T20:36:26"/>
    <d v="1899-12-30T22:11:15"/>
    <s v="1 hr 34 min 3s"/>
    <s v="rhi-fugx-kpy"/>
    <x v="27"/>
    <d v="1899-12-30T01:34:53"/>
    <d v="1899-12-30T02:06:54"/>
    <n v="0"/>
    <n v="0"/>
  </r>
  <r>
    <n v="21"/>
    <s v="JOSEPH MUTIE"/>
    <d v="1899-12-30T20:36:22"/>
    <d v="1899-12-30T20:36:26"/>
    <d v="1899-12-30T22:11:15"/>
    <s v="1 hr 34 min 3s"/>
    <s v="rhi-fugx-kpy"/>
    <x v="27"/>
    <d v="1899-12-30T01:34:53"/>
    <d v="1899-12-30T02:06:59"/>
    <n v="0"/>
    <n v="0"/>
  </r>
  <r>
    <n v="22"/>
    <s v="JOSEPH SAMILA"/>
    <d v="1899-12-30T20:36:22"/>
    <d v="1899-12-30T21:36:18"/>
    <d v="1899-12-30T22:11:15"/>
    <s v="34 min 16s"/>
    <s v="rhi-fugx-kpy"/>
    <x v="27"/>
    <d v="1899-12-30T01:34:53"/>
    <d v="1899-12-30T02:07:03"/>
    <n v="0"/>
    <n v="0"/>
  </r>
  <r>
    <n v="23"/>
    <s v="JOSHUA MHAKURE"/>
    <d v="1899-12-30T20:36:22"/>
    <d v="1899-12-30T20:36:26"/>
    <d v="1899-12-30T22:11:15"/>
    <s v="1 hr 34 min 3s"/>
    <s v="rhi-fugx-kpy"/>
    <x v="27"/>
    <d v="1899-12-30T01:34:53"/>
    <d v="1899-12-30T02:07:08"/>
    <n v="0"/>
    <n v="0"/>
  </r>
  <r>
    <n v="24"/>
    <s v="JULIUS K CHERUIYOT"/>
    <d v="1899-12-30T20:36:22"/>
    <d v="1899-12-30T22:04:48"/>
    <d v="1899-12-30T22:11:15"/>
    <s v="5 min 49s"/>
    <s v="rhi-fugx-kpy"/>
    <x v="27"/>
    <d v="1899-12-30T01:34:53"/>
    <d v="1899-12-30T02:07:13"/>
    <n v="0"/>
    <n v="0"/>
  </r>
  <r>
    <n v="25"/>
    <s v="KAKOOZA GODFREY"/>
    <d v="1899-12-30T20:36:22"/>
    <d v="1899-12-30T21:36:18"/>
    <d v="1899-12-30T22:11:15"/>
    <s v="31 min 52s"/>
    <s v="rhi-fugx-kpy"/>
    <x v="27"/>
    <d v="1899-12-30T01:34:53"/>
    <d v="1899-12-30T02:07:17"/>
    <n v="0"/>
    <n v="0"/>
  </r>
  <r>
    <n v="26"/>
    <s v="KAMARA"/>
    <d v="1899-12-30T20:36:22"/>
    <d v="1899-12-30T21:36:18"/>
    <d v="1899-12-30T22:11:15"/>
    <s v="28 min 27s"/>
    <s v="rhi-fugx-kpy"/>
    <x v="27"/>
    <d v="1899-12-30T01:34:53"/>
    <d v="1899-12-30T02:07:22"/>
    <n v="0"/>
    <n v="0"/>
  </r>
  <r>
    <n v="27"/>
    <s v="KAMARA MOHAMED SALLU"/>
    <d v="1899-12-30T20:36:22"/>
    <d v="1899-12-30T20:36:26"/>
    <d v="1899-12-30T22:11:15"/>
    <s v="59 min 47s"/>
    <s v="rhi-fugx-kpy"/>
    <x v="27"/>
    <d v="1899-12-30T01:34:53"/>
    <d v="1899-12-30T02:07:27"/>
    <n v="0"/>
    <n v="0"/>
  </r>
  <r>
    <n v="28"/>
    <s v="KAMAU RUTH"/>
    <d v="1899-12-30T20:36:22"/>
    <d v="1899-12-30T20:36:26"/>
    <d v="1899-12-30T22:11:15"/>
    <s v="1 hr 34 min 3s"/>
    <s v="rhi-fugx-kpy"/>
    <x v="27"/>
    <d v="1899-12-30T01:34:53"/>
    <d v="1899-12-30T02:07:31"/>
    <n v="0"/>
    <n v="0"/>
  </r>
  <r>
    <n v="29"/>
    <s v="KANANURA GASTON"/>
    <d v="1899-12-30T20:36:22"/>
    <d v="1899-12-30T20:36:26"/>
    <d v="1899-12-30T22:11:15"/>
    <s v="1 hr 34 min 3s"/>
    <s v="rhi-fugx-kpy"/>
    <x v="27"/>
    <d v="1899-12-30T01:34:53"/>
    <d v="1899-12-30T02:07:36"/>
    <n v="0"/>
    <n v="0"/>
  </r>
  <r>
    <n v="30"/>
    <s v="LOKOSE ABEL"/>
    <d v="1899-12-30T20:36:22"/>
    <d v="1899-12-30T21:36:18"/>
    <d v="1899-12-30T22:11:15"/>
    <s v="34 min 16s"/>
    <s v="rhi-fugx-kpy"/>
    <x v="27"/>
    <d v="1899-12-30T01:34:53"/>
    <d v="1899-12-30T02:07:41"/>
    <n v="0"/>
    <n v="0"/>
  </r>
  <r>
    <n v="31"/>
    <s v="MAGHOGHO BOB"/>
    <d v="1899-12-30T20:36:22"/>
    <d v="1899-12-30T20:36:26"/>
    <d v="1899-12-30T22:11:15"/>
    <s v="59 min 47s"/>
    <s v="rhi-fugx-kpy"/>
    <x v="27"/>
    <d v="1899-12-30T01:34:53"/>
    <d v="1899-12-30T02:07:46"/>
    <n v="0"/>
    <n v="0"/>
  </r>
  <r>
    <n v="32"/>
    <s v="MARGARET NASSOLO"/>
    <d v="1899-12-30T20:36:22"/>
    <d v="1899-12-30T20:36:26"/>
    <d v="1899-12-30T22:11:15"/>
    <s v="1 hr 34 min 3s"/>
    <s v="rhi-fugx-kpy"/>
    <x v="27"/>
    <d v="1899-12-30T01:34:53"/>
    <d v="1899-12-30T02:07:51"/>
    <n v="0"/>
    <n v="0"/>
  </r>
  <r>
    <n v="33"/>
    <s v="MARTIN LEMI"/>
    <d v="1899-12-30T20:36:22"/>
    <d v="1899-12-30T20:36:26"/>
    <d v="1899-12-30T22:11:15"/>
    <s v="1 hr 34 min 3s"/>
    <s v="rhi-fugx-kpy"/>
    <x v="27"/>
    <d v="1899-12-30T01:34:53"/>
    <d v="1899-12-30T02:07:56"/>
    <n v="0"/>
    <n v="0"/>
  </r>
  <r>
    <n v="34"/>
    <s v="MERGED AUDIO"/>
    <d v="1899-12-30T20:36:22"/>
    <d v="1899-12-30T22:04:48"/>
    <d v="1899-12-30T22:11:15"/>
    <s v="0 min 21s"/>
    <s v="rhi-fugx-kpy"/>
    <x v="27"/>
    <d v="1899-12-30T01:34:53"/>
    <d v="1899-12-30T02:08:01"/>
    <n v="0"/>
    <n v="0"/>
  </r>
  <r>
    <n v="35"/>
    <s v="MILDRED DRUSILA"/>
    <d v="1899-12-30T20:36:22"/>
    <d v="1899-12-30T20:36:26"/>
    <d v="1899-12-30T22:11:15"/>
    <s v="1 hr 31 min 55s"/>
    <s v="rhi-fugx-kpy"/>
    <x v="27"/>
    <d v="1899-12-30T01:34:53"/>
    <d v="1899-12-30T02:08:06"/>
    <n v="0"/>
    <n v="0"/>
  </r>
  <r>
    <n v="36"/>
    <s v="MOHAMED DIXON KABIA/INTERNATIONAL/SIERRALEONE/BRAC"/>
    <d v="1899-12-30T20:36:22"/>
    <d v="1899-12-30T20:36:26"/>
    <d v="1899-12-30T22:11:15"/>
    <s v="1 hr 34 min 3s"/>
    <s v="rhi-fugx-kpy"/>
    <x v="27"/>
    <d v="1899-12-30T01:34:53"/>
    <d v="1899-12-30T02:08:11"/>
    <n v="0"/>
    <n v="0"/>
  </r>
  <r>
    <n v="37"/>
    <s v="MOHAMED SALLY KAMARA"/>
    <d v="1899-12-30T20:36:22"/>
    <d v="1899-12-30T22:04:48"/>
    <d v="1899-12-30T22:11:15"/>
    <s v="5 min 49s"/>
    <s v="rhi-fugx-kpy"/>
    <x v="27"/>
    <d v="1899-12-30T01:34:53"/>
    <d v="1899-12-30T02:08:16"/>
    <n v="0"/>
    <n v="0"/>
  </r>
  <r>
    <n v="38"/>
    <s v="MORIBA KOROMA"/>
    <d v="1899-12-30T20:36:22"/>
    <d v="1899-12-30T20:36:26"/>
    <d v="1899-12-30T22:11:15"/>
    <s v="1 hr 5 min 36s"/>
    <s v="rhi-fugx-kpy"/>
    <x v="27"/>
    <d v="1899-12-30T01:34:53"/>
    <d v="1899-12-30T02:08:21"/>
    <n v="0"/>
    <n v="0"/>
  </r>
  <r>
    <n v="39"/>
    <s v="MOZE KEYZ"/>
    <d v="1899-12-30T20:36:22"/>
    <d v="1899-12-30T20:36:26"/>
    <d v="1899-12-30T22:11:15"/>
    <s v="1 hr 33 min 19s"/>
    <s v="rhi-fugx-kpy"/>
    <x v="27"/>
    <d v="1899-12-30T01:34:53"/>
    <d v="1899-12-30T02:08:26"/>
    <n v="0"/>
    <n v="0"/>
  </r>
  <r>
    <n v="40"/>
    <s v="NASSAMULA JOSEPHINE"/>
    <d v="1899-12-30T20:36:22"/>
    <d v="1899-12-30T20:36:26"/>
    <d v="1899-12-30T22:11:15"/>
    <s v="1 hr 28 min 14s"/>
    <s v="rhi-fugx-kpy"/>
    <x v="27"/>
    <d v="1899-12-30T01:34:53"/>
    <d v="1899-12-30T02:08:31"/>
    <n v="0"/>
    <n v="0"/>
  </r>
  <r>
    <n v="41"/>
    <s v="OKABO GEOFFREY"/>
    <d v="1899-12-30T20:36:22"/>
    <d v="1899-12-30T20:36:26"/>
    <d v="1899-12-30T22:11:15"/>
    <s v="1 hr 5 min 36s"/>
    <s v="rhi-fugx-kpy"/>
    <x v="27"/>
    <d v="1899-12-30T01:34:53"/>
    <d v="1899-12-30T02:08:36"/>
    <n v="0"/>
    <n v="0"/>
  </r>
  <r>
    <n v="42"/>
    <s v="OMBASO JARED"/>
    <d v="1899-12-30T20:36:22"/>
    <d v="1899-12-30T21:36:18"/>
    <d v="1899-12-30T22:11:15"/>
    <s v="34 min 16s"/>
    <s v="rhi-fugx-kpy"/>
    <x v="27"/>
    <d v="1899-12-30T01:34:53"/>
    <d v="1899-12-30T02:08:41"/>
    <n v="0"/>
    <n v="0"/>
  </r>
  <r>
    <n v="43"/>
    <s v="OMELLA OWEN"/>
    <d v="1899-12-30T20:36:22"/>
    <d v="1899-12-30T20:36:26"/>
    <d v="1899-12-30T22:11:15"/>
    <s v="1 hr 34 min 3s"/>
    <s v="rhi-fugx-kpy"/>
    <x v="27"/>
    <d v="1899-12-30T01:34:53"/>
    <d v="1899-12-30T02:08:46"/>
    <n v="0"/>
    <n v="0"/>
  </r>
  <r>
    <n v="44"/>
    <s v="ONE MAN"/>
    <d v="1899-12-30T20:36:22"/>
    <d v="1899-12-30T20:36:26"/>
    <d v="1899-12-30T22:11:15"/>
    <s v="1 hr 34 min 3s"/>
    <s v="rhi-fugx-kpy"/>
    <x v="27"/>
    <d v="1899-12-30T01:34:53"/>
    <d v="1899-12-30T02:08:51"/>
    <n v="0"/>
    <n v="0"/>
  </r>
  <r>
    <n v="45"/>
    <s v="ONESMUS KORIR"/>
    <d v="1899-12-30T20:36:22"/>
    <d v="1899-12-30T20:36:26"/>
    <d v="1899-12-30T22:11:15"/>
    <s v="1 hr 28 min 14s"/>
    <s v="rhi-fugx-kpy"/>
    <x v="27"/>
    <d v="1899-12-30T01:34:53"/>
    <d v="1899-12-30T02:08:56"/>
    <n v="0"/>
    <n v="0"/>
  </r>
  <r>
    <n v="46"/>
    <s v="PRINCESS.MAJOLA"/>
    <d v="1899-12-30T20:36:22"/>
    <d v="1899-12-30T20:36:26"/>
    <d v="1899-12-30T22:11:15"/>
    <s v="1 hr 34 min 3s"/>
    <s v="rhi-fugx-kpy"/>
    <x v="27"/>
    <d v="1899-12-30T01:34:53"/>
    <d v="1899-12-30T02:09:02"/>
    <n v="0"/>
    <n v="0"/>
  </r>
  <r>
    <n v="47"/>
    <s v="RACHEAL KYALIMPA"/>
    <d v="1899-12-30T20:36:22"/>
    <d v="1899-12-30T21:36:18"/>
    <d v="1899-12-30T22:11:15"/>
    <s v="34 min 16s"/>
    <s v="rhi-fugx-kpy"/>
    <x v="27"/>
    <d v="1899-12-30T01:34:53"/>
    <d v="1899-12-30T02:09:07"/>
    <n v="0"/>
    <n v="0"/>
  </r>
  <r>
    <n v="48"/>
    <s v="ROBERT MAKUBS"/>
    <d v="1899-12-30T20:36:22"/>
    <d v="1899-12-30T20:36:26"/>
    <d v="1899-12-30T22:11:15"/>
    <s v="1 hr 34 min 3s"/>
    <s v="rhi-fugx-kpy"/>
    <x v="27"/>
    <d v="1899-12-30T01:34:53"/>
    <d v="1899-12-30T02:09:12"/>
    <n v="0"/>
    <n v="0"/>
  </r>
  <r>
    <n v="49"/>
    <s v="RTN JOSES KAYUNGA"/>
    <d v="1899-12-30T20:36:22"/>
    <d v="1899-12-30T21:36:18"/>
    <d v="1899-12-30T22:11:15"/>
    <s v="34 min 16s"/>
    <s v="rhi-fugx-kpy"/>
    <x v="27"/>
    <d v="1899-12-30T01:34:53"/>
    <d v="1899-12-30T02:09:17"/>
    <n v="0"/>
    <n v="0"/>
  </r>
  <r>
    <n v="50"/>
    <s v="SABO MIKE"/>
    <d v="1899-12-30T20:36:22"/>
    <d v="1899-12-30T21:36:18"/>
    <d v="1899-12-30T22:11:15"/>
    <s v="34 min 16s"/>
    <s v="rhi-fugx-kpy"/>
    <x v="27"/>
    <d v="1899-12-30T01:34:53"/>
    <d v="1899-12-30T02:09:23"/>
    <n v="0"/>
    <n v="0"/>
  </r>
  <r>
    <n v="51"/>
    <s v="SIMONPETER OUMA"/>
    <d v="1899-12-30T20:36:22"/>
    <d v="1899-12-30T20:36:26"/>
    <d v="1899-12-30T22:11:15"/>
    <s v="1 hr 33 min 42s"/>
    <s v="rhi-fugx-kpy"/>
    <x v="27"/>
    <d v="1899-12-30T01:34:53"/>
    <d v="1899-12-30T02:09:28"/>
    <n v="0"/>
    <n v="0"/>
  </r>
  <r>
    <n v="52"/>
    <s v="THIS IS LINUS SANKEI"/>
    <d v="1899-12-30T20:36:22"/>
    <d v="1899-12-30T20:36:26"/>
    <d v="1899-12-30T22:11:15"/>
    <s v="1 hr 34 min 3s"/>
    <s v="rhi-fugx-kpy"/>
    <x v="27"/>
    <d v="1899-12-30T01:34:53"/>
    <d v="1899-12-30T02:09:34"/>
    <n v="0"/>
    <n v="0"/>
  </r>
  <r>
    <n v="53"/>
    <s v="TORY MOLS"/>
    <d v="1899-12-30T20:36:22"/>
    <d v="1899-12-30T21:36:18"/>
    <d v="1899-12-30T22:11:15"/>
    <s v="34 min 16s"/>
    <s v="rhi-fugx-kpy"/>
    <x v="27"/>
    <d v="1899-12-30T01:34:53"/>
    <d v="1899-12-30T02:09:39"/>
    <n v="0"/>
    <n v="0"/>
  </r>
  <r>
    <n v="54"/>
    <s v="TURINAWE PATIENCE"/>
    <d v="1899-12-30T20:36:22"/>
    <d v="1899-12-30T20:36:26"/>
    <d v="1899-12-30T22:11:15"/>
    <s v="1 hr 34 min 3s"/>
    <s v="rhi-fugx-kpy"/>
    <x v="27"/>
    <d v="1899-12-30T01:34:53"/>
    <d v="1899-12-30T02:09:44"/>
    <n v="0"/>
    <n v="0"/>
  </r>
  <r>
    <n v="55"/>
    <s v="VITALIS KOECH"/>
    <d v="1899-12-30T20:36:22"/>
    <d v="1899-12-30T21:36:18"/>
    <d v="1899-12-30T22:11:15"/>
    <s v="28 min 27s"/>
    <s v="rhi-fugx-kpy"/>
    <x v="27"/>
    <d v="1899-12-30T01:34:53"/>
    <d v="1899-12-30T02:09:50"/>
    <n v="0"/>
    <n v="0"/>
  </r>
  <r>
    <n v="56"/>
    <s v="WANDA FORTUNATE"/>
    <d v="1899-12-30T20:36:22"/>
    <d v="1899-12-30T20:36:26"/>
    <d v="1899-12-30T22:11:15"/>
    <s v="1 hr 34 min 3s"/>
    <s v="rhi-fugx-kpy"/>
    <x v="27"/>
    <d v="1899-12-30T01:34:53"/>
    <d v="1899-12-30T02:09:55"/>
    <n v="0"/>
    <n v="0"/>
  </r>
  <r>
    <n v="1"/>
    <s v="ANGULA ROSAMUNDE"/>
    <d v="1899-12-30T20:39:20"/>
    <d v="1899-12-30T20:39:23"/>
    <d v="1899-12-30T22:48:13"/>
    <s v="2 hr 8 min 48s"/>
    <s v="uhx-ocez-tyy"/>
    <x v="28"/>
    <d v="1899-12-30T02:08:53"/>
    <d v="1899-12-30T02:10:01"/>
    <n v="0"/>
    <n v="0"/>
  </r>
  <r>
    <n v="2"/>
    <s v="ANTHONY GODSON AIDOO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3"/>
    <s v="BENJAMIN MALES LOKOYA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4"/>
    <s v="CHERUU JUL"/>
    <d v="1899-12-30T20:39:20"/>
    <d v="1899-12-30T22:47:46"/>
    <d v="1899-12-30T22:48:13"/>
    <s v="0 min 10s"/>
    <s v="uhx-ocez-tyy"/>
    <x v="28"/>
    <d v="1899-12-30T02:08:53"/>
    <d v="1899-12-30T02:10:01"/>
    <n v="0"/>
    <n v="0"/>
  </r>
  <r>
    <n v="5"/>
    <s v="CHRISTOPHER MODI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6"/>
    <s v="DANIEL ERABU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7"/>
    <s v="EL MAJID SWALEH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8"/>
    <s v="EMMANUEL JOBS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9"/>
    <s v="FIDELIS SKIPPER AMWEENYE EMOSHO (SKIPPER)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10"/>
    <s v="GEOFFREY OYET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1"/>
    <s v="GODFREY BIRUNGI"/>
    <d v="1899-12-30T20:39:20"/>
    <d v="1899-12-30T20:39:23"/>
    <d v="1899-12-30T22:48:13"/>
    <s v="2 hr 8 min 48s"/>
    <s v="uhx-ocez-tyy"/>
    <x v="28"/>
    <d v="1899-12-30T02:08:53"/>
    <d v="1899-12-30T02:10:03"/>
    <n v="0"/>
    <n v="0"/>
  </r>
  <r>
    <n v="12"/>
    <s v="HENRY CHELELE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3"/>
    <s v="ISAAC OGWANG"/>
    <d v="1899-12-30T20:39:20"/>
    <d v="1899-12-30T20:39:23"/>
    <d v="1899-12-30T22:48:13"/>
    <s v="0 min 5s"/>
    <s v="uhx-ocez-tyy"/>
    <x v="28"/>
    <d v="1899-12-30T02:08:53"/>
    <d v="1899-12-30T02:10:03"/>
    <n v="0"/>
    <n v="0"/>
  </r>
  <r>
    <n v="14"/>
    <s v="IZARUKU RONALD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5"/>
    <s v="JOHN RWARU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6"/>
    <s v="JOSEPH MBOGO"/>
    <d v="1899-12-30T20:39:20"/>
    <d v="1899-12-30T20:39:23"/>
    <d v="1899-12-30T22:48:13"/>
    <s v="2 hr 8 min 48s"/>
    <s v="uhx-ocez-tyy"/>
    <x v="28"/>
    <d v="1899-12-30T02:08:53"/>
    <d v="1899-12-30T02:10:04"/>
    <n v="0"/>
    <n v="0"/>
  </r>
  <r>
    <n v="17"/>
    <s v="JOSEPH SAMILA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8"/>
    <s v="JOSHUA MHAKURE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9"/>
    <s v="JULIUS K CHERUIYOT"/>
    <d v="1899-12-30T20:39:20"/>
    <d v="1899-12-30T20:39:23"/>
    <d v="1899-12-30T22:48:13"/>
    <s v="0 min 1s"/>
    <s v="uhx-ocez-tyy"/>
    <x v="28"/>
    <d v="1899-12-30T02:08:53"/>
    <d v="1899-12-30T02:10:04"/>
    <n v="0"/>
    <n v="0"/>
  </r>
  <r>
    <n v="20"/>
    <s v="KAKOOZA GODFREY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1"/>
    <s v="KAMAU RUTH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2"/>
    <s v="KIIR ABIEM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3"/>
    <s v="LOKOSE ABEL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4"/>
    <s v="MAGHOGHO BOB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5"/>
    <s v="MAHAMADOU MAMANE"/>
    <d v="1899-12-30T20:39:20"/>
    <d v="1899-12-30T20:39:23"/>
    <d v="1899-12-30T22:48:13"/>
    <s v="2 hr 8 min 39s"/>
    <s v="uhx-ocez-tyy"/>
    <x v="28"/>
    <d v="1899-12-30T02:08:53"/>
    <d v="1899-12-30T02:10:06"/>
    <n v="0"/>
    <n v="0"/>
  </r>
  <r>
    <n v="26"/>
    <s v="MARGARET NASSOLO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7"/>
    <s v="MARTIN LEMI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8"/>
    <s v="MARY NAMUKOKO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9"/>
    <s v="MILDRED DRUSILA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30"/>
    <s v="MOHAMED SALLY KAMARA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1"/>
    <s v="MORIBA KOROMA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2"/>
    <s v="MOZE KEYZ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3"/>
    <s v="NASSAMULA JOSEPHINE"/>
    <d v="1899-12-30T20:39:20"/>
    <d v="1899-12-30T20:39:23"/>
    <d v="1899-12-30T22:48:13"/>
    <s v="2 hr 8 min 48s"/>
    <s v="uhx-ocez-tyy"/>
    <x v="28"/>
    <d v="1899-12-30T02:08:53"/>
    <d v="1899-12-30T02:10:07"/>
    <n v="0"/>
    <n v="0"/>
  </r>
  <r>
    <n v="34"/>
    <s v="NUHUH MUTEBI"/>
    <d v="1899-12-30T20:39:20"/>
    <d v="1899-12-30T22:47:46"/>
    <d v="1899-12-30T22:48:13"/>
    <s v="0 min 28s"/>
    <s v="uhx-ocez-tyy"/>
    <x v="28"/>
    <d v="1899-12-30T02:08:53"/>
    <d v="1899-12-30T02:10:07"/>
    <n v="0"/>
    <n v="0"/>
  </r>
  <r>
    <n v="35"/>
    <s v="ODUTI SAVIOUR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6"/>
    <s v="OMELLA OWEN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7"/>
    <s v="ONE MAN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8"/>
    <s v="ONESMUS KORIR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9"/>
    <s v="PRINCESS MAJOLA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0"/>
    <s v="RACHEAL KYALIMPA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1"/>
    <s v="ROBERT MAKUBS"/>
    <d v="1899-12-30T20:39:20"/>
    <d v="1899-12-30T20:39:23"/>
    <d v="1899-12-30T22:48:13"/>
    <s v="2 hr 8 min 42s"/>
    <s v="uhx-ocez-tyy"/>
    <x v="28"/>
    <d v="1899-12-30T02:08:53"/>
    <d v="1899-12-30T02:10:09"/>
    <n v="0"/>
    <n v="0"/>
  </r>
  <r>
    <n v="42"/>
    <s v="RTN JOSES KAYUNGA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3"/>
    <s v="SIMONPETER OUMA"/>
    <d v="1899-12-30T20:39:20"/>
    <d v="1899-12-30T20:39:23"/>
    <d v="1899-12-30T22:48:13"/>
    <s v="2 hr 8 min 48s"/>
    <s v="uhx-ocez-tyy"/>
    <x v="28"/>
    <d v="1899-12-30T02:08:53"/>
    <d v="1899-12-30T02:10:09"/>
    <n v="0"/>
    <n v="0"/>
  </r>
  <r>
    <n v="44"/>
    <s v="THIS IS LINUS SANKEI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5"/>
    <s v="TORY MOLS"/>
    <d v="1899-12-30T20:39:20"/>
    <d v="1899-12-30T20:39:23"/>
    <d v="1899-12-30T22:48:13"/>
    <s v="2 hr 8 min 48s"/>
    <s v="uhx-ocez-tyy"/>
    <x v="28"/>
    <d v="1899-12-30T02:08:53"/>
    <d v="1899-12-30T02:10:10"/>
    <n v="0"/>
    <n v="0"/>
  </r>
  <r>
    <n v="46"/>
    <s v="VITALIS KOECH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7"/>
    <s v="WANDA FORTUNATE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1"/>
    <s v="ALEX MUHEREZA"/>
    <d v="1899-12-30T20:38:27"/>
    <d v="1899-12-30T20:38:31"/>
    <d v="1899-12-30T22:20:52"/>
    <s v="1 hr 8 min 18s"/>
    <s v="kdm-nwwh-zkg"/>
    <x v="29"/>
    <d v="1899-12-30T01:42:25"/>
    <d v="1899-12-30T02:10:11"/>
    <n v="1"/>
    <n v="0"/>
  </r>
  <r>
    <n v="2"/>
    <s v="ANTHONY GODSON AIDOO"/>
    <d v="1899-12-30T20:38:27"/>
    <d v="1899-12-30T20:38:31"/>
    <d v="1899-12-30T22:20:52"/>
    <s v="3 min 29s"/>
    <s v="kdm-nwwh-zkg"/>
    <x v="29"/>
    <d v="1899-12-30T01:42:25"/>
    <d v="1899-12-30T02:10:16"/>
    <n v="1"/>
    <n v="0"/>
  </r>
  <r>
    <n v="3"/>
    <s v="AZEDRIS JAMIL KASANGO"/>
    <d v="1899-12-30T20:38:27"/>
    <d v="1899-12-30T21:46:53"/>
    <d v="1899-12-30T22:20:52"/>
    <s v="33 min 59s"/>
    <s v="kdm-nwwh-zkg"/>
    <x v="29"/>
    <d v="1899-12-30T01:42:25"/>
    <d v="1899-12-30T02:10:21"/>
    <n v="1"/>
    <n v="0"/>
  </r>
  <r>
    <n v="4"/>
    <s v="BENJAMIN MALES LOKOYA"/>
    <d v="1899-12-30T20:38:27"/>
    <d v="1899-12-30T20:38:31"/>
    <d v="1899-12-30T22:20:52"/>
    <s v="1 hr 42 min 17s"/>
    <s v="kdm-nwwh-zkg"/>
    <x v="29"/>
    <d v="1899-12-30T01:42:25"/>
    <d v="1899-12-30T02:10:26"/>
    <n v="1"/>
    <n v="0"/>
  </r>
  <r>
    <n v="5"/>
    <s v="CHANDIA FRED"/>
    <d v="1899-12-30T20:38:27"/>
    <d v="1899-12-30T21:46:53"/>
    <d v="1899-12-30T22:20:52"/>
    <s v="33 min 59s"/>
    <s v="kdm-nwwh-zkg"/>
    <x v="29"/>
    <d v="1899-12-30T01:42:25"/>
    <d v="1899-12-30T02:10:31"/>
    <n v="1"/>
    <n v="0"/>
  </r>
  <r>
    <n v="6"/>
    <s v="CHERUU JUL"/>
    <d v="1899-12-30T20:38:27"/>
    <d v="1899-12-30T20:38:31"/>
    <d v="1899-12-30T22:20:52"/>
    <s v="1 hr 8 min 18s"/>
    <s v="kdm-nwwh-zkg"/>
    <x v="29"/>
    <d v="1899-12-30T01:42:25"/>
    <d v="1899-12-30T02:10:36"/>
    <n v="1"/>
    <n v="0"/>
  </r>
  <r>
    <n v="7"/>
    <s v="CHRISTOPHER MODI"/>
    <d v="1899-12-30T20:38:27"/>
    <d v="1899-12-30T21:46:53"/>
    <d v="1899-12-30T22:20:52"/>
    <s v="33 min 59s"/>
    <s v="kdm-nwwh-zkg"/>
    <x v="29"/>
    <d v="1899-12-30T01:42:25"/>
    <d v="1899-12-30T02:10:41"/>
    <n v="1"/>
    <n v="0"/>
  </r>
  <r>
    <n v="8"/>
    <s v="DANIEL ERABU"/>
    <d v="1899-12-30T20:38:27"/>
    <d v="1899-12-30T20:38:31"/>
    <d v="1899-12-30T22:20:52"/>
    <s v="1 hr 8 min 18s"/>
    <s v="kdm-nwwh-zkg"/>
    <x v="29"/>
    <d v="1899-12-30T01:42:25"/>
    <d v="1899-12-30T02:10:46"/>
    <n v="1"/>
    <n v="0"/>
  </r>
  <r>
    <n v="9"/>
    <s v="EL MAJID SWALEH"/>
    <d v="1899-12-30T20:38:27"/>
    <d v="1899-12-30T20:38:31"/>
    <d v="1899-12-30T22:20:52"/>
    <s v="1 hr 42 min 17s"/>
    <s v="kdm-nwwh-zkg"/>
    <x v="29"/>
    <d v="1899-12-30T01:42:25"/>
    <d v="1899-12-30T02:10:52"/>
    <n v="1"/>
    <n v="0"/>
  </r>
  <r>
    <n v="10"/>
    <s v="EMMANUEL JOBS"/>
    <d v="1899-12-30T20:38:27"/>
    <d v="1899-12-30T20:38:31"/>
    <d v="1899-12-30T22:20:52"/>
    <s v="1 hr 42 min 17s"/>
    <s v="kdm-nwwh-zkg"/>
    <x v="29"/>
    <d v="1899-12-30T01:42:25"/>
    <d v="1899-12-30T02:10:57"/>
    <n v="1"/>
    <n v="0"/>
  </r>
  <r>
    <n v="11"/>
    <s v="ERIK"/>
    <d v="1899-12-30T20:38:27"/>
    <d v="1899-12-30T20:38:31"/>
    <d v="1899-12-30T22:20:52"/>
    <s v="1 hr 8 min 18s"/>
    <s v="kdm-nwwh-zkg"/>
    <x v="29"/>
    <d v="1899-12-30T01:42:25"/>
    <d v="1899-12-30T02:11:02"/>
    <n v="1"/>
    <n v="0"/>
  </r>
  <r>
    <n v="12"/>
    <s v="GEOFFREY OYET"/>
    <d v="1899-12-30T20:38:27"/>
    <d v="1899-12-30T21:46:53"/>
    <d v="1899-12-30T22:20:52"/>
    <s v="33 min 59s"/>
    <s v="kdm-nwwh-zkg"/>
    <x v="29"/>
    <d v="1899-12-30T01:42:25"/>
    <d v="1899-12-30T02:11:07"/>
    <n v="1"/>
    <n v="0"/>
  </r>
  <r>
    <n v="13"/>
    <s v="GODFREY BIRUNGI"/>
    <d v="1899-12-30T20:38:27"/>
    <d v="1899-12-30T20:38:31"/>
    <d v="1899-12-30T22:20:52"/>
    <s v="1 hr 42 min 17s"/>
    <s v="kdm-nwwh-zkg"/>
    <x v="29"/>
    <d v="1899-12-30T01:42:25"/>
    <d v="1899-12-30T02:11:13"/>
    <n v="1"/>
    <n v="0"/>
  </r>
  <r>
    <n v="14"/>
    <s v="HELLEN ARIMPA"/>
    <d v="1899-12-30T20:38:27"/>
    <d v="1899-12-30T20:38:31"/>
    <d v="1899-12-30T22:20:52"/>
    <s v="1 hr 8 min 18s"/>
    <s v="kdm-nwwh-zkg"/>
    <x v="29"/>
    <d v="1899-12-30T01:42:25"/>
    <d v="1899-12-30T02:11:18"/>
    <n v="1"/>
    <n v="0"/>
  </r>
  <r>
    <n v="15"/>
    <s v="HENRY CHELELE"/>
    <d v="1899-12-30T20:38:27"/>
    <d v="1899-12-30T20:38:31"/>
    <d v="1899-12-30T22:20:52"/>
    <s v="1 hr 42 min 17s"/>
    <s v="kdm-nwwh-zkg"/>
    <x v="29"/>
    <d v="1899-12-30T01:42:25"/>
    <d v="1899-12-30T02:11:24"/>
    <n v="1"/>
    <n v="0"/>
  </r>
  <r>
    <n v="16"/>
    <s v="ISAAC OGWANG"/>
    <d v="1899-12-30T20:38:27"/>
    <d v="1899-12-30T20:38:31"/>
    <d v="1899-12-30T22:20:52"/>
    <s v="1 hr 8 min 18s"/>
    <s v="kdm-nwwh-zkg"/>
    <x v="29"/>
    <d v="1899-12-30T01:42:25"/>
    <d v="1899-12-30T02:11:29"/>
    <n v="1"/>
    <n v="0"/>
  </r>
  <r>
    <n v="17"/>
    <s v="JACQUELINE NAMYALO"/>
    <d v="1899-12-30T20:38:27"/>
    <d v="1899-12-30T20:38:31"/>
    <d v="1899-12-30T22:20:52"/>
    <s v="1 hr 8 min 18s"/>
    <s v="kdm-nwwh-zkg"/>
    <x v="29"/>
    <d v="1899-12-30T01:42:25"/>
    <d v="1899-12-30T02:11:35"/>
    <n v="1"/>
    <n v="0"/>
  </r>
  <r>
    <n v="18"/>
    <s v="JOHN RWARU"/>
    <d v="1899-12-30T20:38:27"/>
    <d v="1899-12-30T20:38:31"/>
    <d v="1899-12-30T22:20:52"/>
    <s v="1 hr 42 min 17s"/>
    <s v="kdm-nwwh-zkg"/>
    <x v="29"/>
    <d v="1899-12-30T01:42:25"/>
    <d v="1899-12-30T02:11:40"/>
    <n v="1"/>
    <n v="0"/>
  </r>
  <r>
    <n v="19"/>
    <s v="JOSEPH MBOGO"/>
    <d v="1899-12-30T20:38:27"/>
    <d v="1899-12-30T20:38:31"/>
    <d v="1899-12-30T22:20:52"/>
    <s v="1 hr 42 min 17s"/>
    <s v="kdm-nwwh-zkg"/>
    <x v="29"/>
    <d v="1899-12-30T01:42:25"/>
    <d v="1899-12-30T02:11:46"/>
    <n v="1"/>
    <n v="0"/>
  </r>
  <r>
    <n v="20"/>
    <s v="JOSEPH SAMILA"/>
    <d v="1899-12-30T20:38:27"/>
    <d v="1899-12-30T21:46:53"/>
    <d v="1899-12-30T22:20:52"/>
    <s v="33 min 59s"/>
    <s v="kdm-nwwh-zkg"/>
    <x v="29"/>
    <d v="1899-12-30T01:42:25"/>
    <d v="1899-12-30T02:11:51"/>
    <n v="1"/>
    <n v="0"/>
  </r>
  <r>
    <n v="21"/>
    <s v="JOSHUA MHAKURE"/>
    <d v="1899-12-30T20:38:27"/>
    <d v="1899-12-30T20:38:31"/>
    <d v="1899-12-30T22:20:52"/>
    <s v="1 hr 42 min 17s"/>
    <s v="kdm-nwwh-zkg"/>
    <x v="29"/>
    <d v="1899-12-30T01:42:25"/>
    <d v="1899-12-30T02:11:57"/>
    <n v="1"/>
    <n v="0"/>
  </r>
  <r>
    <n v="22"/>
    <s v="JULIUS K CHERUIYOT"/>
    <d v="1899-12-30T20:38:27"/>
    <d v="1899-12-30T20:38:39"/>
    <d v="1899-12-30T22:20:52"/>
    <s v="1 hr 42 min 9s"/>
    <s v="kdm-nwwh-zkg"/>
    <x v="29"/>
    <d v="1899-12-30T01:42:25"/>
    <d v="1899-12-30T02:12:03"/>
    <n v="1"/>
    <n v="0"/>
  </r>
  <r>
    <n v="23"/>
    <s v="KAKOOZA GODFREY"/>
    <d v="1899-12-30T20:38:27"/>
    <d v="1899-12-30T20:38:31"/>
    <d v="1899-12-30T22:20:52"/>
    <s v="1 hr 8 min 18s"/>
    <s v="kdm-nwwh-zkg"/>
    <x v="29"/>
    <d v="1899-12-30T01:42:25"/>
    <d v="1899-12-30T02:12:08"/>
    <n v="1"/>
    <n v="0"/>
  </r>
  <r>
    <n v="24"/>
    <s v="KAMAU RUTH"/>
    <d v="1899-12-30T20:38:27"/>
    <d v="1899-12-30T20:38:31"/>
    <d v="1899-12-30T22:20:52"/>
    <s v="1 hr 42 min 17s"/>
    <s v="kdm-nwwh-zkg"/>
    <x v="29"/>
    <d v="1899-12-30T01:42:25"/>
    <d v="1899-12-30T02:12:14"/>
    <n v="1"/>
    <n v="0"/>
  </r>
  <r>
    <n v="25"/>
    <s v="KANANURA GASTON"/>
    <d v="1899-12-30T20:38:27"/>
    <d v="1899-12-30T20:38:31"/>
    <d v="1899-12-30T22:20:52"/>
    <s v="1 hr 42 min 17s"/>
    <s v="kdm-nwwh-zkg"/>
    <x v="29"/>
    <d v="1899-12-30T01:42:25"/>
    <d v="1899-12-30T02:12:20"/>
    <n v="1"/>
    <n v="0"/>
  </r>
  <r>
    <n v="26"/>
    <s v="LOKOSE ABEL"/>
    <d v="1899-12-30T20:38:27"/>
    <d v="1899-12-30T21:46:53"/>
    <d v="1899-12-30T22:20:52"/>
    <s v="33 min 59s"/>
    <s v="kdm-nwwh-zkg"/>
    <x v="29"/>
    <d v="1899-12-30T01:42:25"/>
    <d v="1899-12-30T02:12:26"/>
    <n v="1"/>
    <n v="0"/>
  </r>
  <r>
    <n v="27"/>
    <s v="MAGHOGHO BOB"/>
    <d v="1899-12-30T20:38:27"/>
    <d v="1899-12-30T20:38:31"/>
    <d v="1899-12-30T22:20:52"/>
    <s v="1 hr 8 min 18s"/>
    <s v="kdm-nwwh-zkg"/>
    <x v="29"/>
    <d v="1899-12-30T01:42:25"/>
    <d v="1899-12-30T02:12:32"/>
    <n v="1"/>
    <n v="0"/>
  </r>
  <r>
    <n v="28"/>
    <s v="MARGARET NASSOLO"/>
    <d v="1899-12-30T20:38:27"/>
    <d v="1899-12-30T20:38:31"/>
    <d v="1899-12-30T22:20:52"/>
    <s v="1 hr 42 min 17s"/>
    <s v="kdm-nwwh-zkg"/>
    <x v="29"/>
    <d v="1899-12-30T01:42:25"/>
    <d v="1899-12-30T02:12:38"/>
    <n v="1"/>
    <n v="0"/>
  </r>
  <r>
    <n v="29"/>
    <s v="MARTIN LEMI"/>
    <d v="1899-12-30T20:38:27"/>
    <d v="1899-12-30T20:38:31"/>
    <d v="1899-12-30T22:20:52"/>
    <s v="1 hr 42 min 17s"/>
    <s v="kdm-nwwh-zkg"/>
    <x v="29"/>
    <d v="1899-12-30T01:42:25"/>
    <d v="1899-12-30T02:12:43"/>
    <n v="1"/>
    <n v="0"/>
  </r>
  <r>
    <n v="30"/>
    <s v="MARY NAMUKOKO"/>
    <d v="1899-12-30T20:38:27"/>
    <d v="1899-12-30T20:38:31"/>
    <d v="1899-12-30T22:20:52"/>
    <s v="1 hr 8 min 18s"/>
    <s v="kdm-nwwh-zkg"/>
    <x v="29"/>
    <d v="1899-12-30T01:42:25"/>
    <d v="1899-12-30T02:12:49"/>
    <n v="1"/>
    <n v="0"/>
  </r>
  <r>
    <n v="31"/>
    <s v="MILDRED DRUSILA"/>
    <d v="1899-12-30T20:38:27"/>
    <d v="1899-12-30T20:38:31"/>
    <d v="1899-12-30T22:20:52"/>
    <s v="1 hr 42 min 17s"/>
    <s v="kdm-nwwh-zkg"/>
    <x v="29"/>
    <d v="1899-12-30T01:42:25"/>
    <d v="1899-12-30T02:12:55"/>
    <n v="1"/>
    <n v="0"/>
  </r>
  <r>
    <n v="32"/>
    <s v="MOHAMED SALLY KAMARA"/>
    <d v="1899-12-30T20:38:27"/>
    <d v="1899-12-30T20:38:31"/>
    <d v="1899-12-30T22:20:52"/>
    <s v="1 hr 42 min 17s"/>
    <s v="kdm-nwwh-zkg"/>
    <x v="29"/>
    <d v="1899-12-30T01:42:25"/>
    <d v="1899-12-30T02:13:02"/>
    <n v="1"/>
    <n v="0"/>
  </r>
  <r>
    <n v="33"/>
    <s v="MOZE KEYZ"/>
    <d v="1899-12-30T20:38:27"/>
    <d v="1899-12-30T20:38:31"/>
    <d v="1899-12-30T22:20:52"/>
    <s v="1 hr 8 min 18s"/>
    <s v="kdm-nwwh-zkg"/>
    <x v="29"/>
    <d v="1899-12-30T01:42:25"/>
    <d v="1899-12-30T02:13:08"/>
    <n v="1"/>
    <n v="0"/>
  </r>
  <r>
    <n v="34"/>
    <s v="NASSAMULA JOSEPHINE"/>
    <d v="1899-12-30T20:38:27"/>
    <d v="1899-12-30T20:38:31"/>
    <d v="1899-12-30T22:20:52"/>
    <s v="1 hr 42 min 17s"/>
    <s v="kdm-nwwh-zkg"/>
    <x v="29"/>
    <d v="1899-12-30T01:42:25"/>
    <d v="1899-12-30T02:13:14"/>
    <n v="1"/>
    <n v="0"/>
  </r>
  <r>
    <n v="35"/>
    <s v="ODUTI SAVIOUR"/>
    <d v="1899-12-30T20:38:27"/>
    <d v="1899-12-30T20:38:31"/>
    <d v="1899-12-30T22:20:52"/>
    <s v="1 hr 42 min 17s"/>
    <s v="kdm-nwwh-zkg"/>
    <x v="29"/>
    <d v="1899-12-30T01:42:25"/>
    <d v="1899-12-30T02:13:20"/>
    <n v="1"/>
    <n v="0"/>
  </r>
  <r>
    <n v="36"/>
    <s v="OMELLA OWEN"/>
    <d v="1899-12-30T20:38:27"/>
    <d v="1899-12-30T20:38:31"/>
    <d v="1899-12-30T22:20:52"/>
    <s v="1 hr 42 min 17s"/>
    <s v="kdm-nwwh-zkg"/>
    <x v="29"/>
    <d v="1899-12-30T01:42:25"/>
    <d v="1899-12-30T02:13:26"/>
    <n v="1"/>
    <n v="0"/>
  </r>
  <r>
    <n v="37"/>
    <s v="ONE MAN"/>
    <d v="1899-12-30T20:38:27"/>
    <d v="1899-12-30T20:38:31"/>
    <d v="1899-12-30T22:20:52"/>
    <s v="1 hr 42 min 17s"/>
    <s v="kdm-nwwh-zkg"/>
    <x v="29"/>
    <d v="1899-12-30T01:42:25"/>
    <d v="1899-12-30T02:13:32"/>
    <n v="1"/>
    <n v="0"/>
  </r>
  <r>
    <n v="38"/>
    <s v="ONESMUS KORIR"/>
    <d v="1899-12-30T20:38:27"/>
    <d v="1899-12-30T20:38:31"/>
    <d v="1899-12-30T22:20:52"/>
    <s v="1 hr 42 min 17s"/>
    <s v="kdm-nwwh-zkg"/>
    <x v="29"/>
    <d v="1899-12-30T01:42:25"/>
    <d v="1899-12-30T02:13:39"/>
    <n v="1"/>
    <n v="0"/>
  </r>
  <r>
    <n v="39"/>
    <s v="PRINCESS.MAJOLA"/>
    <d v="1899-12-30T20:38:27"/>
    <d v="1899-12-30T20:38:31"/>
    <d v="1899-12-30T22:20:52"/>
    <s v="1 hr 42 min 17s"/>
    <s v="kdm-nwwh-zkg"/>
    <x v="29"/>
    <d v="1899-12-30T01:42:25"/>
    <d v="1899-12-30T02:13:45"/>
    <n v="1"/>
    <n v="0"/>
  </r>
  <r>
    <n v="40"/>
    <s v="RACHEAL KYALIMPA"/>
    <d v="1899-12-30T20:38:27"/>
    <d v="1899-12-30T20:38:31"/>
    <d v="1899-12-30T22:20:52"/>
    <s v="1 hr 42 min 17s"/>
    <s v="kdm-nwwh-zkg"/>
    <x v="29"/>
    <d v="1899-12-30T01:42:25"/>
    <d v="1899-12-30T02:13:51"/>
    <n v="1"/>
    <n v="0"/>
  </r>
  <r>
    <n v="41"/>
    <s v="ROBERT MAKUBS"/>
    <d v="1899-12-30T20:38:27"/>
    <d v="1899-12-30T20:38:31"/>
    <d v="1899-12-30T22:20:52"/>
    <s v="1 hr 42 min 17s"/>
    <s v="kdm-nwwh-zkg"/>
    <x v="29"/>
    <d v="1899-12-30T01:42:25"/>
    <d v="1899-12-30T02:13:58"/>
    <n v="1"/>
    <n v="0"/>
  </r>
  <r>
    <n v="42"/>
    <s v="RTN JOSES KAYUNGA"/>
    <d v="1899-12-30T20:38:27"/>
    <d v="1899-12-30T20:38:31"/>
    <d v="1899-12-30T22:20:52"/>
    <s v="1 hr 42 min 17s"/>
    <s v="kdm-nwwh-zkg"/>
    <x v="29"/>
    <d v="1899-12-30T01:42:25"/>
    <d v="1899-12-30T02:14:04"/>
    <n v="1"/>
    <n v="0"/>
  </r>
  <r>
    <n v="43"/>
    <s v="SABO MIKE"/>
    <d v="1899-12-30T20:38:27"/>
    <d v="1899-12-30T21:46:53"/>
    <d v="1899-12-30T22:20:52"/>
    <s v="33 min 59s"/>
    <s v="kdm-nwwh-zkg"/>
    <x v="29"/>
    <d v="1899-12-30T01:42:25"/>
    <d v="1899-12-30T02:14:11"/>
    <n v="1"/>
    <n v="0"/>
  </r>
  <r>
    <n v="44"/>
    <s v="SIMONPETER OUMA"/>
    <d v="1899-12-30T20:38:27"/>
    <d v="1899-12-30T20:38:31"/>
    <d v="1899-12-30T22:20:52"/>
    <s v="1 hr 42 min 17s"/>
    <s v="kdm-nwwh-zkg"/>
    <x v="29"/>
    <d v="1899-12-30T01:42:25"/>
    <d v="1899-12-30T02:14:18"/>
    <n v="1"/>
    <n v="0"/>
  </r>
  <r>
    <n v="45"/>
    <s v="THIS IS LINUS SANKEI"/>
    <d v="1899-12-30T20:38:27"/>
    <d v="1899-12-30T20:38:31"/>
    <d v="1899-12-30T22:20:52"/>
    <s v="1 hr 42 min 17s"/>
    <s v="kdm-nwwh-zkg"/>
    <x v="29"/>
    <d v="1899-12-30T01:42:25"/>
    <d v="1899-12-30T02:14:24"/>
    <n v="1"/>
    <n v="0"/>
  </r>
  <r>
    <n v="46"/>
    <s v="TORY MOLS"/>
    <d v="1899-12-30T20:38:27"/>
    <d v="1899-12-30T20:38:31"/>
    <d v="1899-12-30T22:20:52"/>
    <s v="1 hr 42 min 17s"/>
    <s v="kdm-nwwh-zkg"/>
    <x v="29"/>
    <d v="1899-12-30T01:42:25"/>
    <d v="1899-12-30T02:14:31"/>
    <n v="1"/>
    <n v="0"/>
  </r>
  <r>
    <n v="47"/>
    <s v="TURINAWE PATIENCE"/>
    <d v="1899-12-30T20:38:27"/>
    <d v="1899-12-30T20:38:31"/>
    <d v="1899-12-30T22:20:52"/>
    <s v="1 hr 42 min 17s"/>
    <s v="kdm-nwwh-zkg"/>
    <x v="29"/>
    <d v="1899-12-30T01:42:25"/>
    <d v="1899-12-30T02:14:38"/>
    <n v="1"/>
    <n v="0"/>
  </r>
  <r>
    <n v="48"/>
    <s v="VITALIS KOECH"/>
    <d v="1899-12-30T20:38:27"/>
    <d v="1899-12-30T21:46:53"/>
    <d v="1899-12-30T22:20:52"/>
    <s v="33 min 59s"/>
    <s v="kdm-nwwh-zkg"/>
    <x v="29"/>
    <d v="1899-12-30T01:42:25"/>
    <d v="1899-12-30T02:14:44"/>
    <n v="1"/>
    <n v="0"/>
  </r>
  <r>
    <n v="1"/>
    <s v="ANTHONY GODSON AIDOO"/>
    <d v="1899-12-30T20:06:45"/>
    <d v="1899-12-30T22:16:07"/>
    <d v="1899-12-30T22:16:18"/>
    <s v="0 min 10s"/>
    <s v="ymy-awtg-ykd"/>
    <x v="30"/>
    <d v="1899-12-30T02:09:33"/>
    <d v="1899-12-30T02:14:51"/>
    <n v="1"/>
    <n v="0"/>
  </r>
  <r>
    <n v="2"/>
    <s v="ARON NTULIZE"/>
    <d v="1899-12-30T20:06:45"/>
    <d v="1899-12-30T20:35:34"/>
    <d v="1899-12-30T22:16:18"/>
    <s v="1 hr 40 min 36s"/>
    <s v="ymy-awtg-ykd"/>
    <x v="30"/>
    <d v="1899-12-30T02:09:33"/>
    <d v="1899-12-30T02:14:52"/>
    <n v="1"/>
    <n v="0"/>
  </r>
  <r>
    <n v="3"/>
    <s v="BENJAMIN MALES LOKOYA"/>
    <d v="1899-12-30T20:06:45"/>
    <d v="1899-12-30T20:35:34"/>
    <d v="1899-12-30T22:16:18"/>
    <s v="1 hr 40 min 36s"/>
    <s v="ymy-awtg-ykd"/>
    <x v="30"/>
    <d v="1899-12-30T02:09:33"/>
    <d v="1899-12-30T02:14:53"/>
    <n v="1"/>
    <n v="0"/>
  </r>
  <r>
    <n v="4"/>
    <s v="CHANDIA FRED"/>
    <d v="1899-12-30T20:06:45"/>
    <d v="1899-12-30T20:35:34"/>
    <d v="1899-12-30T22:16:18"/>
    <s v="1 hr 40 min 28s"/>
    <s v="ymy-awtg-ykd"/>
    <x v="30"/>
    <d v="1899-12-30T02:09:33"/>
    <d v="1899-12-30T02:14:54"/>
    <n v="1"/>
    <n v="0"/>
  </r>
  <r>
    <n v="5"/>
    <s v="CHERUU JUL"/>
    <d v="1899-12-30T20:06:45"/>
    <d v="1899-12-30T20:35:34"/>
    <d v="1899-12-30T22:16:18"/>
    <s v="56 min 27s"/>
    <s v="ymy-awtg-ykd"/>
    <x v="30"/>
    <d v="1899-12-30T02:09:33"/>
    <d v="1899-12-30T02:14:56"/>
    <n v="1"/>
    <n v="0"/>
  </r>
  <r>
    <n v="6"/>
    <s v="CHRISTINA MOTHOBI"/>
    <d v="1899-12-30T20:06:45"/>
    <d v="1899-12-30T20:37:27"/>
    <d v="1899-12-30T22:16:18"/>
    <s v="1 hr 38 min 33s"/>
    <s v="ymy-awtg-ykd"/>
    <x v="30"/>
    <d v="1899-12-30T02:09:33"/>
    <d v="1899-12-30T02:14:57"/>
    <n v="1"/>
    <n v="0"/>
  </r>
  <r>
    <n v="7"/>
    <s v="DANIEL ERABU"/>
    <d v="1899-12-30T20:06:45"/>
    <d v="1899-12-30T20:35:34"/>
    <d v="1899-12-30T22:16:18"/>
    <s v="1 hr 40 min 26s"/>
    <s v="ymy-awtg-ykd"/>
    <x v="30"/>
    <d v="1899-12-30T02:09:33"/>
    <d v="1899-12-30T02:14:58"/>
    <n v="1"/>
    <n v="0"/>
  </r>
  <r>
    <n v="8"/>
    <s v="EL MAJID SWALEH"/>
    <d v="1899-12-30T20:06:45"/>
    <d v="1899-12-30T20:35:34"/>
    <d v="1899-12-30T22:16:18"/>
    <s v="1 hr 40 min 26s"/>
    <s v="ymy-awtg-ykd"/>
    <x v="30"/>
    <d v="1899-12-30T02:09:33"/>
    <d v="1899-12-30T02:14:59"/>
    <n v="1"/>
    <n v="0"/>
  </r>
  <r>
    <n v="9"/>
    <s v="EMMANUEL JOBS"/>
    <d v="1899-12-30T20:06:45"/>
    <d v="1899-12-30T20:35:34"/>
    <d v="1899-12-30T22:16:18"/>
    <s v="1 hr 40 min 33s"/>
    <s v="ymy-awtg-ykd"/>
    <x v="30"/>
    <d v="1899-12-30T02:09:33"/>
    <d v="1899-12-30T02:15:00"/>
    <n v="1"/>
    <n v="0"/>
  </r>
  <r>
    <n v="10"/>
    <s v="FREDY BAHILI"/>
    <d v="1899-12-30T20:06:45"/>
    <d v="1899-12-30T21:21:43"/>
    <d v="1899-12-30T22:16:18"/>
    <s v="54 min 34s"/>
    <s v="ymy-awtg-ykd"/>
    <x v="30"/>
    <d v="1899-12-30T02:09:33"/>
    <d v="1899-12-30T02:15:01"/>
    <n v="1"/>
    <n v="0"/>
  </r>
  <r>
    <n v="11"/>
    <s v="GEOFFREY OYET"/>
    <d v="1899-12-30T20:06:45"/>
    <d v="1899-12-30T21:21:43"/>
    <d v="1899-12-30T22:16:18"/>
    <s v="54 min 34s"/>
    <s v="ymy-awtg-ykd"/>
    <x v="30"/>
    <d v="1899-12-30T02:09:33"/>
    <d v="1899-12-30T02:15:03"/>
    <n v="1"/>
    <n v="0"/>
  </r>
  <r>
    <n v="12"/>
    <s v="GODFREY BIRUNGI"/>
    <d v="1899-12-30T20:06:45"/>
    <d v="1899-12-30T20:06:48"/>
    <d v="1899-12-30T22:16:18"/>
    <s v="2 hr 9 min 19s"/>
    <s v="ymy-awtg-ykd"/>
    <x v="30"/>
    <d v="1899-12-30T02:09:33"/>
    <d v="1899-12-30T02:15:04"/>
    <n v="1"/>
    <n v="0"/>
  </r>
  <r>
    <n v="13"/>
    <s v="HENRY CHELELE"/>
    <d v="1899-12-30T20:06:45"/>
    <d v="1899-12-30T20:35:34"/>
    <d v="1899-12-30T22:16:18"/>
    <s v="1 hr 40 min 26s"/>
    <s v="ymy-awtg-ykd"/>
    <x v="30"/>
    <d v="1899-12-30T02:09:33"/>
    <d v="1899-12-30T02:15:05"/>
    <n v="1"/>
    <n v="0"/>
  </r>
  <r>
    <n v="14"/>
    <s v="IBRAHIM JALLOH"/>
    <d v="1899-12-30T20:06:45"/>
    <d v="1899-12-30T21:21:43"/>
    <d v="1899-12-30T22:16:18"/>
    <s v="54 min 24s"/>
    <s v="ymy-awtg-ykd"/>
    <x v="30"/>
    <d v="1899-12-30T02:09:33"/>
    <d v="1899-12-30T02:15:06"/>
    <n v="1"/>
    <n v="0"/>
  </r>
  <r>
    <n v="15"/>
    <s v="ISAAC OGWANG"/>
    <d v="1899-12-30T20:06:45"/>
    <d v="1899-12-30T20:35:34"/>
    <d v="1899-12-30T22:16:18"/>
    <s v="1 hr 40 min 36s"/>
    <s v="ymy-awtg-ykd"/>
    <x v="30"/>
    <d v="1899-12-30T02:09:33"/>
    <d v="1899-12-30T02:15:07"/>
    <n v="1"/>
    <n v="0"/>
  </r>
  <r>
    <n v="16"/>
    <s v="IZARUKU RONALD"/>
    <d v="1899-12-30T20:06:45"/>
    <d v="1899-12-30T21:21:43"/>
    <d v="1899-12-30T22:16:18"/>
    <s v="54 min 24s"/>
    <s v="ymy-awtg-ykd"/>
    <x v="30"/>
    <d v="1899-12-30T02:09:33"/>
    <d v="1899-12-30T02:15:09"/>
    <n v="1"/>
    <n v="0"/>
  </r>
  <r>
    <n v="17"/>
    <s v="JACQUELINE NAMYALO"/>
    <d v="1899-12-30T20:06:45"/>
    <d v="1899-12-30T20:35:34"/>
    <d v="1899-12-30T22:16:18"/>
    <s v="1 hr 40 min 26s"/>
    <s v="ymy-awtg-ykd"/>
    <x v="30"/>
    <d v="1899-12-30T02:09:33"/>
    <d v="1899-12-30T02:15:10"/>
    <n v="1"/>
    <n v="0"/>
  </r>
  <r>
    <n v="18"/>
    <s v="JOHN RWARU"/>
    <d v="1899-12-30T20:06:45"/>
    <d v="1899-12-30T20:35:34"/>
    <d v="1899-12-30T22:16:18"/>
    <s v="1 hr 40 min 26s"/>
    <s v="ymy-awtg-ykd"/>
    <x v="30"/>
    <d v="1899-12-30T02:09:33"/>
    <d v="1899-12-30T02:15:11"/>
    <n v="1"/>
    <n v="0"/>
  </r>
  <r>
    <n v="19"/>
    <s v="JOSEPH MBOGO"/>
    <d v="1899-12-30T20:06:45"/>
    <d v="1899-12-30T20:35:34"/>
    <d v="1899-12-30T22:16:18"/>
    <s v="1 hr 40 min 36s"/>
    <s v="ymy-awtg-ykd"/>
    <x v="30"/>
    <d v="1899-12-30T02:09:33"/>
    <d v="1899-12-30T02:15:13"/>
    <n v="1"/>
    <n v="0"/>
  </r>
  <r>
    <n v="20"/>
    <s v="JOSEPH SAMILA"/>
    <d v="1899-12-30T20:06:45"/>
    <d v="1899-12-30T21:21:43"/>
    <d v="1899-12-30T22:16:18"/>
    <s v="54 min 34s"/>
    <s v="ymy-awtg-ykd"/>
    <x v="30"/>
    <d v="1899-12-30T02:09:33"/>
    <d v="1899-12-30T02:15:14"/>
    <n v="1"/>
    <n v="0"/>
  </r>
  <r>
    <n v="21"/>
    <s v="JOSHUA MHAKURE"/>
    <d v="1899-12-30T20:06:45"/>
    <d v="1899-12-30T20:37:27"/>
    <d v="1899-12-30T22:16:18"/>
    <s v="1 hr 38 min 33s"/>
    <s v="ymy-awtg-ykd"/>
    <x v="30"/>
    <d v="1899-12-30T02:09:33"/>
    <d v="1899-12-30T02:15:15"/>
    <n v="1"/>
    <n v="0"/>
  </r>
  <r>
    <n v="22"/>
    <s v="JULIUS K CHERUIYOT"/>
    <d v="1899-12-30T20:06:45"/>
    <d v="1899-12-30T20:35:34"/>
    <d v="1899-12-30T22:16:18"/>
    <s v="1 hr 40 min 36s"/>
    <s v="ymy-awtg-ykd"/>
    <x v="30"/>
    <d v="1899-12-30T02:09:33"/>
    <d v="1899-12-30T02:15:16"/>
    <n v="1"/>
    <n v="0"/>
  </r>
  <r>
    <n v="23"/>
    <s v="KAMAU RUTH"/>
    <d v="1899-12-30T20:06:45"/>
    <d v="1899-12-30T20:35:34"/>
    <d v="1899-12-30T22:16:18"/>
    <s v="1 hr 40 min 32s"/>
    <s v="ymy-awtg-ykd"/>
    <x v="30"/>
    <d v="1899-12-30T02:09:33"/>
    <d v="1899-12-30T02:15:18"/>
    <n v="1"/>
    <n v="0"/>
  </r>
  <r>
    <n v="24"/>
    <s v="KANANURA GASTON"/>
    <d v="1899-12-30T20:06:45"/>
    <d v="1899-12-30T20:35:34"/>
    <d v="1899-12-30T22:16:18"/>
    <s v="1 hr 40 min 36s"/>
    <s v="ymy-awtg-ykd"/>
    <x v="30"/>
    <d v="1899-12-30T02:09:33"/>
    <d v="1899-12-30T02:15:19"/>
    <n v="1"/>
    <n v="0"/>
  </r>
  <r>
    <n v="25"/>
    <s v="LOKOSE ABEL"/>
    <d v="1899-12-30T20:06:45"/>
    <d v="1899-12-30T20:35:34"/>
    <d v="1899-12-30T22:16:18"/>
    <s v="1 hr 40 min 36s"/>
    <s v="ymy-awtg-ykd"/>
    <x v="30"/>
    <d v="1899-12-30T02:09:33"/>
    <d v="1899-12-30T02:15:20"/>
    <n v="1"/>
    <n v="0"/>
  </r>
  <r>
    <n v="26"/>
    <s v="MARGARET NASSOLO"/>
    <d v="1899-12-30T20:06:45"/>
    <d v="1899-12-30T20:35:34"/>
    <d v="1899-12-30T22:16:18"/>
    <s v="1 hr 40 min 26s"/>
    <s v="ymy-awtg-ykd"/>
    <x v="30"/>
    <d v="1899-12-30T02:09:33"/>
    <d v="1899-12-30T02:15:22"/>
    <n v="1"/>
    <n v="0"/>
  </r>
  <r>
    <n v="27"/>
    <s v="MARTIN LEMI"/>
    <d v="1899-12-30T20:06:45"/>
    <d v="1899-12-30T20:35:34"/>
    <d v="1899-12-30T22:16:18"/>
    <s v="1 hr 40 min 36s"/>
    <s v="ymy-awtg-ykd"/>
    <x v="30"/>
    <d v="1899-12-30T02:09:33"/>
    <d v="1899-12-30T02:15:23"/>
    <n v="1"/>
    <n v="0"/>
  </r>
  <r>
    <n v="28"/>
    <s v="MARY NAMUKOKO"/>
    <d v="1899-12-30T20:06:45"/>
    <d v="1899-12-30T21:21:43"/>
    <d v="1899-12-30T22:16:18"/>
    <s v="54 min 24s"/>
    <s v="ymy-awtg-ykd"/>
    <x v="30"/>
    <d v="1899-12-30T02:09:33"/>
    <d v="1899-12-30T02:15:24"/>
    <n v="1"/>
    <n v="0"/>
  </r>
  <r>
    <n v="29"/>
    <s v="MILDRED DRUSILA"/>
    <d v="1899-12-30T20:06:45"/>
    <d v="1899-12-30T20:35:34"/>
    <d v="1899-12-30T22:16:18"/>
    <s v="1 hr 40 min 36s"/>
    <s v="ymy-awtg-ykd"/>
    <x v="30"/>
    <d v="1899-12-30T02:09:33"/>
    <d v="1899-12-30T02:15:26"/>
    <n v="1"/>
    <n v="0"/>
  </r>
  <r>
    <n v="30"/>
    <s v="MOHAMED KABIA"/>
    <d v="1899-12-30T20:06:45"/>
    <d v="1899-12-30T21:21:43"/>
    <d v="1899-12-30T22:16:18"/>
    <s v="54 min 34s"/>
    <s v="ymy-awtg-ykd"/>
    <x v="30"/>
    <d v="1899-12-30T02:09:33"/>
    <d v="1899-12-30T02:15:27"/>
    <n v="1"/>
    <n v="0"/>
  </r>
  <r>
    <n v="31"/>
    <s v="MOHAMED SALLY KAMARA"/>
    <d v="1899-12-30T20:06:45"/>
    <d v="1899-12-30T20:35:34"/>
    <d v="1899-12-30T22:16:18"/>
    <s v="1 hr 40 min 33s"/>
    <s v="ymy-awtg-ykd"/>
    <x v="30"/>
    <d v="1899-12-30T02:09:33"/>
    <d v="1899-12-30T02:15:28"/>
    <n v="1"/>
    <n v="0"/>
  </r>
  <r>
    <n v="32"/>
    <s v="MORIBA KOROMA"/>
    <d v="1899-12-30T20:06:45"/>
    <d v="1899-12-30T20:35:34"/>
    <d v="1899-12-30T22:16:18"/>
    <s v="1 hr 40 min 36s"/>
    <s v="ymy-awtg-ykd"/>
    <x v="30"/>
    <d v="1899-12-30T02:09:33"/>
    <d v="1899-12-30T02:15:30"/>
    <n v="1"/>
    <n v="0"/>
  </r>
  <r>
    <n v="33"/>
    <s v="MOZE KEYZ"/>
    <d v="1899-12-30T20:06:45"/>
    <d v="1899-12-30T21:21:43"/>
    <d v="1899-12-30T22:16:18"/>
    <s v="54 min 24s"/>
    <s v="ymy-awtg-ykd"/>
    <x v="30"/>
    <d v="1899-12-30T02:09:33"/>
    <d v="1899-12-30T02:15:31"/>
    <n v="1"/>
    <n v="0"/>
  </r>
  <r>
    <n v="34"/>
    <s v="OKABO GEOFFREY"/>
    <d v="1899-12-30T20:06:45"/>
    <d v="1899-12-30T20:35:34"/>
    <d v="1899-12-30T22:16:18"/>
    <s v="46 min 12s"/>
    <s v="ymy-awtg-ykd"/>
    <x v="30"/>
    <d v="1899-12-30T02:09:33"/>
    <d v="1899-12-30T02:15:33"/>
    <n v="1"/>
    <n v="0"/>
  </r>
  <r>
    <n v="35"/>
    <s v="OMBASO JARED"/>
    <d v="1899-12-30T20:06:45"/>
    <d v="1899-12-30T21:21:43"/>
    <d v="1899-12-30T22:16:18"/>
    <s v="54 min 24s"/>
    <s v="ymy-awtg-ykd"/>
    <x v="30"/>
    <d v="1899-12-30T02:09:33"/>
    <d v="1899-12-30T02:15:34"/>
    <n v="1"/>
    <n v="0"/>
  </r>
  <r>
    <n v="36"/>
    <s v="OMELLA OWEN"/>
    <d v="1899-12-30T20:06:45"/>
    <d v="1899-12-30T20:37:30"/>
    <d v="1899-12-30T22:16:18"/>
    <s v="1 hr 38 min 40s"/>
    <s v="ymy-awtg-ykd"/>
    <x v="30"/>
    <d v="1899-12-30T02:09:33"/>
    <d v="1899-12-30T02:15:36"/>
    <n v="1"/>
    <n v="0"/>
  </r>
  <r>
    <n v="37"/>
    <s v="ONE MAN"/>
    <d v="1899-12-30T20:06:45"/>
    <d v="1899-12-30T20:35:34"/>
    <d v="1899-12-30T22:16:18"/>
    <s v="1 hr 40 min 26s"/>
    <s v="ymy-awtg-ykd"/>
    <x v="30"/>
    <d v="1899-12-30T02:09:33"/>
    <d v="1899-12-30T02:15:37"/>
    <n v="1"/>
    <n v="0"/>
  </r>
  <r>
    <n v="38"/>
    <s v="ONESMUS KORIR"/>
    <d v="1899-12-30T20:06:45"/>
    <d v="1899-12-30T20:06:48"/>
    <d v="1899-12-30T22:16:18"/>
    <s v="2 hr 9 min 18s"/>
    <s v="ymy-awtg-ykd"/>
    <x v="30"/>
    <d v="1899-12-30T02:09:33"/>
    <d v="1899-12-30T02:15:39"/>
    <n v="1"/>
    <n v="0"/>
  </r>
  <r>
    <n v="39"/>
    <s v="RACHEAL KYALIMPA"/>
    <d v="1899-12-30T20:06:45"/>
    <d v="1899-12-30T20:35:34"/>
    <d v="1899-12-30T22:16:18"/>
    <s v="1 hr 40 min 27s"/>
    <s v="ymy-awtg-ykd"/>
    <x v="30"/>
    <d v="1899-12-30T02:09:33"/>
    <d v="1899-12-30T02:15:40"/>
    <n v="1"/>
    <n v="0"/>
  </r>
  <r>
    <n v="40"/>
    <s v="ROBERT MAKUBS"/>
    <d v="1899-12-30T20:06:45"/>
    <d v="1899-12-30T20:35:34"/>
    <d v="1899-12-30T22:16:18"/>
    <s v="1 hr 40 min 26s"/>
    <s v="ymy-awtg-ykd"/>
    <x v="30"/>
    <d v="1899-12-30T02:09:33"/>
    <d v="1899-12-30T02:15:41"/>
    <n v="1"/>
    <n v="0"/>
  </r>
  <r>
    <n v="41"/>
    <s v="RODNEY MUKUNZI"/>
    <d v="1899-12-30T20:06:45"/>
    <d v="1899-12-30T20:37:27"/>
    <d v="1899-12-30T22:16:18"/>
    <s v="1 hr 38 min 33s"/>
    <s v="ymy-awtg-ykd"/>
    <x v="30"/>
    <d v="1899-12-30T02:09:33"/>
    <d v="1899-12-30T02:15:43"/>
    <n v="1"/>
    <n v="0"/>
  </r>
  <r>
    <n v="42"/>
    <s v="RTN JOSES KAYUNGA"/>
    <d v="1899-12-30T20:06:45"/>
    <d v="1899-12-30T21:21:43"/>
    <d v="1899-12-30T22:16:18"/>
    <s v="54 min 34s"/>
    <s v="ymy-awtg-ykd"/>
    <x v="30"/>
    <d v="1899-12-30T02:09:33"/>
    <d v="1899-12-30T02:15:45"/>
    <n v="1"/>
    <n v="0"/>
  </r>
  <r>
    <n v="43"/>
    <s v="SABO MIKE"/>
    <d v="1899-12-30T20:06:45"/>
    <d v="1899-12-30T21:21:43"/>
    <d v="1899-12-30T22:16:18"/>
    <s v="54 min 24s"/>
    <s v="ymy-awtg-ykd"/>
    <x v="30"/>
    <d v="1899-12-30T02:09:33"/>
    <d v="1899-12-30T02:15:46"/>
    <n v="1"/>
    <n v="0"/>
  </r>
  <r>
    <n v="44"/>
    <s v="SARAH NAKAMATTE"/>
    <d v="1899-12-30T20:06:45"/>
    <d v="1899-12-30T21:21:43"/>
    <d v="1899-12-30T22:16:18"/>
    <s v="54 min 24s"/>
    <s v="ymy-awtg-ykd"/>
    <x v="30"/>
    <d v="1899-12-30T02:09:33"/>
    <d v="1899-12-30T02:15:48"/>
    <n v="1"/>
    <n v="0"/>
  </r>
  <r>
    <n v="45"/>
    <s v="SIMONPETER OUMA"/>
    <d v="1899-12-30T20:06:45"/>
    <d v="1899-12-30T20:35:34"/>
    <d v="1899-12-30T22:16:18"/>
    <s v="46 min 12s"/>
    <s v="ymy-awtg-ykd"/>
    <x v="30"/>
    <d v="1899-12-30T02:09:33"/>
    <d v="1899-12-30T02:15:49"/>
    <n v="1"/>
    <n v="0"/>
  </r>
  <r>
    <n v="46"/>
    <s v="THIS IS LINUS SANKEI"/>
    <d v="1899-12-30T20:06:45"/>
    <d v="1899-12-30T20:35:34"/>
    <d v="1899-12-30T22:16:18"/>
    <s v="1 hr 40 min 26s"/>
    <s v="ymy-awtg-ykd"/>
    <x v="30"/>
    <d v="1899-12-30T02:09:33"/>
    <d v="1899-12-30T02:15:51"/>
    <n v="1"/>
    <n v="0"/>
  </r>
  <r>
    <n v="47"/>
    <s v="TORY MOLS"/>
    <d v="1899-12-30T20:06:45"/>
    <d v="1899-12-30T20:35:34"/>
    <d v="1899-12-30T22:16:18"/>
    <s v="1 hr 40 min 30s"/>
    <s v="ymy-awtg-ykd"/>
    <x v="30"/>
    <d v="1899-12-30T02:09:33"/>
    <d v="1899-12-30T02:15:52"/>
    <n v="1"/>
    <n v="0"/>
  </r>
  <r>
    <n v="48"/>
    <s v="VITALIS KOECH"/>
    <d v="1899-12-30T20:06:45"/>
    <d v="1899-12-30T20:35:34"/>
    <d v="1899-12-30T22:16:18"/>
    <s v="1 hr 40 min 26s"/>
    <s v="ymy-awtg-ykd"/>
    <x v="30"/>
    <d v="1899-12-30T02:09:33"/>
    <d v="1899-12-30T02:15:54"/>
    <n v="1"/>
    <n v="0"/>
  </r>
  <r>
    <n v="49"/>
    <s v="WANDA FORTUNATE"/>
    <d v="1899-12-30T20:06:45"/>
    <d v="1899-12-30T20:35:34"/>
    <d v="1899-12-30T22:16:18"/>
    <s v="1 hr 40 min 26s"/>
    <s v="ymy-awtg-ykd"/>
    <x v="30"/>
    <d v="1899-12-30T02:09:33"/>
    <d v="1899-12-30T02:15:55"/>
    <n v="1"/>
    <n v="0"/>
  </r>
  <r>
    <n v="50"/>
    <s v="YUSUPHA SEESAY"/>
    <d v="1899-12-30T20:06:45"/>
    <d v="1899-12-30T21:21:43"/>
    <d v="1899-12-30T22:16:18"/>
    <s v="54 min 24s"/>
    <s v="ymy-awtg-ykd"/>
    <x v="30"/>
    <d v="1899-12-30T02:09:33"/>
    <d v="1899-12-30T02:15:57"/>
    <n v="1"/>
    <n v="0"/>
  </r>
  <r>
    <n v="1"/>
    <s v="ARON NTULIZE"/>
    <d v="1899-12-30T20:12:08"/>
    <d v="1899-12-30T22:41:21"/>
    <d v="1899-12-30T23:45:34"/>
    <s v="14 min 17s"/>
    <s v="dua-unee-xss"/>
    <x v="31"/>
    <d v="1899-12-30T03:33:26"/>
    <d v="1899-12-30T02:15:59"/>
    <n v="1"/>
    <n v="0"/>
  </r>
  <r>
    <n v="2"/>
    <s v="BIRUNGI'S AI NOTETAKER"/>
    <d v="1899-12-30T20:12:08"/>
    <d v="1899-12-30T22:41:21"/>
    <d v="1899-12-30T23:45:34"/>
    <s v="49 min 17s"/>
    <s v="dua-unee-xss"/>
    <x v="31"/>
    <d v="1899-12-30T03:33:26"/>
    <d v="1899-12-30T02:15:39"/>
    <n v="1"/>
    <n v="0"/>
  </r>
  <r>
    <n v="3"/>
    <s v="CHANDIA FRED"/>
    <d v="1899-12-30T20:12:08"/>
    <d v="1899-12-30T22:41:21"/>
    <d v="1899-12-30T23:45:34"/>
    <s v="14 min 17s"/>
    <s v="dua-unee-xss"/>
    <x v="31"/>
    <d v="1899-12-30T03:33:26"/>
    <d v="1899-12-30T02:15:19"/>
    <n v="1"/>
    <n v="0"/>
  </r>
  <r>
    <n v="4"/>
    <s v="CHRISTOPHER MODI"/>
    <d v="1899-12-30T20:12:08"/>
    <d v="1899-12-30T22:41:21"/>
    <d v="1899-12-30T23:45:34"/>
    <s v="0 min 2s"/>
    <s v="dua-unee-xss"/>
    <x v="31"/>
    <d v="1899-12-30T03:33:26"/>
    <d v="1899-12-30T02:14:59"/>
    <n v="1"/>
    <n v="0"/>
  </r>
  <r>
    <n v="5"/>
    <s v="DANIEL ERABU"/>
    <d v="1899-12-30T20:12:08"/>
    <d v="1899-12-30T20:29:39"/>
    <d v="1899-12-30T23:45:34"/>
    <s v="2 hr 10 min 2s"/>
    <s v="dua-unee-xss"/>
    <x v="31"/>
    <d v="1899-12-30T03:33:26"/>
    <d v="1899-12-30T02:14:38"/>
    <n v="1"/>
    <n v="0"/>
  </r>
  <r>
    <n v="6"/>
    <s v="EL MAJID SWALEH"/>
    <d v="1899-12-30T20:12:08"/>
    <d v="1899-12-30T20:29:39"/>
    <d v="1899-12-30T23:45:34"/>
    <s v="2 hr 10 min 2s"/>
    <s v="dua-unee-xss"/>
    <x v="31"/>
    <d v="1899-12-30T03:33:26"/>
    <d v="1899-12-30T02:14:18"/>
    <n v="1"/>
    <n v="0"/>
  </r>
  <r>
    <n v="7"/>
    <s v="EMMANUEL JOBS"/>
    <d v="1899-12-30T20:12:08"/>
    <d v="1899-12-30T20:29:39"/>
    <d v="1899-12-30T23:45:34"/>
    <s v="2 hr 10 min 2s"/>
    <s v="dua-unee-xss"/>
    <x v="31"/>
    <d v="1899-12-30T03:33:26"/>
    <d v="1899-12-30T02:13:57"/>
    <n v="1"/>
    <n v="0"/>
  </r>
  <r>
    <n v="8"/>
    <s v="GODFREY BIRUNGI"/>
    <d v="1899-12-30T20:12:08"/>
    <d v="1899-12-30T20:12:11"/>
    <d v="1899-12-30T23:45:34"/>
    <s v="3 hr 31 min 36s"/>
    <s v="dua-unee-xss"/>
    <x v="31"/>
    <d v="1899-12-30T03:33:26"/>
    <d v="1899-12-30T02:13:36"/>
    <n v="1"/>
    <n v="0"/>
  </r>
  <r>
    <n v="9"/>
    <s v="HENRY CHELELE"/>
    <d v="1899-12-30T20:12:08"/>
    <d v="1899-12-30T20:29:39"/>
    <d v="1899-12-30T23:45:34"/>
    <s v="2 hr 10 min 2s"/>
    <s v="dua-unee-xss"/>
    <x v="31"/>
    <d v="1899-12-30T03:33:26"/>
    <d v="1899-12-30T02:13:15"/>
    <n v="1"/>
    <n v="0"/>
  </r>
  <r>
    <n v="10"/>
    <s v="JACQUELINE NAMYALO"/>
    <d v="1899-12-30T20:12:08"/>
    <d v="1899-12-30T20:29:39"/>
    <d v="1899-12-30T23:45:34"/>
    <s v="2 hr 10 min 2s"/>
    <s v="dua-unee-xss"/>
    <x v="31"/>
    <d v="1899-12-30T03:33:26"/>
    <d v="1899-12-30T02:12:54"/>
    <n v="1"/>
    <n v="0"/>
  </r>
  <r>
    <n v="11"/>
    <s v="JAMES KAYONGO"/>
    <d v="1899-12-30T20:12:08"/>
    <d v="1899-12-30T20:29:39"/>
    <d v="1899-12-30T23:45:34"/>
    <s v="2 hr 10 min 2s"/>
    <s v="dua-unee-xss"/>
    <x v="31"/>
    <d v="1899-12-30T03:33:26"/>
    <d v="1899-12-30T02:12:32"/>
    <n v="1"/>
    <n v="0"/>
  </r>
  <r>
    <n v="12"/>
    <s v="JOHN RWARU"/>
    <d v="1899-12-30T20:12:08"/>
    <d v="1899-12-30T22:41:21"/>
    <d v="1899-12-30T23:45:34"/>
    <s v="19 min 35s"/>
    <s v="dua-unee-xss"/>
    <x v="31"/>
    <d v="1899-12-30T03:33:26"/>
    <d v="1899-12-30T02:12:11"/>
    <n v="1"/>
    <n v="0"/>
  </r>
  <r>
    <n v="13"/>
    <s v="JOSEPH SAMILA"/>
    <d v="1899-12-30T20:12:08"/>
    <d v="1899-12-30T23:07:41"/>
    <d v="1899-12-30T23:45:34"/>
    <s v="15 min 57s"/>
    <s v="dua-unee-xss"/>
    <x v="31"/>
    <d v="1899-12-30T03:33:26"/>
    <d v="1899-12-30T02:11:49"/>
    <n v="1"/>
    <n v="0"/>
  </r>
  <r>
    <n v="14"/>
    <s v="JOSHUA MHAKURE"/>
    <d v="1899-12-30T20:12:08"/>
    <d v="1899-12-30T20:29:39"/>
    <d v="1899-12-30T23:45:34"/>
    <s v="2 hr 24 min 19s"/>
    <s v="dua-unee-xss"/>
    <x v="31"/>
    <d v="1899-12-30T03:33:26"/>
    <d v="1899-12-30T02:11:27"/>
    <n v="1"/>
    <n v="0"/>
  </r>
  <r>
    <n v="15"/>
    <s v="JULIUS K CHERUIYOT"/>
    <d v="1899-12-30T20:12:08"/>
    <d v="1899-12-30T20:29:39"/>
    <d v="1899-12-30T23:45:34"/>
    <s v="2 hr 10 min 2s"/>
    <s v="dua-unee-xss"/>
    <x v="31"/>
    <d v="1899-12-30T03:33:26"/>
    <d v="1899-12-30T02:11:04"/>
    <n v="1"/>
    <n v="0"/>
  </r>
  <r>
    <n v="16"/>
    <s v="KAMARA"/>
    <d v="1899-12-30T20:12:08"/>
    <d v="1899-12-30T20:29:39"/>
    <d v="1899-12-30T23:45:34"/>
    <s v="2 hr 10 min 2s"/>
    <s v="dua-unee-xss"/>
    <x v="31"/>
    <d v="1899-12-30T03:33:26"/>
    <d v="1899-12-30T02:10:42"/>
    <n v="1"/>
    <n v="0"/>
  </r>
  <r>
    <n v="17"/>
    <s v="MARTIN LEMI"/>
    <d v="1899-12-30T20:12:08"/>
    <d v="1899-12-30T22:41:21"/>
    <d v="1899-12-30T23:45:34"/>
    <s v="14 min 17s"/>
    <s v="dua-unee-xss"/>
    <x v="31"/>
    <d v="1899-12-30T03:33:26"/>
    <d v="1899-12-30T02:10:19"/>
    <n v="1"/>
    <n v="0"/>
  </r>
  <r>
    <n v="18"/>
    <s v="MILDRED DRUSILA"/>
    <d v="1899-12-30T20:12:08"/>
    <d v="1899-12-30T22:41:21"/>
    <d v="1899-12-30T23:45:34"/>
    <s v="50 min 32s"/>
    <s v="dua-unee-xss"/>
    <x v="31"/>
    <d v="1899-12-30T03:33:26"/>
    <d v="1899-12-30T02:09:56"/>
    <n v="1"/>
    <n v="0"/>
  </r>
  <r>
    <n v="19"/>
    <s v="MOHAMED KABIA"/>
    <d v="1899-12-30T20:12:08"/>
    <d v="1899-12-30T20:29:39"/>
    <d v="1899-12-30T23:45:34"/>
    <s v="2 hr 10 min 2s"/>
    <s v="dua-unee-xss"/>
    <x v="31"/>
    <d v="1899-12-30T03:33:26"/>
    <d v="1899-12-30T02:09:33"/>
    <n v="1"/>
    <n v="0"/>
  </r>
  <r>
    <n v="20"/>
    <s v="MOHAMED SALLY KAMARA"/>
    <d v="1899-12-30T20:12:08"/>
    <d v="1899-12-30T22:41:21"/>
    <d v="1899-12-30T23:45:34"/>
    <s v="55 min 23s"/>
    <s v="dua-unee-xss"/>
    <x v="31"/>
    <d v="1899-12-30T03:33:26"/>
    <d v="1899-12-30T02:09:10"/>
    <n v="1"/>
    <n v="0"/>
  </r>
  <r>
    <n v="21"/>
    <s v="ONE MAN"/>
    <d v="1899-12-30T20:12:08"/>
    <d v="1899-12-30T20:29:39"/>
    <d v="1899-12-30T23:45:34"/>
    <s v="2 hr 10 min 2s"/>
    <s v="dua-unee-xss"/>
    <x v="31"/>
    <d v="1899-12-30T03:33:26"/>
    <d v="1899-12-30T02:08:46"/>
    <n v="1"/>
    <n v="0"/>
  </r>
  <r>
    <n v="22"/>
    <s v="RTN JOSES KAYUNGA"/>
    <d v="1899-12-30T20:12:08"/>
    <d v="1899-12-30T22:41:21"/>
    <d v="1899-12-30T23:45:34"/>
    <s v="1 hr 4 min 8s"/>
    <s v="dua-unee-xss"/>
    <x v="31"/>
    <d v="1899-12-30T03:33:26"/>
    <d v="1899-12-30T02:08:23"/>
    <n v="1"/>
    <n v="0"/>
  </r>
  <r>
    <n v="23"/>
    <s v="TORY MOLS"/>
    <d v="1899-12-30T20:12:08"/>
    <d v="1899-12-30T22:41:21"/>
    <d v="1899-12-30T23:45:34"/>
    <s v="21 min 21s"/>
    <s v="dua-unee-xss"/>
    <x v="31"/>
    <d v="1899-12-30T03:33:26"/>
    <d v="1899-12-30T02:07:59"/>
    <n v="1"/>
    <n v="0"/>
  </r>
  <r>
    <n v="24"/>
    <s v="VITALIS KOECH"/>
    <d v="1899-12-30T20:12:08"/>
    <d v="1899-12-30T22:41:21"/>
    <d v="1899-12-30T23:45:34"/>
    <s v="14 min 17s"/>
    <s v="dua-unee-xss"/>
    <x v="31"/>
    <d v="1899-12-30T03:33:26"/>
    <d v="1899-12-30T02:07:35"/>
    <n v="1"/>
    <n v="0"/>
  </r>
  <r>
    <n v="1"/>
    <s v="ANGULA ROSAMUNDE"/>
    <d v="1899-12-30T20:30:00"/>
    <d v="1899-12-30T20:30:03"/>
    <d v="1899-12-30T22:19:48"/>
    <s v="1 hr 49 min 44s"/>
    <s v="dua-unee-xss"/>
    <x v="32"/>
    <d v="1899-12-30T01:49:48"/>
    <d v="1899-12-30T02:07:10"/>
    <n v="1"/>
    <n v="0"/>
  </r>
  <r>
    <n v="2"/>
    <s v="ANTHONY GODSON AIDOO"/>
    <d v="1899-12-30T20:30:00"/>
    <d v="1899-12-30T20:36:49"/>
    <d v="1899-12-30T22:19:48"/>
    <s v="1 hr 43 min 0s"/>
    <s v="dua-unee-xss"/>
    <x v="32"/>
    <d v="1899-12-30T01:49:48"/>
    <d v="1899-12-30T02:07:15"/>
    <n v="1"/>
    <n v="0"/>
  </r>
  <r>
    <n v="3"/>
    <s v="ARON NTULIZE"/>
    <d v="1899-12-30T20:30:00"/>
    <d v="1899-12-30T20:36:49"/>
    <d v="1899-12-30T22:19:48"/>
    <s v="1 hr 43 min 0s"/>
    <s v="dua-unee-xss"/>
    <x v="32"/>
    <d v="1899-12-30T01:49:48"/>
    <d v="1899-12-30T02:07:20"/>
    <n v="1"/>
    <n v="0"/>
  </r>
  <r>
    <n v="4"/>
    <s v="BENJAMIN MALES LOKOYA"/>
    <d v="1899-12-30T20:30:00"/>
    <d v="1899-12-30T20:36:49"/>
    <d v="1899-12-30T22:19:48"/>
    <s v="1 hr 43 min 0s"/>
    <s v="dua-unee-xss"/>
    <x v="32"/>
    <d v="1899-12-30T01:49:48"/>
    <d v="1899-12-30T02:07:25"/>
    <n v="1"/>
    <n v="0"/>
  </r>
  <r>
    <n v="5"/>
    <s v="BIRUNGI'S AI NOTETAKER"/>
    <d v="1899-12-30T20:30:00"/>
    <d v="1899-12-30T20:36:49"/>
    <d v="1899-12-30T22:19:48"/>
    <s v="1 hr 43 min 0s"/>
    <s v="dua-unee-xss"/>
    <x v="32"/>
    <d v="1899-12-30T01:49:48"/>
    <d v="1899-12-30T02:07:30"/>
    <n v="1"/>
    <n v="0"/>
  </r>
  <r>
    <n v="6"/>
    <s v="CHERUU JUL"/>
    <d v="1899-12-30T20:30:00"/>
    <d v="1899-12-30T20:30:03"/>
    <d v="1899-12-30T22:19:48"/>
    <s v="1 hr 49 min 44s"/>
    <s v="dua-unee-xss"/>
    <x v="32"/>
    <d v="1899-12-30T01:49:48"/>
    <d v="1899-12-30T02:07:35"/>
    <n v="1"/>
    <n v="0"/>
  </r>
  <r>
    <n v="7"/>
    <s v="CHRISTINA MOTHOBI"/>
    <d v="1899-12-30T20:30:00"/>
    <d v="1899-12-30T20:30:03"/>
    <d v="1899-12-30T22:19:48"/>
    <s v="1 hr 49 min 44s"/>
    <s v="dua-unee-xss"/>
    <x v="32"/>
    <d v="1899-12-30T01:49:48"/>
    <d v="1899-12-30T02:07:41"/>
    <n v="1"/>
    <n v="0"/>
  </r>
  <r>
    <n v="8"/>
    <s v="CHRISTOPHER MODI"/>
    <d v="1899-12-30T20:30:00"/>
    <d v="1899-12-30T20:36:49"/>
    <d v="1899-12-30T22:19:48"/>
    <s v="1 hr 43 min 0s"/>
    <s v="dua-unee-xss"/>
    <x v="32"/>
    <d v="1899-12-30T01:49:48"/>
    <d v="1899-12-30T02:07:46"/>
    <n v="1"/>
    <n v="0"/>
  </r>
  <r>
    <n v="9"/>
    <s v="DANIEL ERABU"/>
    <d v="1899-12-30T20:30:00"/>
    <d v="1899-12-30T20:30:03"/>
    <d v="1899-12-30T22:19:48"/>
    <s v="1 hr 49 min 44s"/>
    <s v="dua-unee-xss"/>
    <x v="32"/>
    <d v="1899-12-30T01:49:48"/>
    <d v="1899-12-30T02:07:51"/>
    <n v="1"/>
    <n v="0"/>
  </r>
  <r>
    <n v="10"/>
    <s v="EL-MAJID SWALEH"/>
    <d v="1899-12-30T20:30:00"/>
    <d v="1899-12-30T20:30:03"/>
    <d v="1899-12-30T22:19:48"/>
    <s v="1 hr 49 min 44s"/>
    <s v="dua-unee-xss"/>
    <x v="32"/>
    <d v="1899-12-30T01:49:48"/>
    <d v="1899-12-30T02:07:57"/>
    <n v="1"/>
    <n v="0"/>
  </r>
  <r>
    <n v="11"/>
    <s v="EMMANUEL JOBS"/>
    <d v="1899-12-30T20:30:00"/>
    <d v="1899-12-30T20:30:03"/>
    <d v="1899-12-30T22:19:48"/>
    <s v="1 hr 49 min 44s"/>
    <s v="dua-unee-xss"/>
    <x v="32"/>
    <d v="1899-12-30T01:49:48"/>
    <d v="1899-12-30T02:08:02"/>
    <n v="1"/>
    <n v="0"/>
  </r>
  <r>
    <n v="12"/>
    <s v="ERIK"/>
    <d v="1899-12-30T20:30:00"/>
    <d v="1899-12-30T20:36:49"/>
    <d v="1899-12-30T22:19:48"/>
    <s v="1 hr 43 min 0s"/>
    <s v="dua-unee-xss"/>
    <x v="32"/>
    <d v="1899-12-30T01:49:48"/>
    <d v="1899-12-30T02:08:07"/>
    <n v="1"/>
    <n v="0"/>
  </r>
  <r>
    <n v="13"/>
    <s v="FIDELIS SKIPPER AMWEENYE EMOSHO (SKIPPER)"/>
    <d v="1899-12-30T20:30:00"/>
    <d v="1899-12-30T20:30:03"/>
    <d v="1899-12-30T22:19:48"/>
    <s v="1 hr 49 min 44s"/>
    <s v="dua-unee-xss"/>
    <x v="32"/>
    <d v="1899-12-30T01:49:48"/>
    <d v="1899-12-30T02:08:13"/>
    <n v="1"/>
    <n v="0"/>
  </r>
  <r>
    <n v="14"/>
    <s v="GODFREY BIRUNGI"/>
    <d v="1899-12-30T20:30:00"/>
    <d v="1899-12-30T20:30:03"/>
    <d v="1899-12-30T22:19:48"/>
    <s v="1 hr 49 min 44s"/>
    <s v="dua-unee-xss"/>
    <x v="32"/>
    <d v="1899-12-30T01:49:48"/>
    <d v="1899-12-30T02:08:19"/>
    <n v="1"/>
    <n v="0"/>
  </r>
  <r>
    <n v="15"/>
    <s v="HAROLD SUCCESS GOLAFALE"/>
    <d v="1899-12-30T20:30:00"/>
    <d v="1899-12-30T20:36:49"/>
    <d v="1899-12-30T22:19:48"/>
    <s v="1 hr 43 min 0s"/>
    <s v="dua-unee-xss"/>
    <x v="32"/>
    <d v="1899-12-30T01:49:48"/>
    <d v="1899-12-30T02:08:24"/>
    <n v="1"/>
    <n v="0"/>
  </r>
  <r>
    <n v="16"/>
    <s v="IBRAHIM JALLOH"/>
    <d v="1899-12-30T20:30:00"/>
    <d v="1899-12-30T20:36:49"/>
    <d v="1899-12-30T22:19:48"/>
    <s v="1 hr 43 min 0s"/>
    <s v="dua-unee-xss"/>
    <x v="32"/>
    <d v="1899-12-30T01:49:48"/>
    <d v="1899-12-30T02:08:30"/>
    <n v="1"/>
    <n v="0"/>
  </r>
  <r>
    <n v="17"/>
    <s v="IZARUKU RONALD"/>
    <d v="1899-12-30T20:30:00"/>
    <d v="1899-12-30T20:36:49"/>
    <d v="1899-12-30T22:19:48"/>
    <s v="1 hr 43 min 0s"/>
    <s v="dua-unee-xss"/>
    <x v="32"/>
    <d v="1899-12-30T01:49:48"/>
    <d v="1899-12-30T02:08:36"/>
    <n v="1"/>
    <n v="0"/>
  </r>
  <r>
    <n v="18"/>
    <s v="JACQUELINE NAMYALO"/>
    <d v="1899-12-30T20:30:00"/>
    <d v="1899-12-30T20:30:03"/>
    <d v="1899-12-30T22:19:48"/>
    <s v="1 hr 49 min 44s"/>
    <s v="dua-unee-xss"/>
    <x v="32"/>
    <d v="1899-12-30T01:49:48"/>
    <d v="1899-12-30T02:08:41"/>
    <n v="1"/>
    <n v="0"/>
  </r>
  <r>
    <n v="19"/>
    <s v="JAMES KAYONGO"/>
    <d v="1899-12-30T20:30:00"/>
    <d v="1899-12-30T20:30:03"/>
    <d v="1899-12-30T22:19:48"/>
    <s v="1 hr 49 min 44s"/>
    <s v="dua-unee-xss"/>
    <x v="32"/>
    <d v="1899-12-30T01:49:48"/>
    <d v="1899-12-30T02:08:47"/>
    <n v="1"/>
    <n v="0"/>
  </r>
  <r>
    <n v="20"/>
    <s v="JOSEPH MBOGO"/>
    <d v="1899-12-30T20:30:00"/>
    <d v="1899-12-30T20:30:03"/>
    <d v="1899-12-30T22:19:48"/>
    <s v="1 hr 49 min 44s"/>
    <s v="dua-unee-xss"/>
    <x v="32"/>
    <d v="1899-12-30T01:49:48"/>
    <d v="1899-12-30T02:08:53"/>
    <n v="1"/>
    <n v="0"/>
  </r>
  <r>
    <n v="21"/>
    <s v="JOSEPH MUTIE"/>
    <d v="1899-12-30T20:30:00"/>
    <d v="1899-12-30T20:30:03"/>
    <d v="1899-12-30T22:19:48"/>
    <s v="1 hr 49 min 44s"/>
    <s v="dua-unee-xss"/>
    <x v="32"/>
    <d v="1899-12-30T01:49:48"/>
    <d v="1899-12-30T02:08:59"/>
    <n v="1"/>
    <n v="0"/>
  </r>
  <r>
    <n v="22"/>
    <s v="KAMAU RUTH"/>
    <d v="1899-12-30T20:30:00"/>
    <d v="1899-12-30T20:30:03"/>
    <d v="1899-12-30T22:19:48"/>
    <s v="1 hr 49 min 44s"/>
    <s v="dua-unee-xss"/>
    <x v="32"/>
    <d v="1899-12-30T01:49:48"/>
    <d v="1899-12-30T02:09:05"/>
    <n v="1"/>
    <n v="0"/>
  </r>
  <r>
    <n v="23"/>
    <s v="LOKOSE ABEL"/>
    <d v="1899-12-30T20:30:00"/>
    <d v="1899-12-30T20:30:03"/>
    <d v="1899-12-30T22:19:48"/>
    <s v="1 hr 49 min 44s"/>
    <s v="dua-unee-xss"/>
    <x v="32"/>
    <d v="1899-12-30T01:49:48"/>
    <d v="1899-12-30T02:09:11"/>
    <n v="1"/>
    <n v="0"/>
  </r>
  <r>
    <n v="24"/>
    <s v="MAGHOGHO BOB"/>
    <d v="1899-12-30T20:30:00"/>
    <d v="1899-12-30T20:30:03"/>
    <d v="1899-12-30T22:19:48"/>
    <s v="1 hr 49 min 44s"/>
    <s v="dua-unee-xss"/>
    <x v="32"/>
    <d v="1899-12-30T01:49:48"/>
    <d v="1899-12-30T02:09:18"/>
    <n v="1"/>
    <n v="0"/>
  </r>
  <r>
    <n v="25"/>
    <s v="MAHAMADOU MAMANE"/>
    <d v="1899-12-30T20:30:00"/>
    <d v="1899-12-30T20:30:03"/>
    <d v="1899-12-30T22:19:48"/>
    <s v="1 hr 49 min 44s"/>
    <s v="dua-unee-xss"/>
    <x v="32"/>
    <d v="1899-12-30T01:49:48"/>
    <d v="1899-12-30T02:09:24"/>
    <n v="1"/>
    <n v="0"/>
  </r>
  <r>
    <n v="26"/>
    <s v="MARGARET NASSOLO"/>
    <d v="1899-12-30T20:30:00"/>
    <d v="1899-12-30T20:30:03"/>
    <d v="1899-12-30T22:19:48"/>
    <s v="1 hr 49 min 44s"/>
    <s v="dua-unee-xss"/>
    <x v="32"/>
    <d v="1899-12-30T01:49:48"/>
    <d v="1899-12-30T02:09:30"/>
    <n v="1"/>
    <n v="0"/>
  </r>
  <r>
    <n v="27"/>
    <s v="MARTIN LEMI"/>
    <d v="1899-12-30T20:30:00"/>
    <d v="1899-12-30T20:30:03"/>
    <d v="1899-12-30T22:19:48"/>
    <s v="1 hr 49 min 44s"/>
    <s v="dua-unee-xss"/>
    <x v="32"/>
    <d v="1899-12-30T01:49:48"/>
    <d v="1899-12-30T02:09:37"/>
    <n v="1"/>
    <n v="0"/>
  </r>
  <r>
    <n v="28"/>
    <s v="MILDRED DRUSILA"/>
    <d v="1899-12-30T20:30:00"/>
    <d v="1899-12-30T20:36:52"/>
    <d v="1899-12-30T22:19:48"/>
    <s v="1 hr 42 min 56s"/>
    <s v="dua-unee-xss"/>
    <x v="32"/>
    <d v="1899-12-30T01:49:48"/>
    <d v="1899-12-30T02:09:43"/>
    <n v="1"/>
    <n v="0"/>
  </r>
  <r>
    <n v="29"/>
    <s v="MOHAMED KABIA"/>
    <d v="1899-12-30T20:30:00"/>
    <d v="1899-12-30T20:30:03"/>
    <d v="1899-12-30T22:19:48"/>
    <s v="1 hr 49 min 44s"/>
    <s v="dua-unee-xss"/>
    <x v="32"/>
    <d v="1899-12-30T01:49:48"/>
    <d v="1899-12-30T02:09:50"/>
    <n v="1"/>
    <n v="0"/>
  </r>
  <r>
    <n v="30"/>
    <s v="MORIBA KOROMA"/>
    <d v="1899-12-30T20:30:00"/>
    <d v="1899-12-30T20:30:03"/>
    <d v="1899-12-30T22:19:48"/>
    <s v="1 hr 49 min 44s"/>
    <s v="dua-unee-xss"/>
    <x v="32"/>
    <d v="1899-12-30T01:49:48"/>
    <d v="1899-12-30T02:09:56"/>
    <n v="1"/>
    <n v="0"/>
  </r>
  <r>
    <n v="31"/>
    <s v="MOZE KEYZ"/>
    <d v="1899-12-30T20:30:00"/>
    <d v="1899-12-30T20:30:03"/>
    <d v="1899-12-30T22:19:48"/>
    <s v="1 hr 49 min 44s"/>
    <s v="dua-unee-xss"/>
    <x v="32"/>
    <d v="1899-12-30T01:49:48"/>
    <d v="1899-12-30T02:10:03"/>
    <n v="1"/>
    <n v="0"/>
  </r>
  <r>
    <n v="32"/>
    <s v="OKABO GEOFFREY"/>
    <d v="1899-12-30T20:30:00"/>
    <d v="1899-12-30T20:36:49"/>
    <d v="1899-12-30T22:19:48"/>
    <s v="1 hr 43 min 0s"/>
    <s v="dua-unee-xss"/>
    <x v="32"/>
    <d v="1899-12-30T01:49:48"/>
    <d v="1899-12-30T02:10:10"/>
    <n v="1"/>
    <n v="0"/>
  </r>
  <r>
    <n v="33"/>
    <s v="OMELLA OWEN"/>
    <d v="1899-12-30T20:30:00"/>
    <d v="1899-12-30T20:36:49"/>
    <d v="1899-12-30T22:19:48"/>
    <s v="1 hr 43 min 0s"/>
    <s v="dua-unee-xss"/>
    <x v="32"/>
    <d v="1899-12-30T01:49:48"/>
    <d v="1899-12-30T02:10:16"/>
    <n v="1"/>
    <n v="0"/>
  </r>
  <r>
    <n v="34"/>
    <s v="ONE MAN"/>
    <d v="1899-12-30T20:30:00"/>
    <d v="1899-12-30T20:30:03"/>
    <d v="1899-12-30T22:19:48"/>
    <s v="1 hr 49 min 44s"/>
    <s v="dua-unee-xss"/>
    <x v="32"/>
    <d v="1899-12-30T01:49:48"/>
    <d v="1899-12-30T02:10:23"/>
    <n v="1"/>
    <n v="0"/>
  </r>
  <r>
    <n v="35"/>
    <s v="ONESMUS KORIR"/>
    <d v="1899-12-30T20:30:00"/>
    <d v="1899-12-30T20:30:03"/>
    <d v="1899-12-30T22:19:48"/>
    <s v="1 hr 49 min 44s"/>
    <s v="dua-unee-xss"/>
    <x v="32"/>
    <d v="1899-12-30T01:49:48"/>
    <d v="1899-12-30T02:10:30"/>
    <n v="1"/>
    <n v="0"/>
  </r>
  <r>
    <n v="36"/>
    <s v="PETET KOROMA"/>
    <d v="1899-12-30T20:30:00"/>
    <d v="1899-12-30T20:36:49"/>
    <d v="1899-12-30T22:19:48"/>
    <s v="1 hr 43 min 0s"/>
    <s v="dua-unee-xss"/>
    <x v="32"/>
    <d v="1899-12-30T01:49:48"/>
    <d v="1899-12-30T02:10:37"/>
    <n v="1"/>
    <n v="0"/>
  </r>
  <r>
    <n v="37"/>
    <s v="PRINCESS MAJOLA"/>
    <d v="1899-12-30T20:30:00"/>
    <d v="1899-12-30T20:30:03"/>
    <d v="1899-12-30T22:19:48"/>
    <s v="1 hr 49 min 44s"/>
    <s v="dua-unee-xss"/>
    <x v="32"/>
    <d v="1899-12-30T01:49:48"/>
    <d v="1899-12-30T02:10:45"/>
    <n v="1"/>
    <n v="0"/>
  </r>
  <r>
    <n v="38"/>
    <s v="ROBERT MAKUBS"/>
    <d v="1899-12-30T20:30:00"/>
    <d v="1899-12-30T20:30:03"/>
    <d v="1899-12-30T22:19:48"/>
    <s v="1 hr 49 min 44s"/>
    <s v="dua-unee-xss"/>
    <x v="32"/>
    <d v="1899-12-30T01:49:48"/>
    <d v="1899-12-30T02:10:52"/>
    <n v="1"/>
    <n v="0"/>
  </r>
  <r>
    <n v="39"/>
    <s v="RODNEY MUKUNZI"/>
    <d v="1899-12-30T20:30:00"/>
    <d v="1899-12-30T20:30:03"/>
    <d v="1899-12-30T22:19:48"/>
    <s v="1 hr 49 min 44s"/>
    <s v="dua-unee-xss"/>
    <x v="32"/>
    <d v="1899-12-30T01:49:48"/>
    <d v="1899-12-30T02:10:59"/>
    <n v="1"/>
    <n v="0"/>
  </r>
  <r>
    <n v="40"/>
    <s v="RTN JOSES KAYUNGA"/>
    <d v="1899-12-30T20:30:00"/>
    <d v="1899-12-30T20:36:49"/>
    <d v="1899-12-30T22:19:48"/>
    <s v="1 hr 43 min 0s"/>
    <s v="dua-unee-xss"/>
    <x v="32"/>
    <d v="1899-12-30T01:49:48"/>
    <d v="1899-12-30T02:11:06"/>
    <n v="1"/>
    <n v="0"/>
  </r>
  <r>
    <n v="41"/>
    <s v="RWARU@YAHOO.COM"/>
    <d v="1899-12-30T20:30:00"/>
    <d v="1899-12-30T20:36:49"/>
    <d v="1899-12-30T22:19:48"/>
    <s v="1 hr 43 min 0s"/>
    <s v="dua-unee-xss"/>
    <x v="32"/>
    <d v="1899-12-30T01:49:48"/>
    <d v="1899-12-30T02:11:14"/>
    <n v="1"/>
    <n v="0"/>
  </r>
  <r>
    <n v="42"/>
    <s v="SARAH NAKAMATTE"/>
    <d v="1899-12-30T20:30:00"/>
    <d v="1899-12-30T20:30:03"/>
    <d v="1899-12-30T22:19:48"/>
    <s v="1 hr 49 min 44s"/>
    <s v="dua-unee-xss"/>
    <x v="32"/>
    <d v="1899-12-30T01:49:48"/>
    <d v="1899-12-30T02:11:21"/>
    <n v="1"/>
    <n v="0"/>
  </r>
  <r>
    <n v="43"/>
    <s v="SIMONPETER OUMA"/>
    <d v="1899-12-30T20:30:00"/>
    <d v="1899-12-30T20:36:49"/>
    <d v="1899-12-30T22:19:48"/>
    <s v="1 hr 43 min 0s"/>
    <s v="dua-unee-xss"/>
    <x v="32"/>
    <d v="1899-12-30T01:49:48"/>
    <d v="1899-12-30T02:11:29"/>
    <n v="1"/>
    <n v="0"/>
  </r>
  <r>
    <n v="44"/>
    <s v="THIS IS LINUS SANKEI"/>
    <d v="1899-12-30T20:30:00"/>
    <d v="1899-12-30T20:36:49"/>
    <d v="1899-12-30T22:19:48"/>
    <s v="1 hr 43 min 0s"/>
    <s v="dua-unee-xss"/>
    <x v="32"/>
    <d v="1899-12-30T01:49:48"/>
    <d v="1899-12-30T02:11:37"/>
    <n v="1"/>
    <n v="0"/>
  </r>
  <r>
    <n v="45"/>
    <s v="WANDA FORTUNATE"/>
    <d v="1899-12-30T20:30:00"/>
    <d v="1899-12-30T20:36:49"/>
    <d v="1899-12-30T22:19:48"/>
    <s v="1 hr 43 min 0s"/>
    <s v="dua-unee-xss"/>
    <x v="32"/>
    <d v="1899-12-30T01:49:48"/>
    <d v="1899-12-30T02:11:45"/>
    <n v="1"/>
    <n v="0"/>
  </r>
  <r>
    <n v="1"/>
    <s v="ANGULA ROSAMUNDE"/>
    <d v="1899-12-30T20:27:10"/>
    <d v="1899-12-30T20:37:08"/>
    <d v="1899-12-30T22:39:54"/>
    <s v="0 hr 59 min 23s"/>
    <s v="dua-unee-xss"/>
    <x v="33"/>
    <d v="1899-12-30T02:12:44"/>
    <d v="1899-12-30T02:11:53"/>
    <n v="1"/>
    <n v="0"/>
  </r>
  <r>
    <n v="2"/>
    <s v="ANTHONY GODSON AIDOO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3"/>
    <s v="ARON NTULIZE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4"/>
    <s v="BENJAMIN MALES LOKOYA"/>
    <d v="1899-12-30T20:27:10"/>
    <d v="1899-12-30T20:27:13"/>
    <d v="1899-12-30T22:39:54"/>
    <s v="2 hr 9 min 15s"/>
    <s v="dua-unee-xss"/>
    <x v="33"/>
    <d v="1899-12-30T02:12:44"/>
    <d v="1899-12-30T02:11:52"/>
    <n v="1"/>
    <n v="0"/>
  </r>
  <r>
    <n v="5"/>
    <s v="BIRUNGI'S AI NOTETAKER"/>
    <d v="1899-12-30T20:27:10"/>
    <d v="1899-12-30T20:37:08"/>
    <d v="1899-12-30T22:39:54"/>
    <s v="2 hr 2 min 43s"/>
    <s v="dua-unee-xss"/>
    <x v="33"/>
    <d v="1899-12-30T02:12:44"/>
    <d v="1899-12-30T02:11:51"/>
    <n v="1"/>
    <n v="0"/>
  </r>
  <r>
    <n v="6"/>
    <s v="CHANDIA FRED"/>
    <d v="1899-12-30T20:27:10"/>
    <d v="1899-12-30T20:37:08"/>
    <d v="1899-12-30T22:39:54"/>
    <s v="2 hr 2 min 39s"/>
    <s v="dua-unee-xss"/>
    <x v="33"/>
    <d v="1899-12-30T02:12:44"/>
    <d v="1899-12-30T02:11:51"/>
    <n v="1"/>
    <n v="0"/>
  </r>
  <r>
    <n v="7"/>
    <s v="CHERUU JUL"/>
    <d v="1899-12-30T20:27:10"/>
    <d v="1899-12-30T20:29:54"/>
    <d v="1899-12-30T22:39:54"/>
    <s v="2 hr 9 min 54s"/>
    <s v="dua-unee-xss"/>
    <x v="33"/>
    <d v="1899-12-30T02:12:44"/>
    <d v="1899-12-30T02:11:51"/>
    <n v="1"/>
    <n v="0"/>
  </r>
  <r>
    <n v="8"/>
    <s v="CHRISTINA MOTHOBI"/>
    <d v="1899-12-30T20:27:10"/>
    <d v="1899-12-30T20:37:08"/>
    <d v="1899-12-30T22:39:54"/>
    <s v="1 hr 59 min 23s"/>
    <s v="dua-unee-xss"/>
    <x v="33"/>
    <d v="1899-12-30T02:12:44"/>
    <d v="1899-12-30T02:11:50"/>
    <n v="1"/>
    <n v="0"/>
  </r>
  <r>
    <n v="9"/>
    <s v="CHRISTOPHER MODI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0"/>
    <s v="DANIEL ERABU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1"/>
    <s v="EL MAJID SWALEH"/>
    <d v="1899-12-30T20:27:10"/>
    <d v="1899-12-30T20:27:13"/>
    <d v="1899-12-30T22:39:54"/>
    <s v="2 hr 9 min 15s"/>
    <s v="dua-unee-xss"/>
    <x v="33"/>
    <d v="1899-12-30T02:12:44"/>
    <d v="1899-12-30T02:11:49"/>
    <n v="1"/>
    <n v="0"/>
  </r>
  <r>
    <n v="12"/>
    <s v="EMMANUEL JOBS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3"/>
    <s v="ERIK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4"/>
    <s v="FIDELIS SKIPPER AMWEENYE EMOSHO (SKIPPER)"/>
    <d v="1899-12-30T20:27:10"/>
    <d v="1899-12-30T20:29:56"/>
    <d v="1899-12-30T22:39:54"/>
    <s v="2 hr 6 min 32s"/>
    <s v="dua-unee-xss"/>
    <x v="33"/>
    <d v="1899-12-30T02:12:44"/>
    <d v="1899-12-30T02:11:48"/>
    <n v="1"/>
    <n v="0"/>
  </r>
  <r>
    <n v="15"/>
    <s v="GODFREY BIRUNGI"/>
    <d v="1899-12-30T20:27:10"/>
    <d v="1899-12-30T20:27:13"/>
    <d v="1899-12-30T22:39:54"/>
    <s v="2 hr 12 min 35s"/>
    <s v="dua-unee-xss"/>
    <x v="33"/>
    <d v="1899-12-30T02:12:44"/>
    <d v="1899-12-30T02:11:48"/>
    <n v="1"/>
    <n v="0"/>
  </r>
  <r>
    <n v="16"/>
    <s v="HELLEN ARIMPA"/>
    <d v="1899-12-30T20:27:10"/>
    <d v="1899-12-30T20:37:08"/>
    <d v="1899-12-30T22:39:54"/>
    <s v="1 hr 59 min 23s"/>
    <s v="dua-unee-xss"/>
    <x v="33"/>
    <d v="1899-12-30T02:12:44"/>
    <d v="1899-12-30T02:11:48"/>
    <n v="1"/>
    <n v="0"/>
  </r>
  <r>
    <n v="17"/>
    <s v="HENRY CHELELE"/>
    <d v="1899-12-30T20:27:10"/>
    <d v="1899-12-30T20:27:13"/>
    <d v="1899-12-30T22:39:54"/>
    <s v="2 hr 9 min 15s"/>
    <s v="dua-unee-xss"/>
    <x v="33"/>
    <d v="1899-12-30T02:12:44"/>
    <d v="1899-12-30T02:11:47"/>
    <n v="1"/>
    <n v="0"/>
  </r>
  <r>
    <n v="18"/>
    <s v="ISAAC OGWANG"/>
    <d v="1899-12-30T20:27:10"/>
    <d v="1899-12-30T20:37:08"/>
    <d v="1899-12-30T22:39:54"/>
    <s v="1 hr 59 min 23s"/>
    <s v="dua-unee-xss"/>
    <x v="33"/>
    <d v="1899-12-30T02:12:44"/>
    <d v="1899-12-30T02:11:47"/>
    <n v="1"/>
    <n v="0"/>
  </r>
  <r>
    <n v="19"/>
    <s v="IZARUKU RONALD"/>
    <d v="1899-12-30T20:27:10"/>
    <d v="1899-12-30T20:28:25"/>
    <d v="1899-12-30T22:39:54"/>
    <s v="2 hr 8 min 3s"/>
    <s v="dua-unee-xss"/>
    <x v="33"/>
    <d v="1899-12-30T02:12:44"/>
    <d v="1899-12-30T02:11:46"/>
    <n v="1"/>
    <n v="0"/>
  </r>
  <r>
    <n v="20"/>
    <s v="JACQUELINE NAMYALO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1"/>
    <s v="JAMES KAYONGO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2"/>
    <s v="JOHN RWARU"/>
    <d v="1899-12-30T20:27:10"/>
    <d v="1899-12-30T20:37:08"/>
    <d v="1899-12-30T22:39:54"/>
    <s v="2 hr 2 min 43s"/>
    <s v="dua-unee-xss"/>
    <x v="33"/>
    <d v="1899-12-30T02:12:44"/>
    <d v="1899-12-30T02:11:45"/>
    <n v="1"/>
    <n v="0"/>
  </r>
  <r>
    <n v="23"/>
    <s v="JOSEPH MBOGO"/>
    <d v="1899-12-30T20:27:10"/>
    <d v="1899-12-30T20:37:08"/>
    <d v="1899-12-30T22:39:54"/>
    <s v="1 hr 59 min 23s"/>
    <s v="dua-unee-xss"/>
    <x v="33"/>
    <d v="1899-12-30T02:12:44"/>
    <d v="1899-12-30T02:11:45"/>
    <n v="1"/>
    <n v="0"/>
  </r>
  <r>
    <n v="24"/>
    <s v="JOSEPH MUTIE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5"/>
    <s v="KAMAU RUTH"/>
    <d v="1899-12-30T20:27:10"/>
    <d v="1899-12-30T20:27:13"/>
    <d v="1899-12-30T22:39:54"/>
    <s v="2 hr 9 min 15s"/>
    <s v="dua-unee-xss"/>
    <x v="33"/>
    <d v="1899-12-30T02:12:44"/>
    <d v="1899-12-30T02:11:44"/>
    <n v="1"/>
    <n v="0"/>
  </r>
  <r>
    <n v="26"/>
    <s v="KIIR ABIEM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7"/>
    <s v="LOKOSE ABEL"/>
    <d v="1899-12-30T20:27:10"/>
    <d v="1899-12-30T20:27:13"/>
    <d v="1899-12-30T22:39:54"/>
    <s v="2 hr 9 min 15s"/>
    <s v="dua-unee-xss"/>
    <x v="33"/>
    <d v="1899-12-30T02:12:44"/>
    <d v="1899-12-30T02:11:43"/>
    <n v="1"/>
    <n v="0"/>
  </r>
  <r>
    <n v="28"/>
    <s v="MAGHOGHO BOB"/>
    <d v="1899-12-30T20:27:10"/>
    <d v="1899-12-30T22:36:35"/>
    <d v="1899-12-30T22:39:54"/>
    <s v="3 min 20s"/>
    <s v="dua-unee-xss"/>
    <x v="33"/>
    <d v="1899-12-30T02:12:44"/>
    <d v="1899-12-30T02:11:43"/>
    <n v="1"/>
    <n v="0"/>
  </r>
  <r>
    <n v="29"/>
    <s v="MAHAMADOU MAMANE"/>
    <d v="1899-12-30T20:27:10"/>
    <d v="1899-12-30T20:37:08"/>
    <d v="1899-12-30T22:39:54"/>
    <s v="2 hr 2 min 43s"/>
    <s v="dua-unee-xss"/>
    <x v="33"/>
    <d v="1899-12-30T02:12:44"/>
    <d v="1899-12-30T02:11:42"/>
    <n v="1"/>
    <n v="0"/>
  </r>
  <r>
    <n v="30"/>
    <s v="MARGARET NASSOLO"/>
    <d v="1899-12-30T20:27:10"/>
    <d v="1899-12-30T20:29:54"/>
    <d v="1899-12-30T22:39:54"/>
    <s v="2 hr 6 min 34s"/>
    <s v="dua-unee-xss"/>
    <x v="33"/>
    <d v="1899-12-30T02:12:44"/>
    <d v="1899-12-30T02:11:42"/>
    <n v="1"/>
    <n v="0"/>
  </r>
  <r>
    <n v="31"/>
    <s v="MARTIN LEMI"/>
    <d v="1899-12-30T20:27:10"/>
    <d v="1899-12-30T20:37:08"/>
    <d v="1899-12-30T22:39:54"/>
    <s v="2 hr 2 min 43s"/>
    <s v="dua-unee-xss"/>
    <x v="33"/>
    <d v="1899-12-30T02:12:44"/>
    <d v="1899-12-30T02:11:41"/>
    <n v="1"/>
    <n v="0"/>
  </r>
  <r>
    <n v="32"/>
    <s v="MARY NAMUKOKO"/>
    <d v="1899-12-30T20:27:10"/>
    <d v="1899-12-30T20:37:08"/>
    <d v="1899-12-30T22:39:54"/>
    <s v="1 hr 59 min 23s"/>
    <s v="dua-unee-xss"/>
    <x v="33"/>
    <d v="1899-12-30T02:12:44"/>
    <d v="1899-12-30T02:11:41"/>
    <n v="1"/>
    <n v="0"/>
  </r>
  <r>
    <n v="33"/>
    <s v="MILDRED DRUSILA"/>
    <d v="1899-12-30T20:27:10"/>
    <d v="1899-12-30T22:36:35"/>
    <d v="1899-12-30T22:39:54"/>
    <s v="3 min 20s"/>
    <s v="dua-unee-xss"/>
    <x v="33"/>
    <d v="1899-12-30T02:12:44"/>
    <d v="1899-12-30T02:11:40"/>
    <n v="1"/>
    <n v="0"/>
  </r>
  <r>
    <n v="34"/>
    <s v="MOHAMED KABIA"/>
    <d v="1899-12-30T20:27:10"/>
    <d v="1899-12-30T20:27:13"/>
    <d v="1899-12-30T22:39:54"/>
    <s v="2 hr 12 min 35s"/>
    <s v="dua-unee-xss"/>
    <x v="33"/>
    <d v="1899-12-30T02:12:44"/>
    <d v="1899-12-30T02:11:40"/>
    <n v="1"/>
    <n v="0"/>
  </r>
  <r>
    <n v="35"/>
    <s v="MOHAMED SALLY KAMARA"/>
    <d v="1899-12-30T20:27:10"/>
    <d v="1899-12-30T22:36:35"/>
    <d v="1899-12-30T22:39:54"/>
    <s v="3 min 20s"/>
    <s v="dua-unee-xss"/>
    <x v="33"/>
    <d v="1899-12-30T02:12:44"/>
    <d v="1899-12-30T02:11:39"/>
    <n v="1"/>
    <n v="0"/>
  </r>
  <r>
    <n v="36"/>
    <s v="MORIBA KOROMA"/>
    <d v="1899-12-30T20:27:10"/>
    <d v="1899-12-30T20:27:13"/>
    <d v="1899-12-30T22:39:54"/>
    <s v="2 hr 9 min 15s"/>
    <s v="dua-unee-xss"/>
    <x v="33"/>
    <d v="1899-12-30T02:12:44"/>
    <d v="1899-12-30T02:11:39"/>
    <n v="1"/>
    <n v="0"/>
  </r>
  <r>
    <n v="37"/>
    <s v="MOZE KEYZ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8"/>
    <s v="NASSAMULA JOSEPHINE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9"/>
    <s v="OMBASO JARED"/>
    <d v="1899-12-30T20:27:10"/>
    <d v="1899-12-30T20:27:13"/>
    <d v="1899-12-30T22:39:54"/>
    <s v="2 hr 9 min 15s"/>
    <s v="dua-unee-xss"/>
    <x v="33"/>
    <d v="1899-12-30T02:12:44"/>
    <d v="1899-12-30T02:11:37"/>
    <n v="1"/>
    <n v="0"/>
  </r>
  <r>
    <n v="40"/>
    <s v="OMELLA OWEN"/>
    <d v="1899-12-30T20:27:10"/>
    <d v="1899-12-30T20:37:08"/>
    <d v="1899-12-30T22:39:54"/>
    <s v="1 hr 59 min 23s"/>
    <s v="dua-unee-xss"/>
    <x v="33"/>
    <d v="1899-12-30T02:12:44"/>
    <d v="1899-12-30T02:11:37"/>
    <n v="1"/>
    <n v="0"/>
  </r>
  <r>
    <n v="41"/>
    <s v="ONE MAN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2"/>
    <s v="ONESMUS KORIR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3"/>
    <s v="PETET KOROMA"/>
    <d v="1899-12-30T20:27:10"/>
    <d v="1899-12-30T20:37:08"/>
    <d v="1899-12-30T22:39:54"/>
    <s v="1 hr 59 min 23s"/>
    <s v="dua-unee-xss"/>
    <x v="33"/>
    <d v="1899-12-30T02:12:44"/>
    <d v="1899-12-30T02:11:35"/>
    <n v="1"/>
    <n v="0"/>
  </r>
  <r>
    <n v="44"/>
    <s v="PRINCESS MAJOLA"/>
    <d v="1899-12-30T20:27:10"/>
    <d v="1899-12-30T20:27:13"/>
    <d v="1899-12-30T22:39:54"/>
    <s v="2 hr 9 min 15s"/>
    <s v="dua-unee-xss"/>
    <x v="33"/>
    <d v="1899-12-30T02:12:44"/>
    <d v="1899-12-30T02:11:35"/>
    <n v="1"/>
    <n v="0"/>
  </r>
  <r>
    <n v="45"/>
    <s v="ROBERT MAKUBS"/>
    <d v="1899-12-30T20:27:10"/>
    <d v="1899-12-30T20:27:13"/>
    <d v="1899-12-30T22:39:54"/>
    <s v="2 hr 9 min 15s"/>
    <s v="dua-unee-xss"/>
    <x v="33"/>
    <d v="1899-12-30T02:12:44"/>
    <d v="1899-12-30T02:11:34"/>
    <n v="1"/>
    <n v="0"/>
  </r>
  <r>
    <n v="46"/>
    <s v="RTN JOSES KAYUNGA"/>
    <d v="1899-12-30T20:27:10"/>
    <d v="1899-12-30T20:27:13"/>
    <d v="1899-12-30T22:39:54"/>
    <s v="2 hr 12 min 31s"/>
    <s v="dua-unee-xss"/>
    <x v="33"/>
    <d v="1899-12-30T02:12:44"/>
    <d v="1899-12-30T02:11:34"/>
    <n v="1"/>
    <n v="0"/>
  </r>
  <r>
    <n v="47"/>
    <s v="SABO MIKE"/>
    <d v="1899-12-30T20:27:10"/>
    <d v="1899-12-30T20:37:08"/>
    <d v="1899-12-30T22:39:54"/>
    <s v="1 hr 59 min 23s"/>
    <s v="dua-unee-xss"/>
    <x v="33"/>
    <d v="1899-12-30T02:12:44"/>
    <d v="1899-12-30T02:11:33"/>
    <n v="1"/>
    <n v="0"/>
  </r>
  <r>
    <n v="48"/>
    <s v="SARAH NAKAMATTE"/>
    <d v="1899-12-30T20:27:10"/>
    <d v="1899-12-30T20:27:13"/>
    <d v="1899-12-30T22:39:54"/>
    <s v="2 hr 9 min 15s"/>
    <s v="dua-unee-xss"/>
    <x v="33"/>
    <d v="1899-12-30T02:12:44"/>
    <d v="1899-12-30T02:11:32"/>
    <n v="1"/>
    <n v="0"/>
  </r>
  <r>
    <n v="49"/>
    <s v="SIMONPETER OUMA"/>
    <d v="1899-12-30T20:27:10"/>
    <d v="1899-12-30T20:37:08"/>
    <d v="1899-12-30T22:39:54"/>
    <s v="2 hr 2 min 43s"/>
    <s v="dua-unee-xss"/>
    <x v="33"/>
    <d v="1899-12-30T02:12:44"/>
    <d v="1899-12-30T02:11:32"/>
    <n v="1"/>
    <n v="0"/>
  </r>
  <r>
    <n v="50"/>
    <s v="THIS IS LINUS SANKEI"/>
    <d v="1899-12-30T20:27:10"/>
    <d v="1899-12-30T20:29:54"/>
    <d v="1899-12-30T22:39:54"/>
    <s v="2 hr 9 min 54s"/>
    <s v="dua-unee-xss"/>
    <x v="33"/>
    <d v="1899-12-30T02:12:44"/>
    <d v="1899-12-30T02:11:31"/>
    <n v="1"/>
    <n v="0"/>
  </r>
  <r>
    <n v="51"/>
    <s v="TORY MOLS"/>
    <d v="1899-12-30T20:27:10"/>
    <d v="1899-12-30T20:37:08"/>
    <d v="1899-12-30T22:39:54"/>
    <s v="1 hr 59 min 23s"/>
    <s v="dua-unee-xss"/>
    <x v="33"/>
    <d v="1899-12-30T02:12:44"/>
    <d v="1899-12-30T02:11:31"/>
    <n v="1"/>
    <n v="0"/>
  </r>
  <r>
    <n v="52"/>
    <s v="VITALIS KOECH"/>
    <d v="1899-12-30T20:27:10"/>
    <d v="1899-12-30T20:37:08"/>
    <d v="1899-12-30T22:39:54"/>
    <s v="1 hr 59 min 23s"/>
    <s v="dua-unee-xss"/>
    <x v="33"/>
    <d v="1899-12-30T02:12:44"/>
    <d v="1899-12-30T02:11:30"/>
    <n v="1"/>
    <n v="0"/>
  </r>
  <r>
    <n v="53"/>
    <s v="WANDA FORTUNATE"/>
    <d v="1899-12-30T20:27:10"/>
    <d v="1899-12-30T20:37:08"/>
    <d v="1899-12-30T22:39:54"/>
    <s v="1 hr 59 min 23s"/>
    <s v="dua-unee-xss"/>
    <x v="33"/>
    <d v="1899-12-30T02:12:44"/>
    <d v="1899-12-30T02:11:29"/>
    <n v="1"/>
    <n v="0"/>
  </r>
  <r>
    <n v="1"/>
    <s v="ANGULA ROSAMUNDE"/>
    <d v="1899-12-30T20:37:09"/>
    <d v="1899-12-30T20:37:10"/>
    <d v="1899-12-30T22:45:41"/>
    <s v="1 hr 49 min 8s"/>
    <s v="dua-unee-xss"/>
    <x v="34"/>
    <d v="1899-12-30T02:08:32"/>
    <d v="1899-12-30T02:11:29"/>
    <n v="1"/>
    <n v="0"/>
  </r>
  <r>
    <n v="2"/>
    <s v="ANTHONY GODSON AIDOO"/>
    <d v="1899-12-30T20:37:09"/>
    <d v="1899-12-30T22:43:37"/>
    <d v="1899-12-30T22:45:41"/>
    <s v="1 min 51s"/>
    <s v="dua-unee-xss"/>
    <x v="34"/>
    <d v="1899-12-30T02:08:32"/>
    <d v="1899-12-30T02:11:30"/>
    <n v="1"/>
    <n v="0"/>
  </r>
  <r>
    <n v="3"/>
    <s v="ARON NTULIZE"/>
    <d v="1899-12-30T20:37:09"/>
    <d v="1899-12-30T20:37:10"/>
    <d v="1899-12-30T22:45:41"/>
    <s v="1 hr 47 min 6s"/>
    <s v="dua-unee-xss"/>
    <x v="34"/>
    <d v="1899-12-30T02:08:32"/>
    <d v="1899-12-30T02:11:32"/>
    <n v="1"/>
    <n v="0"/>
  </r>
  <r>
    <n v="4"/>
    <s v="BENJAMIN MALES LOKOYA"/>
    <d v="1899-12-30T20:37:09"/>
    <d v="1899-12-30T20:37:10"/>
    <d v="1899-12-30T22:45:41"/>
    <s v="1 hr 47 min 6s"/>
    <s v="dua-unee-xss"/>
    <x v="34"/>
    <d v="1899-12-30T02:08:32"/>
    <d v="1899-12-30T02:11:33"/>
    <n v="1"/>
    <n v="0"/>
  </r>
  <r>
    <n v="5"/>
    <s v="BIRUNGI'S AI NOTETAKER"/>
    <d v="1899-12-30T20:37:09"/>
    <d v="1899-12-30T20:37:10"/>
    <d v="1899-12-30T22:45:41"/>
    <s v="1 hr 49 min 8s"/>
    <s v="dua-unee-xss"/>
    <x v="34"/>
    <d v="1899-12-30T02:08:32"/>
    <d v="1899-12-30T02:11:35"/>
    <n v="1"/>
    <n v="0"/>
  </r>
  <r>
    <n v="6"/>
    <s v="CHERUU JUL"/>
    <d v="1899-12-30T20:37:09"/>
    <d v="1899-12-30T20:37:10"/>
    <d v="1899-12-30T22:45:41"/>
    <s v="1 hr 47 min 6s"/>
    <s v="dua-unee-xss"/>
    <x v="34"/>
    <d v="1899-12-30T02:08:32"/>
    <d v="1899-12-30T02:11:37"/>
    <n v="1"/>
    <n v="0"/>
  </r>
  <r>
    <n v="7"/>
    <s v="CHRISTINA MOTHOBI"/>
    <d v="1899-12-30T20:37:09"/>
    <d v="1899-12-30T20:37:10"/>
    <d v="1899-12-30T22:45:41"/>
    <s v="1 hr 47 min 6s"/>
    <s v="dua-unee-xss"/>
    <x v="34"/>
    <d v="1899-12-30T02:08:32"/>
    <d v="1899-12-30T02:11:38"/>
    <n v="1"/>
    <n v="0"/>
  </r>
  <r>
    <n v="8"/>
    <s v="CHRISTOPHER MODI"/>
    <d v="1899-12-30T20:37:09"/>
    <d v="1899-12-30T20:37:10"/>
    <d v="1899-12-30T22:45:41"/>
    <s v="1 hr 49 min 8s"/>
    <s v="dua-unee-xss"/>
    <x v="34"/>
    <d v="1899-12-30T02:08:32"/>
    <d v="1899-12-30T02:11:40"/>
    <n v="1"/>
    <n v="0"/>
  </r>
  <r>
    <n v="9"/>
    <s v="EL MAJID SWALEH"/>
    <d v="1899-12-30T20:37:09"/>
    <d v="1899-12-30T20:37:10"/>
    <d v="1899-12-30T22:45:41"/>
    <s v="1 hr 48 min 51s"/>
    <s v="dua-unee-xss"/>
    <x v="34"/>
    <d v="1899-12-30T02:08:32"/>
    <d v="1899-12-30T02:11:42"/>
    <n v="1"/>
    <n v="0"/>
  </r>
  <r>
    <n v="10"/>
    <s v="EMMANUEL JOBS"/>
    <d v="1899-12-30T20:37:09"/>
    <d v="1899-12-30T20:37:10"/>
    <d v="1899-12-30T22:45:41"/>
    <s v="1 hr 47 min 6s"/>
    <s v="dua-unee-xss"/>
    <x v="34"/>
    <d v="1899-12-30T02:08:32"/>
    <d v="1899-12-30T02:11:44"/>
    <n v="1"/>
    <n v="0"/>
  </r>
  <r>
    <n v="11"/>
    <s v="ERIK"/>
    <d v="1899-12-30T20:37:09"/>
    <d v="1899-12-30T20:37:10"/>
    <d v="1899-12-30T22:45:41"/>
    <s v="1 hr 48 min 54s"/>
    <s v="dua-unee-xss"/>
    <x v="34"/>
    <d v="1899-12-30T02:08:32"/>
    <d v="1899-12-30T02:11:46"/>
    <n v="1"/>
    <n v="0"/>
  </r>
  <r>
    <n v="12"/>
    <s v="FIDELIS SKIPPER AMWEENYE EMOSHO (SKIPPER)"/>
    <d v="1899-12-30T20:37:09"/>
    <d v="1899-12-30T20:37:10"/>
    <d v="1899-12-30T22:45:41"/>
    <s v="1 hr 47 min 6s"/>
    <s v="dua-unee-xss"/>
    <x v="34"/>
    <d v="1899-12-30T02:08:32"/>
    <d v="1899-12-30T02:11:48"/>
    <n v="1"/>
    <n v="0"/>
  </r>
  <r>
    <n v="13"/>
    <s v="GODFREY BIRUNGI"/>
    <d v="1899-12-30T20:37:09"/>
    <d v="1899-12-30T20:37:10"/>
    <d v="1899-12-30T22:45:41"/>
    <s v="1 hr 49 min 8s"/>
    <s v="dua-unee-xss"/>
    <x v="34"/>
    <d v="1899-12-30T02:08:32"/>
    <d v="1899-12-30T02:11:50"/>
    <n v="1"/>
    <n v="0"/>
  </r>
  <r>
    <n v="14"/>
    <s v="HAROLD SUCCESS GOLAFALE"/>
    <d v="1899-12-30T20:37:09"/>
    <d v="1899-12-30T20:37:10"/>
    <d v="1899-12-30T22:45:41"/>
    <s v="1 hr 47 min 6s"/>
    <s v="dua-unee-xss"/>
    <x v="34"/>
    <d v="1899-12-30T02:08:32"/>
    <d v="1899-12-30T02:11:52"/>
    <n v="1"/>
    <n v="0"/>
  </r>
  <r>
    <n v="15"/>
    <s v="HELLEN ARIMPA"/>
    <d v="1899-12-30T20:37:09"/>
    <d v="1899-12-30T20:37:10"/>
    <d v="1899-12-30T22:45:41"/>
    <s v="1 hr 47 min 6s"/>
    <s v="dua-unee-xss"/>
    <x v="34"/>
    <d v="1899-12-30T02:08:32"/>
    <d v="1899-12-30T02:11:54"/>
    <n v="1"/>
    <n v="0"/>
  </r>
  <r>
    <n v="16"/>
    <s v="HENRY CHELELE"/>
    <d v="1899-12-30T20:37:09"/>
    <d v="1899-12-30T20:37:10"/>
    <d v="1899-12-30T22:45:41"/>
    <s v="1 hr 47 min 6s"/>
    <s v="dua-unee-xss"/>
    <x v="34"/>
    <d v="1899-12-30T02:08:32"/>
    <d v="1899-12-30T02:11:56"/>
    <n v="1"/>
    <n v="0"/>
  </r>
  <r>
    <n v="17"/>
    <s v="ISAAC OGWANG"/>
    <d v="1899-12-30T20:37:09"/>
    <d v="1899-12-30T20:37:10"/>
    <d v="1899-12-30T22:45:41"/>
    <s v="1 hr 48 min 51s"/>
    <s v="dua-unee-xss"/>
    <x v="34"/>
    <d v="1899-12-30T02:08:32"/>
    <d v="1899-12-30T02:11:58"/>
    <n v="1"/>
    <n v="0"/>
  </r>
  <r>
    <n v="18"/>
    <s v="IZARUKU RONALD"/>
    <d v="1899-12-30T20:37:09"/>
    <d v="1899-12-30T20:37:10"/>
    <d v="1899-12-30T22:45:41"/>
    <s v="1 hr 47 min 6s"/>
    <s v="dua-unee-xss"/>
    <x v="34"/>
    <d v="1899-12-30T02:08:32"/>
    <d v="1899-12-30T02:12:00"/>
    <n v="1"/>
    <n v="0"/>
  </r>
  <r>
    <n v="19"/>
    <s v="JACQUELINE NAMYALO"/>
    <d v="1899-12-30T20:37:09"/>
    <d v="1899-12-30T20:37:10"/>
    <d v="1899-12-30T22:45:41"/>
    <s v="1 hr 47 min 6s"/>
    <s v="dua-unee-xss"/>
    <x v="34"/>
    <d v="1899-12-30T02:08:32"/>
    <d v="1899-12-30T02:12:02"/>
    <n v="1"/>
    <n v="0"/>
  </r>
  <r>
    <n v="20"/>
    <s v="JAMES KAYONGO"/>
    <d v="1899-12-30T20:37:09"/>
    <d v="1899-12-30T20:37:10"/>
    <d v="1899-12-30T22:45:41"/>
    <s v="1 hr 47 min 6s"/>
    <s v="dua-unee-xss"/>
    <x v="34"/>
    <d v="1899-12-30T02:08:32"/>
    <d v="1899-12-30T02:12:04"/>
    <n v="1"/>
    <n v="0"/>
  </r>
  <r>
    <n v="21"/>
    <s v="JIMMY AKENA KAMUNDA"/>
    <d v="1899-12-30T20:37:09"/>
    <d v="1899-12-30T20:37:10"/>
    <d v="1899-12-30T22:45:41"/>
    <s v="1 hr 47 min 6s"/>
    <s v="dua-unee-xss"/>
    <x v="34"/>
    <d v="1899-12-30T02:08:32"/>
    <d v="1899-12-30T02:12:07"/>
    <n v="1"/>
    <n v="0"/>
  </r>
  <r>
    <n v="22"/>
    <s v="JOHN RWARU"/>
    <d v="1899-12-30T20:37:09"/>
    <d v="1899-12-30T22:43:37"/>
    <d v="1899-12-30T22:45:41"/>
    <s v="1 min 45s"/>
    <s v="dua-unee-xss"/>
    <x v="34"/>
    <d v="1899-12-30T02:08:32"/>
    <d v="1899-12-30T02:12:09"/>
    <n v="1"/>
    <n v="0"/>
  </r>
  <r>
    <n v="23"/>
    <s v="JOSEPH MBOGO"/>
    <d v="1899-12-30T20:37:09"/>
    <d v="1899-12-30T20:37:10"/>
    <d v="1899-12-30T22:45:41"/>
    <s v="1 hr 48 min 57s"/>
    <s v="dua-unee-xss"/>
    <x v="34"/>
    <d v="1899-12-30T02:08:32"/>
    <d v="1899-12-30T02:12:11"/>
    <n v="1"/>
    <n v="0"/>
  </r>
  <r>
    <n v="24"/>
    <s v="JOSEPH SAMILA"/>
    <d v="1899-12-30T20:37:09"/>
    <d v="1899-12-30T20:37:10"/>
    <d v="1899-12-30T22:45:41"/>
    <s v="1 hr 49 min 8s"/>
    <s v="dua-unee-xss"/>
    <x v="34"/>
    <d v="1899-12-30T02:08:32"/>
    <d v="1899-12-30T02:12:14"/>
    <n v="1"/>
    <n v="0"/>
  </r>
  <r>
    <n v="25"/>
    <s v="JOSHUA MHAKURE"/>
    <d v="1899-12-30T20:37:09"/>
    <d v="1899-12-30T20:37:10"/>
    <d v="1899-12-30T22:45:41"/>
    <s v="1 hr 47 min 6s"/>
    <s v="dua-unee-xss"/>
    <x v="34"/>
    <d v="1899-12-30T02:08:32"/>
    <d v="1899-12-30T02:12:16"/>
    <n v="1"/>
    <n v="0"/>
  </r>
  <r>
    <n v="26"/>
    <s v="KAMAU RUTH"/>
    <d v="1899-12-30T20:37:09"/>
    <d v="1899-12-30T20:37:10"/>
    <d v="1899-12-30T22:45:41"/>
    <s v="1 hr 47 min 6s"/>
    <s v="dua-unee-xss"/>
    <x v="34"/>
    <d v="1899-12-30T02:08:32"/>
    <d v="1899-12-30T02:12:19"/>
    <n v="1"/>
    <n v="0"/>
  </r>
  <r>
    <n v="27"/>
    <s v="KIIR ABIEM"/>
    <d v="1899-12-30T20:37:09"/>
    <d v="1899-12-30T20:37:10"/>
    <d v="1899-12-30T22:45:41"/>
    <s v="1 hr 47 min 6s"/>
    <s v="dua-unee-xss"/>
    <x v="34"/>
    <d v="1899-12-30T02:08:32"/>
    <d v="1899-12-30T02:12:21"/>
    <n v="1"/>
    <n v="0"/>
  </r>
  <r>
    <n v="28"/>
    <s v="LIZJOS AGENCIES"/>
    <d v="1899-12-30T20:37:09"/>
    <d v="1899-12-30T22:43:37"/>
    <d v="1899-12-30T22:45:41"/>
    <s v="2 min 2s"/>
    <s v="dua-unee-xss"/>
    <x v="34"/>
    <d v="1899-12-30T02:08:32"/>
    <d v="1899-12-30T02:12:24"/>
    <n v="1"/>
    <n v="0"/>
  </r>
  <r>
    <n v="29"/>
    <s v="LOKOSE ABEL"/>
    <d v="1899-12-30T20:37:09"/>
    <d v="1899-12-30T20:37:10"/>
    <d v="1899-12-30T22:45:41"/>
    <s v="1 hr 48 min 51s"/>
    <s v="dua-unee-xss"/>
    <x v="34"/>
    <d v="1899-12-30T02:08:32"/>
    <d v="1899-12-30T02:12:27"/>
    <n v="1"/>
    <n v="0"/>
  </r>
  <r>
    <n v="30"/>
    <s v="MAGHOGHO BOB"/>
    <d v="1899-12-30T20:37:09"/>
    <d v="1899-12-30T20:37:10"/>
    <d v="1899-12-30T22:45:41"/>
    <s v="1 hr 47 min 6s"/>
    <s v="dua-unee-xss"/>
    <x v="34"/>
    <d v="1899-12-30T02:08:32"/>
    <d v="1899-12-30T02:12:30"/>
    <n v="1"/>
    <n v="0"/>
  </r>
  <r>
    <n v="31"/>
    <s v="MARGARET NASSOLO"/>
    <d v="1899-12-30T20:37:09"/>
    <d v="1899-12-30T20:37:10"/>
    <d v="1899-12-30T22:45:41"/>
    <s v="1 hr 47 min 6s"/>
    <s v="dua-unee-xss"/>
    <x v="34"/>
    <d v="1899-12-30T02:08:32"/>
    <d v="1899-12-30T02:12:32"/>
    <n v="1"/>
    <n v="0"/>
  </r>
  <r>
    <n v="32"/>
    <s v="MARTIN LEMI"/>
    <d v="1899-12-30T20:37:09"/>
    <d v="1899-12-30T20:37:10"/>
    <d v="1899-12-30T22:45:41"/>
    <s v="1 hr 48 min 51s"/>
    <s v="dua-unee-xss"/>
    <x v="34"/>
    <d v="1899-12-30T02:08:32"/>
    <d v="1899-12-30T02:12:35"/>
    <n v="1"/>
    <n v="0"/>
  </r>
  <r>
    <n v="33"/>
    <s v="MARY NAMUKOKO"/>
    <d v="1899-12-30T20:37:09"/>
    <d v="1899-12-30T20:37:10"/>
    <d v="1899-12-30T22:45:41"/>
    <s v="1 hr 47 min 6s"/>
    <s v="dua-unee-xss"/>
    <x v="34"/>
    <d v="1899-12-30T02:08:32"/>
    <d v="1899-12-30T02:12:38"/>
    <n v="1"/>
    <n v="0"/>
  </r>
  <r>
    <n v="34"/>
    <s v="MILDRED DRUSILA"/>
    <d v="1899-12-30T20:37:09"/>
    <d v="1899-12-30T20:37:10"/>
    <d v="1899-12-30T22:45:41"/>
    <s v="1 hr 49 min 8s"/>
    <s v="dua-unee-xss"/>
    <x v="34"/>
    <d v="1899-12-30T02:08:32"/>
    <d v="1899-12-30T02:12:41"/>
    <n v="1"/>
    <n v="0"/>
  </r>
  <r>
    <n v="35"/>
    <s v="MOHAMED SALLY KAMARA"/>
    <d v="1899-12-30T20:37:09"/>
    <d v="1899-12-30T20:37:10"/>
    <d v="1899-12-30T22:45:41"/>
    <s v="1 hr 49 min 3s"/>
    <s v="dua-unee-xss"/>
    <x v="34"/>
    <d v="1899-12-30T02:08:32"/>
    <d v="1899-12-30T02:12:45"/>
    <n v="1"/>
    <n v="0"/>
  </r>
  <r>
    <n v="36"/>
    <s v="MORIBA KOROMA"/>
    <d v="1899-12-30T20:37:09"/>
    <d v="1899-12-30T20:37:10"/>
    <d v="1899-12-30T22:45:41"/>
    <s v="1 hr 48 min 55s"/>
    <s v="dua-unee-xss"/>
    <x v="34"/>
    <d v="1899-12-30T02:08:32"/>
    <d v="1899-12-30T02:12:48"/>
    <n v="1"/>
    <n v="0"/>
  </r>
  <r>
    <n v="37"/>
    <s v="ODUTI SAVIOUR"/>
    <d v="1899-12-30T20:37:09"/>
    <d v="1899-12-30T20:37:10"/>
    <d v="1899-12-30T22:45:41"/>
    <s v="1 hr 47 min 6s"/>
    <s v="dua-unee-xss"/>
    <x v="34"/>
    <d v="1899-12-30T02:08:32"/>
    <d v="1899-12-30T02:12:51"/>
    <n v="1"/>
    <n v="0"/>
  </r>
  <r>
    <n v="38"/>
    <s v="OKABO GEOFFREY"/>
    <d v="1899-12-30T20:37:09"/>
    <d v="1899-12-30T20:37:10"/>
    <d v="1899-12-30T22:45:41"/>
    <s v="1 hr 47 min 6s"/>
    <s v="dua-unee-xss"/>
    <x v="34"/>
    <d v="1899-12-30T02:08:32"/>
    <d v="1899-12-30T02:12:55"/>
    <n v="1"/>
    <n v="0"/>
  </r>
  <r>
    <n v="39"/>
    <s v="OMBASO JARED"/>
    <d v="1899-12-30T20:37:09"/>
    <d v="1899-12-30T20:37:10"/>
    <d v="1899-12-30T22:45:41"/>
    <s v="1 hr 47 min 6s"/>
    <s v="dua-unee-xss"/>
    <x v="34"/>
    <d v="1899-12-30T02:08:32"/>
    <d v="1899-12-30T02:12:58"/>
    <n v="1"/>
    <n v="0"/>
  </r>
  <r>
    <n v="40"/>
    <s v="OMELLA OWEN"/>
    <d v="1899-12-30T20:37:09"/>
    <d v="1899-12-30T20:37:10"/>
    <d v="1899-12-30T22:45:41"/>
    <s v="1 hr 47 min 6s"/>
    <s v="dua-unee-xss"/>
    <x v="34"/>
    <d v="1899-12-30T02:08:32"/>
    <d v="1899-12-30T02:13:02"/>
    <n v="1"/>
    <n v="0"/>
  </r>
  <r>
    <n v="41"/>
    <s v="ONE MAN"/>
    <d v="1899-12-30T20:37:09"/>
    <d v="1899-12-30T20:37:10"/>
    <d v="1899-12-30T22:45:41"/>
    <s v="1 hr 48 min 51s"/>
    <s v="dua-unee-xss"/>
    <x v="34"/>
    <d v="1899-12-30T02:08:32"/>
    <d v="1899-12-30T02:13:05"/>
    <n v="1"/>
    <n v="0"/>
  </r>
  <r>
    <n v="42"/>
    <s v="ONESMUS KORIR"/>
    <d v="1899-12-30T20:37:09"/>
    <d v="1899-12-30T20:37:10"/>
    <d v="1899-12-30T22:45:41"/>
    <s v="1 hr 47 min 6s"/>
    <s v="dua-unee-xss"/>
    <x v="34"/>
    <d v="1899-12-30T02:08:32"/>
    <d v="1899-12-30T02:13:09"/>
    <n v="1"/>
    <n v="0"/>
  </r>
  <r>
    <n v="43"/>
    <s v="PETET KOROMA"/>
    <d v="1899-12-30T20:37:09"/>
    <d v="1899-12-30T20:37:10"/>
    <d v="1899-12-30T22:45:41"/>
    <s v="1 hr 47 min 6s"/>
    <s v="dua-unee-xss"/>
    <x v="34"/>
    <d v="1899-12-30T02:08:32"/>
    <d v="1899-12-30T02:13:13"/>
    <n v="1"/>
    <n v="0"/>
  </r>
  <r>
    <n v="44"/>
    <s v="PRINCESS MAJOLA"/>
    <d v="1899-12-30T20:37:09"/>
    <d v="1899-12-30T20:37:10"/>
    <d v="1899-12-30T22:45:41"/>
    <s v="1 hr 47 min 6s"/>
    <s v="dua-unee-xss"/>
    <x v="34"/>
    <d v="1899-12-30T02:08:32"/>
    <d v="1899-12-30T02:13:17"/>
    <n v="1"/>
    <n v="0"/>
  </r>
  <r>
    <n v="45"/>
    <s v="RACHEAL KYALIMPA"/>
    <d v="1899-12-30T20:37:09"/>
    <d v="1899-12-30T20:37:10"/>
    <d v="1899-12-30T22:45:41"/>
    <s v="1 hr 47 min 6s"/>
    <s v="dua-unee-xss"/>
    <x v="34"/>
    <d v="1899-12-30T02:08:32"/>
    <d v="1899-12-30T02:13:21"/>
    <n v="1"/>
    <n v="0"/>
  </r>
  <r>
    <n v="46"/>
    <s v="ROBERT MAKUBUYA"/>
    <d v="1899-12-30T20:37:09"/>
    <d v="1899-12-30T20:37:10"/>
    <d v="1899-12-30T22:45:41"/>
    <s v="1 hr 47 min 6s"/>
    <s v="dua-unee-xss"/>
    <x v="34"/>
    <d v="1899-12-30T02:08:32"/>
    <d v="1899-12-30T02:13:25"/>
    <n v="1"/>
    <n v="0"/>
  </r>
  <r>
    <n v="47"/>
    <s v="RTN JOSES KAYUNGA"/>
    <d v="1899-12-30T20:37:09"/>
    <d v="1899-12-30T20:37:10"/>
    <d v="1899-12-30T22:45:41"/>
    <s v="1 hr 49 min 8s"/>
    <s v="dua-unee-xss"/>
    <x v="34"/>
    <d v="1899-12-30T02:08:32"/>
    <d v="1899-12-30T02:13:30"/>
    <n v="1"/>
    <n v="0"/>
  </r>
  <r>
    <n v="48"/>
    <s v="SARAH NAKAMATTE"/>
    <d v="1899-12-30T20:37:09"/>
    <d v="1899-12-30T20:37:10"/>
    <d v="1899-12-30T22:45:41"/>
    <s v="1 hr 47 min 6s"/>
    <s v="dua-unee-xss"/>
    <x v="34"/>
    <d v="1899-12-30T02:08:32"/>
    <d v="1899-12-30T02:13:34"/>
    <n v="1"/>
    <n v="0"/>
  </r>
  <r>
    <n v="49"/>
    <s v="SIMONPETER OUMA"/>
    <d v="1899-12-30T20:37:09"/>
    <d v="1899-12-30T20:37:10"/>
    <d v="1899-12-30T22:45:41"/>
    <s v="1 hr 47 min 6s"/>
    <s v="dua-unee-xss"/>
    <x v="34"/>
    <d v="1899-12-30T02:08:32"/>
    <d v="1899-12-30T02:13:39"/>
    <n v="1"/>
    <n v="0"/>
  </r>
  <r>
    <n v="50"/>
    <s v="THIS IS LINUS SANKEI"/>
    <d v="1899-12-30T20:37:09"/>
    <d v="1899-12-30T20:37:10"/>
    <d v="1899-12-30T22:45:41"/>
    <s v="1 hr 47 min 6s"/>
    <s v="dua-unee-xss"/>
    <x v="34"/>
    <d v="1899-12-30T02:08:32"/>
    <d v="1899-12-30T02:13:44"/>
    <n v="1"/>
    <n v="0"/>
  </r>
  <r>
    <n v="51"/>
    <s v="TORY MOLS"/>
    <d v="1899-12-30T20:37:09"/>
    <d v="1899-12-30T20:37:10"/>
    <d v="1899-12-30T22:45:41"/>
    <s v="1 hr 49 min 8s"/>
    <s v="dua-unee-xss"/>
    <x v="34"/>
    <d v="1899-12-30T02:08:32"/>
    <d v="1899-12-30T02:13:49"/>
    <n v="1"/>
    <n v="0"/>
  </r>
  <r>
    <n v="52"/>
    <s v="WANDA FORTUNATE"/>
    <d v="1899-12-30T20:37:09"/>
    <d v="1899-12-30T20:37:10"/>
    <d v="1899-12-30T22:45:41"/>
    <s v="1 hr 47 min 6s"/>
    <s v="dua-unee-xss"/>
    <x v="34"/>
    <d v="1899-12-30T02:08:32"/>
    <d v="1899-12-30T02:13:54"/>
    <n v="1"/>
    <n v="0"/>
  </r>
  <r>
    <n v="53"/>
    <s v="YUSUPHA SEESAY"/>
    <d v="1899-12-30T20:37:09"/>
    <d v="1899-12-30T20:37:10"/>
    <d v="1899-12-30T22:45:41"/>
    <s v="1 hr 47 min 6s"/>
    <s v="dua-unee-xss"/>
    <x v="34"/>
    <d v="1899-12-30T02:08:32"/>
    <d v="1899-12-30T02:13:59"/>
    <n v="1"/>
    <n v="0"/>
  </r>
  <r>
    <n v="1"/>
    <s v="ALEX MUHEREZA"/>
    <d v="1899-12-30T20:29:31"/>
    <d v="1899-12-30T20:32:18"/>
    <d v="1899-12-30T22:23:06"/>
    <s v="1 hr 49 min 39s"/>
    <s v="dua-unee-xss"/>
    <x v="35"/>
    <d v="1899-12-30T01:53:35"/>
    <d v="1899-12-30T02:14:05"/>
    <n v="1"/>
    <n v="0"/>
  </r>
  <r>
    <n v="2"/>
    <s v="AMARA BAJAHA"/>
    <d v="1899-12-30T00:00:00"/>
    <d v="1899-12-30T22:22:10"/>
    <d v="1899-12-30T22:23:06"/>
    <s v="0 min 56s"/>
    <s v="dua-unee-xss"/>
    <x v="35"/>
    <d v="1899-12-30T22:23:06"/>
    <d v="1899-12-30T02:14:25"/>
    <n v="1"/>
    <n v="0"/>
  </r>
  <r>
    <n v="3"/>
    <s v="ANTHONY GODSON AIDOO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4"/>
    <s v="ARON NTULIZE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"/>
    <s v="BENJAMIN MALES LOKOYA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6"/>
    <s v="CHERUU JUL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7"/>
    <s v="CHRISTINA MOTHOBI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8"/>
    <s v="CHRISTOPHER MODI"/>
    <d v="1899-12-30T20:29:31"/>
    <d v="1899-12-30T20:29:34"/>
    <d v="1899-12-30T22:23:06"/>
    <s v="1 hr 52 min 15s"/>
    <s v="dua-unee-xss"/>
    <x v="35"/>
    <d v="1899-12-30T01:53:35"/>
    <d v="1899-12-30T01:53:35"/>
    <n v="1"/>
    <n v="0"/>
  </r>
  <r>
    <n v="9"/>
    <s v="DANIEL ERABU"/>
    <d v="1899-12-30T20:29:31"/>
    <d v="1899-12-30T20:29:34"/>
    <d v="1899-12-30T22:23:06"/>
    <s v="1 hr 52 min 6s"/>
    <s v="dua-unee-xss"/>
    <x v="35"/>
    <d v="1899-12-30T01:53:35"/>
    <d v="1899-12-30T01:53:35"/>
    <n v="1"/>
    <n v="0"/>
  </r>
  <r>
    <n v="10"/>
    <s v="EL MAJID SWALEH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1"/>
    <s v="EMMANUEL JOBS"/>
    <d v="1899-12-30T20:29:31"/>
    <d v="1899-12-30T20:30:42"/>
    <d v="1899-12-30T22:23:06"/>
    <s v="1 hr 51 min 51s"/>
    <s v="dua-unee-xss"/>
    <x v="35"/>
    <d v="1899-12-30T01:53:35"/>
    <d v="1899-12-30T01:53:35"/>
    <n v="1"/>
    <n v="0"/>
  </r>
  <r>
    <n v="12"/>
    <s v="ERIK"/>
    <d v="1899-12-30T20:29:31"/>
    <d v="1899-12-30T20:29:34"/>
    <d v="1899-12-30T22:23:06"/>
    <s v="1 hr 52 min 30s"/>
    <s v="dua-unee-xss"/>
    <x v="35"/>
    <d v="1899-12-30T01:53:35"/>
    <d v="1899-12-30T01:53:35"/>
    <n v="1"/>
    <n v="0"/>
  </r>
  <r>
    <n v="13"/>
    <s v="FIDELIS SKIPPER AMWEENYE EMOSHO (SKIPPER)"/>
    <d v="1899-12-30T20:29:31"/>
    <d v="1899-12-30T20:29:34"/>
    <d v="1899-12-30T22:23:06"/>
    <s v="1 hr 52 min 5s"/>
    <s v="dua-unee-xss"/>
    <x v="35"/>
    <d v="1899-12-30T01:53:35"/>
    <d v="1899-12-30T01:53:35"/>
    <n v="1"/>
    <n v="0"/>
  </r>
  <r>
    <n v="14"/>
    <s v="FREDY BAHILI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5"/>
    <s v="GODFREY BIRUNGI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16"/>
    <s v="GOOD LORD"/>
    <d v="1899-12-30T20:29:31"/>
    <d v="1899-12-30T20:33:13"/>
    <d v="1899-12-30T22:23:06"/>
    <s v="1 min 37s"/>
    <s v="dua-unee-xss"/>
    <x v="35"/>
    <d v="1899-12-30T01:53:35"/>
    <d v="1899-12-30T01:53:35"/>
    <n v="1"/>
    <n v="0"/>
  </r>
  <r>
    <n v="17"/>
    <s v="HAROLD SUCCESS GOLAFALE"/>
    <d v="1899-12-30T20:29:31"/>
    <d v="1899-12-30T20:31:36"/>
    <d v="1899-12-30T22:23:06"/>
    <s v="1 hr 24 min 56s"/>
    <s v="dua-unee-xss"/>
    <x v="35"/>
    <d v="1899-12-30T01:53:35"/>
    <d v="1899-12-30T01:53:35"/>
    <n v="1"/>
    <n v="0"/>
  </r>
  <r>
    <n v="18"/>
    <s v="HELLEN ARIMPA"/>
    <d v="1899-12-30T20:29:31"/>
    <d v="1899-12-30T20:31:29"/>
    <d v="1899-12-30T22:23:06"/>
    <s v="1 hr 50 min 16s"/>
    <s v="dua-unee-xss"/>
    <x v="35"/>
    <d v="1899-12-30T01:53:35"/>
    <d v="1899-12-30T01:53:35"/>
    <n v="1"/>
    <n v="0"/>
  </r>
  <r>
    <n v="19"/>
    <s v="HENRY CHELELE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20"/>
    <s v="HUGUES GAKWAVU"/>
    <d v="1899-12-30T20:29:31"/>
    <d v="1899-12-30T20:58:44"/>
    <d v="1899-12-30T22:23:06"/>
    <s v="1 hr 23 min 21s"/>
    <s v="dua-unee-xss"/>
    <x v="35"/>
    <d v="1899-12-30T01:53:35"/>
    <d v="1899-12-30T01:53:35"/>
    <n v="1"/>
    <n v="0"/>
  </r>
  <r>
    <n v="21"/>
    <s v="ISAAC OGWANG"/>
    <d v="1899-12-30T20:29:31"/>
    <d v="1899-12-30T20:32:39"/>
    <d v="1899-12-30T22:23:06"/>
    <s v="1 hr 49 min 14s"/>
    <s v="dua-unee-xss"/>
    <x v="35"/>
    <d v="1899-12-30T01:53:35"/>
    <d v="1899-12-30T01:53:35"/>
    <n v="1"/>
    <n v="0"/>
  </r>
  <r>
    <n v="22"/>
    <s v="IZARUKU RONALD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3"/>
    <s v="JACQUELINE NAMYALO"/>
    <d v="1899-12-30T20:29:31"/>
    <d v="1899-12-30T20:30:12"/>
    <d v="1899-12-30T22:23:06"/>
    <s v="1 hr 51 min 25s"/>
    <s v="dua-unee-xss"/>
    <x v="35"/>
    <d v="1899-12-30T01:53:35"/>
    <d v="1899-12-30T01:53:35"/>
    <n v="1"/>
    <n v="0"/>
  </r>
  <r>
    <n v="24"/>
    <s v="JAMES KAYONGO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5"/>
    <s v="JOHN RWARU"/>
    <d v="1899-12-30T20:29:31"/>
    <d v="1899-12-30T20:29:34"/>
    <d v="1899-12-30T22:23:06"/>
    <s v="1 hr 52 min 22s"/>
    <s v="dua-unee-xss"/>
    <x v="35"/>
    <d v="1899-12-30T01:53:35"/>
    <d v="1899-12-30T01:53:35"/>
    <n v="1"/>
    <n v="0"/>
  </r>
  <r>
    <n v="26"/>
    <s v="JOSEPH MBOGO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27"/>
    <s v="JOSEPH SAMILA"/>
    <d v="1899-12-30T20:29:31"/>
    <d v="1899-12-30T20:32:42"/>
    <d v="1899-12-30T22:23:06"/>
    <s v="1 hr 49 min 11s"/>
    <s v="dua-unee-xss"/>
    <x v="35"/>
    <d v="1899-12-30T01:53:35"/>
    <d v="1899-12-30T01:53:35"/>
    <n v="1"/>
    <n v="0"/>
  </r>
  <r>
    <n v="28"/>
    <s v="JOSHUA MHAKURE"/>
    <d v="1899-12-30T20:29:31"/>
    <d v="1899-12-30T20:33:27"/>
    <d v="1899-12-30T22:23:06"/>
    <s v="1 hr 49 min 6s"/>
    <s v="dua-unee-xss"/>
    <x v="35"/>
    <d v="1899-12-30T01:53:35"/>
    <d v="1899-12-30T01:53:35"/>
    <n v="1"/>
    <n v="0"/>
  </r>
  <r>
    <n v="29"/>
    <s v="KAMARA MOHAMED SALLU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0"/>
    <s v="KAMAU RUTH"/>
    <d v="1899-12-30T20:29:31"/>
    <d v="1899-12-30T20:33:37"/>
    <d v="1899-12-30T22:23:06"/>
    <s v="1 hr 48 min 16s"/>
    <s v="dua-unee-xss"/>
    <x v="35"/>
    <d v="1899-12-30T01:53:35"/>
    <d v="1899-12-30T01:53:35"/>
    <n v="1"/>
    <n v="0"/>
  </r>
  <r>
    <n v="31"/>
    <s v="KIIR ABIEM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2"/>
    <s v="MAGHOGHO BOB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3"/>
    <s v="MAHAMADOU MAMANE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34"/>
    <s v="MARGARET NASSOLO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5"/>
    <s v="MARTIN LEMI"/>
    <d v="1899-12-30T20:29:31"/>
    <d v="1899-12-30T20:33:13"/>
    <d v="1899-12-30T22:23:06"/>
    <s v="1 hr 49 min 7s"/>
    <s v="dua-unee-xss"/>
    <x v="35"/>
    <d v="1899-12-30T01:53:35"/>
    <d v="1899-12-30T01:53:35"/>
    <n v="1"/>
    <n v="0"/>
  </r>
  <r>
    <n v="36"/>
    <s v="MARY NAMUKOKO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7"/>
    <s v="MILDRED DRUSILA"/>
    <d v="1899-12-30T20:29:31"/>
    <d v="1899-12-30T20:29:34"/>
    <d v="1899-12-30T22:23:06"/>
    <s v="1 hr 52 min 13s"/>
    <s v="dua-unee-xss"/>
    <x v="35"/>
    <d v="1899-12-30T01:53:35"/>
    <d v="1899-12-30T01:53:35"/>
    <n v="1"/>
    <n v="0"/>
  </r>
  <r>
    <n v="38"/>
    <s v="MOHAMED KABIA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39"/>
    <s v="MOHAMED SALLY KAMARA"/>
    <d v="1899-12-30T20:29:31"/>
    <d v="1899-12-30T22:22:10"/>
    <d v="1899-12-30T22:23:06"/>
    <s v="0 min 3s"/>
    <s v="dua-unee-xss"/>
    <x v="35"/>
    <d v="1899-12-30T01:53:35"/>
    <d v="1899-12-30T01:53:35"/>
    <n v="1"/>
    <n v="0"/>
  </r>
  <r>
    <n v="40"/>
    <s v="NASSAMULA JOSEPHINE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41"/>
    <s v="NDAGIRE AGNES"/>
    <d v="1899-12-30T20:29:31"/>
    <d v="1899-12-30T22:22:10"/>
    <d v="1899-12-30T22:23:06"/>
    <s v="0 min 2s"/>
    <s v="dua-unee-xss"/>
    <x v="35"/>
    <d v="1899-12-30T01:53:35"/>
    <d v="1899-12-30T01:53:35"/>
    <n v="1"/>
    <n v="0"/>
  </r>
  <r>
    <n v="42"/>
    <s v="ODUTI SAVIOUR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3"/>
    <s v="OKABO GEOFFREY"/>
    <d v="1899-12-30T20:29:31"/>
    <d v="1899-12-30T20:34:50"/>
    <d v="1899-12-30T22:23:06"/>
    <s v="1 hr 48 min 0s"/>
    <s v="dua-unee-xss"/>
    <x v="35"/>
    <d v="1899-12-30T01:53:35"/>
    <d v="1899-12-30T01:53:35"/>
    <n v="1"/>
    <n v="0"/>
  </r>
  <r>
    <n v="44"/>
    <s v="OMELLA OWEN"/>
    <d v="1899-12-30T20:29:31"/>
    <d v="1899-12-30T20:29:34"/>
    <d v="1899-12-30T22:23:06"/>
    <s v="1 hr 52 min 16s"/>
    <s v="dua-unee-xss"/>
    <x v="35"/>
    <d v="1899-12-30T01:53:35"/>
    <d v="1899-12-30T01:53:35"/>
    <n v="1"/>
    <n v="0"/>
  </r>
  <r>
    <n v="45"/>
    <s v="ONE MAN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6"/>
    <s v="ONESMUS KORIR"/>
    <d v="1899-12-30T20:29:31"/>
    <d v="1899-12-30T20:29:34"/>
    <d v="1899-12-30T22:23:06"/>
    <s v="1 hr 52 min 7s"/>
    <s v="dua-unee-xss"/>
    <x v="35"/>
    <d v="1899-12-30T01:53:35"/>
    <d v="1899-12-30T01:53:35"/>
    <n v="1"/>
    <n v="0"/>
  </r>
  <r>
    <n v="47"/>
    <s v="PETET KOROMA"/>
    <d v="1899-12-30T20:29:31"/>
    <d v="1899-12-30T20:34:50"/>
    <d v="1899-12-30T22:23:06"/>
    <s v="1 hr 47 min 4s"/>
    <s v="dua-unee-xss"/>
    <x v="35"/>
    <d v="1899-12-30T01:53:35"/>
    <d v="1899-12-30T01:53:35"/>
    <n v="1"/>
    <n v="0"/>
  </r>
  <r>
    <n v="48"/>
    <s v="PRINCESS MAJOLA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9"/>
    <s v="RACHEAL KYALIMPA"/>
    <d v="1899-12-30T20:29:31"/>
    <d v="1899-12-30T20:33:15"/>
    <d v="1899-12-30T22:23:06"/>
    <s v="1 hr 49 min 35s"/>
    <s v="dua-unee-xss"/>
    <x v="35"/>
    <d v="1899-12-30T01:53:35"/>
    <d v="1899-12-30T01:53:35"/>
    <n v="1"/>
    <n v="0"/>
  </r>
  <r>
    <n v="50"/>
    <s v="RAMATA M KEITA"/>
    <d v="1899-12-30T20:29:31"/>
    <d v="1899-12-30T20:30:01"/>
    <d v="1899-12-30T22:23:06"/>
    <s v="1 hr 51 min 56s"/>
    <s v="dua-unee-xss"/>
    <x v="35"/>
    <d v="1899-12-30T01:53:35"/>
    <d v="1899-12-30T01:53:35"/>
    <n v="1"/>
    <n v="0"/>
  </r>
  <r>
    <n v="51"/>
    <s v="ROBERT MAKUBUYA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52"/>
    <s v="RTN JOSES KAYUNGA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3"/>
    <s v="SABO MIKE"/>
    <d v="1899-12-30T20:29:31"/>
    <d v="1899-12-30T20:29:42"/>
    <d v="1899-12-30T22:23:06"/>
    <s v="1 hr 52 min 20s"/>
    <s v="dua-unee-xss"/>
    <x v="35"/>
    <d v="1899-12-30T01:53:35"/>
    <d v="1899-12-30T01:53:35"/>
    <n v="1"/>
    <n v="0"/>
  </r>
  <r>
    <n v="54"/>
    <s v="SARAH NAKAMATTE"/>
    <d v="1899-12-30T20:29:31"/>
    <d v="1899-12-30T20:30:22"/>
    <d v="1899-12-30T22:23:06"/>
    <s v="1 hr 51 min 17s"/>
    <s v="dua-unee-xss"/>
    <x v="35"/>
    <d v="1899-12-30T01:53:35"/>
    <d v="1899-12-30T01:53:35"/>
    <n v="1"/>
    <n v="0"/>
  </r>
  <r>
    <n v="55"/>
    <s v="SIMONPETER OUMA"/>
    <d v="1899-12-30T20:29:31"/>
    <d v="1899-12-30T20:34:53"/>
    <d v="1899-12-30T22:23:06"/>
    <s v="1 hr 47 min 58s"/>
    <s v="dua-unee-xss"/>
    <x v="35"/>
    <d v="1899-12-30T01:53:35"/>
    <d v="1899-12-30T01:53:35"/>
    <n v="1"/>
    <n v="0"/>
  </r>
  <r>
    <n v="56"/>
    <s v="THIS IS LINUS SANKEI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57"/>
    <s v="TORY MOLS"/>
    <d v="1899-12-30T20:29:31"/>
    <d v="1899-12-30T20:58:44"/>
    <d v="1899-12-30T22:23:06"/>
    <s v="1 hr 23 min 24s"/>
    <s v="dua-unee-xss"/>
    <x v="35"/>
    <d v="1899-12-30T01:53:35"/>
    <d v="1899-12-30T01:53:35"/>
    <n v="1"/>
    <n v="0"/>
  </r>
  <r>
    <n v="58"/>
    <s v="VITALIS KOECH"/>
    <d v="1899-12-30T20:29:31"/>
    <d v="1899-12-30T22:22:10"/>
    <d v="1899-12-30T22:23:06"/>
    <s v="0 min 53s"/>
    <s v="dua-unee-xss"/>
    <x v="35"/>
    <d v="1899-12-30T01:53:35"/>
    <d v="1899-12-30T01:53:35"/>
    <n v="1"/>
    <n v="0"/>
  </r>
  <r>
    <n v="59"/>
    <s v="WANDA FORTUNATE"/>
    <d v="1899-12-30T20:29:31"/>
    <d v="1899-12-30T20:33:34"/>
    <d v="1899-12-30T22:23:06"/>
    <s v="25 min 1s"/>
    <s v="dua-unee-xss"/>
    <x v="35"/>
    <d v="1899-12-30T01:53:35"/>
    <d v="1899-12-30T01:53:35"/>
    <n v="1"/>
    <n v="0"/>
  </r>
  <r>
    <n v="60"/>
    <s v="YUSUPHA SEESAY"/>
    <d v="1899-12-30T20:29:31"/>
    <d v="1899-12-30T20:29:34"/>
    <d v="1899-12-30T22:23:06"/>
    <s v="1 hr 52 min 3s"/>
    <s v="dua-unee-xss"/>
    <x v="35"/>
    <d v="1899-12-30T01:53:35"/>
    <d v="1899-12-30T01:53:35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n v="1"/>
    <x v="0"/>
    <d v="1899-12-30T20:38:11"/>
    <d v="1899-12-30T22:23:00"/>
    <d v="1899-12-30T22:51:02"/>
    <s v="15 min 11s"/>
    <s v="qko-gvfr-grx"/>
    <x v="0"/>
    <d v="1899-12-30T02:12:51"/>
    <d v="1899-12-30T02:03:07"/>
    <n v="0"/>
    <n v="1"/>
  </r>
  <r>
    <n v="2"/>
    <x v="1"/>
    <d v="1899-12-30T20:38:11"/>
    <d v="1899-12-30T20:38:14"/>
    <d v="1899-12-30T22:51:02"/>
    <s v="2 hr 12 min 45s"/>
    <s v="qko-gvfr-grx"/>
    <x v="0"/>
    <d v="1899-12-30T02:12:51"/>
    <d v="1899-12-30T02:03:06"/>
    <n v="0"/>
    <n v="1"/>
  </r>
  <r>
    <n v="3"/>
    <x v="2"/>
    <d v="1899-12-30T20:38:11"/>
    <d v="1899-12-30T20:38:14"/>
    <d v="1899-12-30T22:51:02"/>
    <s v="2 hr 12 min 40s"/>
    <s v="qko-gvfr-grx"/>
    <x v="0"/>
    <d v="1899-12-30T02:12:51"/>
    <d v="1899-12-30T02:03:06"/>
    <n v="0"/>
    <n v="1"/>
  </r>
  <r>
    <n v="4"/>
    <x v="3"/>
    <d v="1899-12-30T20:38:11"/>
    <d v="1899-12-30T22:23:00"/>
    <d v="1899-12-30T22:51:02"/>
    <s v="28 min 3s"/>
    <s v="qko-gvfr-grx"/>
    <x v="0"/>
    <d v="1899-12-30T02:12:51"/>
    <d v="1899-12-30T02:03:05"/>
    <n v="0"/>
    <n v="1"/>
  </r>
  <r>
    <n v="5"/>
    <x v="4"/>
    <d v="1899-12-30T20:38:11"/>
    <d v="1899-12-30T22:23:00"/>
    <d v="1899-12-30T22:51:02"/>
    <s v="17 min 38s"/>
    <s v="qko-gvfr-grx"/>
    <x v="0"/>
    <d v="1899-12-30T02:12:51"/>
    <d v="1899-12-30T02:03:05"/>
    <n v="0"/>
    <n v="1"/>
  </r>
  <r>
    <n v="6"/>
    <x v="5"/>
    <d v="1899-12-30T20:38:11"/>
    <d v="1899-12-30T20:38:14"/>
    <d v="1899-12-30T22:51:02"/>
    <s v="2 hr 12 min 46s"/>
    <s v="qko-gvfr-grx"/>
    <x v="0"/>
    <d v="1899-12-30T02:12:51"/>
    <d v="1899-12-30T02:03:05"/>
    <n v="0"/>
    <n v="1"/>
  </r>
  <r>
    <n v="7"/>
    <x v="6"/>
    <d v="1899-12-30T20:38:11"/>
    <d v="1899-12-30T20:38:14"/>
    <d v="1899-12-30T22:51:02"/>
    <s v="1 hr 44 min 43s"/>
    <s v="qko-gvfr-grx"/>
    <x v="0"/>
    <d v="1899-12-30T02:12:51"/>
    <d v="1899-12-30T02:03:04"/>
    <n v="0"/>
    <n v="1"/>
  </r>
  <r>
    <n v="8"/>
    <x v="7"/>
    <d v="1899-12-30T20:38:11"/>
    <d v="1899-12-30T20:38:14"/>
    <d v="1899-12-30T22:51:02"/>
    <s v="2 hr 12 min 39s"/>
    <s v="qko-gvfr-grx"/>
    <x v="0"/>
    <d v="1899-12-30T02:12:51"/>
    <d v="1899-12-30T02:03:04"/>
    <n v="0"/>
    <n v="1"/>
  </r>
  <r>
    <n v="9"/>
    <x v="8"/>
    <d v="1899-12-30T20:38:11"/>
    <d v="1899-12-30T20:38:14"/>
    <d v="1899-12-30T22:51:02"/>
    <s v="2 hr 12 min 46s"/>
    <s v="qko-gvfr-grx"/>
    <x v="0"/>
    <d v="1899-12-30T02:12:51"/>
    <d v="1899-12-30T02:03:03"/>
    <n v="0"/>
    <n v="1"/>
  </r>
  <r>
    <n v="10"/>
    <x v="9"/>
    <d v="1899-12-30T20:38:11"/>
    <d v="1899-12-30T20:38:14"/>
    <d v="1899-12-30T22:51:02"/>
    <s v="1 hr 58 min 27s"/>
    <s v="qko-gvfr-grx"/>
    <x v="0"/>
    <d v="1899-12-30T02:12:51"/>
    <d v="1899-12-30T02:03:03"/>
    <n v="0"/>
    <n v="1"/>
  </r>
  <r>
    <n v="11"/>
    <x v="10"/>
    <d v="1899-12-30T20:38:11"/>
    <d v="1899-12-30T22:23:00"/>
    <d v="1899-12-30T22:51:02"/>
    <s v="25 min 23s"/>
    <s v="qko-gvfr-grx"/>
    <x v="0"/>
    <d v="1899-12-30T02:12:51"/>
    <d v="1899-12-30T02:03:02"/>
    <n v="0"/>
    <n v="1"/>
  </r>
  <r>
    <n v="12"/>
    <x v="11"/>
    <d v="1899-12-30T20:38:11"/>
    <d v="1899-12-30T22:23:00"/>
    <d v="1899-12-30T22:51:02"/>
    <s v="27 min 51s"/>
    <s v="qko-gvfr-grx"/>
    <x v="0"/>
    <d v="1899-12-30T02:12:51"/>
    <d v="1899-12-30T02:03:02"/>
    <n v="0"/>
    <n v="1"/>
  </r>
  <r>
    <n v="1"/>
    <x v="12"/>
    <d v="1899-12-30T20:41:24"/>
    <d v="1899-12-30T20:41:27"/>
    <d v="1899-12-30T23:05:28"/>
    <s v="2 hr 14 min 23s"/>
    <s v="bvm-hrrr-qjc"/>
    <x v="1"/>
    <d v="1899-12-30T02:24:04"/>
    <d v="1899-12-30T02:03:02"/>
    <n v="0"/>
    <n v="1"/>
  </r>
  <r>
    <n v="2"/>
    <x v="0"/>
    <d v="1899-12-30T20:41:24"/>
    <d v="1899-12-30T20:41:27"/>
    <d v="1899-12-30T23:05:28"/>
    <s v="2 hr 14 min 23s"/>
    <s v="bvm-hrrr-qjc"/>
    <x v="1"/>
    <d v="1899-12-30T02:24:04"/>
    <d v="1899-12-30T02:03:01"/>
    <n v="0"/>
    <n v="1"/>
  </r>
  <r>
    <n v="3"/>
    <x v="1"/>
    <d v="1899-12-30T20:41:24"/>
    <d v="1899-12-30T20:41:27"/>
    <d v="1899-12-30T23:05:28"/>
    <s v="2 hr 23 min 26s"/>
    <s v="bvm-hrrr-qjc"/>
    <x v="1"/>
    <d v="1899-12-30T02:24:04"/>
    <d v="1899-12-30T02:03:00"/>
    <n v="0"/>
    <n v="1"/>
  </r>
  <r>
    <n v="4"/>
    <x v="2"/>
    <d v="1899-12-30T20:41:24"/>
    <d v="1899-12-30T20:41:27"/>
    <d v="1899-12-30T23:05:28"/>
    <s v="2 hr 23 min 26s"/>
    <s v="bvm-hrrr-qjc"/>
    <x v="1"/>
    <d v="1899-12-30T02:24:04"/>
    <d v="1899-12-30T02:02:59"/>
    <n v="0"/>
    <n v="1"/>
  </r>
  <r>
    <n v="5"/>
    <x v="3"/>
    <d v="1899-12-30T20:41:24"/>
    <d v="1899-12-30T22:56:12"/>
    <d v="1899-12-30T23:05:28"/>
    <s v="9 min 0s"/>
    <s v="bvm-hrrr-qjc"/>
    <x v="1"/>
    <d v="1899-12-30T02:24:04"/>
    <d v="1899-12-30T02:02:58"/>
    <n v="0"/>
    <n v="1"/>
  </r>
  <r>
    <n v="6"/>
    <x v="13"/>
    <d v="1899-12-30T20:41:24"/>
    <d v="1899-12-30T20:41:27"/>
    <d v="1899-12-30T23:05:28"/>
    <s v="2 hr 14 min 23s"/>
    <s v="bvm-hrrr-qjc"/>
    <x v="1"/>
    <d v="1899-12-30T02:24:04"/>
    <d v="1899-12-30T02:02:57"/>
    <n v="0"/>
    <n v="1"/>
  </r>
  <r>
    <n v="7"/>
    <x v="4"/>
    <d v="1899-12-30T20:41:24"/>
    <d v="1899-12-30T20:41:27"/>
    <d v="1899-12-30T23:05:28"/>
    <s v="2 hr 14 min 23s"/>
    <s v="bvm-hrrr-qjc"/>
    <x v="1"/>
    <d v="1899-12-30T02:24:04"/>
    <d v="1899-12-30T02:02:56"/>
    <n v="0"/>
    <n v="1"/>
  </r>
  <r>
    <n v="8"/>
    <x v="14"/>
    <d v="1899-12-30T20:41:24"/>
    <d v="1899-12-30T20:41:27"/>
    <d v="1899-12-30T23:05:28"/>
    <s v="2 hr 14 min 23s"/>
    <s v="bvm-hrrr-qjc"/>
    <x v="1"/>
    <d v="1899-12-30T02:24:04"/>
    <d v="1899-12-30T02:02:55"/>
    <n v="0"/>
    <n v="1"/>
  </r>
  <r>
    <n v="9"/>
    <x v="15"/>
    <d v="1899-12-30T20:41:24"/>
    <d v="1899-12-30T20:41:27"/>
    <d v="1899-12-30T23:05:28"/>
    <s v="2 hr 14 min 23s"/>
    <s v="bvm-hrrr-qjc"/>
    <x v="1"/>
    <d v="1899-12-30T02:24:04"/>
    <d v="1899-12-30T02:02:54"/>
    <n v="0"/>
    <n v="1"/>
  </r>
  <r>
    <n v="10"/>
    <x v="5"/>
    <d v="1899-12-30T20:41:24"/>
    <d v="1899-12-30T20:41:27"/>
    <d v="1899-12-30T23:05:28"/>
    <s v="2 hr 23 min 35s"/>
    <s v="bvm-hrrr-qjc"/>
    <x v="1"/>
    <d v="1899-12-30T02:24:04"/>
    <d v="1899-12-30T02:02:53"/>
    <n v="0"/>
    <n v="1"/>
  </r>
  <r>
    <n v="11"/>
    <x v="16"/>
    <d v="1899-12-30T20:41:24"/>
    <d v="1899-12-30T20:41:27"/>
    <d v="1899-12-30T23:05:28"/>
    <s v="2 hr 14 min 23s"/>
    <s v="bvm-hrrr-qjc"/>
    <x v="1"/>
    <d v="1899-12-30T02:24:04"/>
    <d v="1899-12-30T02:02:52"/>
    <n v="0"/>
    <n v="1"/>
  </r>
  <r>
    <n v="12"/>
    <x v="6"/>
    <d v="1899-12-30T20:41:24"/>
    <d v="1899-12-30T20:41:27"/>
    <d v="1899-12-30T23:05:28"/>
    <s v="2 hr 23 min 24s"/>
    <s v="bvm-hrrr-qjc"/>
    <x v="1"/>
    <d v="1899-12-30T02:24:04"/>
    <d v="1899-12-30T02:02:51"/>
    <n v="0"/>
    <n v="1"/>
  </r>
  <r>
    <n v="13"/>
    <x v="17"/>
    <d v="1899-12-30T20:41:24"/>
    <d v="1899-12-30T20:41:27"/>
    <d v="1899-12-30T23:05:28"/>
    <s v="2 hr 14 min 23s"/>
    <s v="bvm-hrrr-qjc"/>
    <x v="1"/>
    <d v="1899-12-30T02:24:04"/>
    <d v="1899-12-30T02:02:51"/>
    <n v="0"/>
    <n v="1"/>
  </r>
  <r>
    <n v="14"/>
    <x v="7"/>
    <d v="1899-12-30T20:41:24"/>
    <d v="1899-12-30T20:41:27"/>
    <d v="1899-12-30T23:05:28"/>
    <s v="2 hr 23 min 28s"/>
    <s v="bvm-hrrr-qjc"/>
    <x v="1"/>
    <d v="1899-12-30T02:24:04"/>
    <d v="1899-12-30T02:02:50"/>
    <n v="0"/>
    <n v="1"/>
  </r>
  <r>
    <n v="15"/>
    <x v="18"/>
    <d v="1899-12-30T20:41:24"/>
    <d v="1899-12-30T20:41:27"/>
    <d v="1899-12-30T23:05:28"/>
    <s v="2 hr 14 min 23s"/>
    <s v="bvm-hrrr-qjc"/>
    <x v="1"/>
    <d v="1899-12-30T02:24:04"/>
    <d v="1899-12-30T02:02:49"/>
    <n v="0"/>
    <n v="1"/>
  </r>
  <r>
    <n v="16"/>
    <x v="19"/>
    <d v="1899-12-30T20:41:24"/>
    <d v="1899-12-30T20:41:27"/>
    <d v="1899-12-30T23:05:28"/>
    <s v="2 hr 23 min 35s"/>
    <s v="bvm-hrrr-qjc"/>
    <x v="1"/>
    <d v="1899-12-30T02:24:04"/>
    <d v="1899-12-30T02:02:48"/>
    <n v="0"/>
    <n v="1"/>
  </r>
  <r>
    <n v="17"/>
    <x v="8"/>
    <d v="1899-12-30T20:41:24"/>
    <d v="1899-12-30T20:41:27"/>
    <d v="1899-12-30T23:05:28"/>
    <s v="2 hr 23 min 33s"/>
    <s v="bvm-hrrr-qjc"/>
    <x v="1"/>
    <d v="1899-12-30T02:24:04"/>
    <d v="1899-12-30T02:02:47"/>
    <n v="0"/>
    <n v="1"/>
  </r>
  <r>
    <n v="18"/>
    <x v="20"/>
    <d v="1899-12-30T20:41:24"/>
    <d v="1899-12-30T22:56:12"/>
    <d v="1899-12-30T23:05:28"/>
    <s v="9 min 12s"/>
    <s v="bvm-hrrr-qjc"/>
    <x v="1"/>
    <d v="1899-12-30T02:24:04"/>
    <d v="1899-12-30T02:02:46"/>
    <n v="0"/>
    <n v="1"/>
  </r>
  <r>
    <n v="19"/>
    <x v="9"/>
    <d v="1899-12-30T20:41:24"/>
    <d v="1899-12-30T20:41:27"/>
    <d v="1899-12-30T23:05:28"/>
    <s v="2 hr 22 min 48s"/>
    <s v="bvm-hrrr-qjc"/>
    <x v="1"/>
    <d v="1899-12-30T02:24:04"/>
    <d v="1899-12-30T02:02:45"/>
    <n v="0"/>
    <n v="1"/>
  </r>
  <r>
    <n v="20"/>
    <x v="21"/>
    <d v="1899-12-30T20:41:24"/>
    <d v="1899-12-30T20:41:27"/>
    <d v="1899-12-30T23:05:28"/>
    <s v="2 hr 14 min 23s"/>
    <s v="bvm-hrrr-qjc"/>
    <x v="1"/>
    <d v="1899-12-30T02:24:04"/>
    <d v="1899-12-30T02:02:44"/>
    <n v="0"/>
    <n v="1"/>
  </r>
  <r>
    <n v="21"/>
    <x v="10"/>
    <d v="1899-12-30T20:41:24"/>
    <d v="1899-12-30T20:41:27"/>
    <d v="1899-12-30T23:05:28"/>
    <s v="2 hr 23 min 24s"/>
    <s v="bvm-hrrr-qjc"/>
    <x v="1"/>
    <d v="1899-12-30T02:24:04"/>
    <d v="1899-12-30T02:02:43"/>
    <n v="0"/>
    <n v="1"/>
  </r>
  <r>
    <n v="22"/>
    <x v="22"/>
    <d v="1899-12-30T20:41:24"/>
    <d v="1899-12-30T20:41:27"/>
    <d v="1899-12-30T23:05:28"/>
    <s v="2 hr 14 min 23s"/>
    <s v="bvm-hrrr-qjc"/>
    <x v="1"/>
    <d v="1899-12-30T02:24:04"/>
    <d v="1899-12-30T02:02:42"/>
    <n v="0"/>
    <n v="1"/>
  </r>
  <r>
    <n v="23"/>
    <x v="23"/>
    <d v="1899-12-30T20:41:24"/>
    <d v="1899-12-30T20:41:27"/>
    <d v="1899-12-30T23:05:28"/>
    <s v="2 hr 16 min 22s"/>
    <s v="bvm-hrrr-qjc"/>
    <x v="1"/>
    <d v="1899-12-30T02:24:04"/>
    <d v="1899-12-30T02:02:41"/>
    <n v="0"/>
    <n v="1"/>
  </r>
  <r>
    <n v="24"/>
    <x v="24"/>
    <d v="1899-12-30T20:41:24"/>
    <d v="1899-12-30T20:41:27"/>
    <d v="1899-12-30T23:05:28"/>
    <s v="2 hr 14 min 23s"/>
    <s v="bvm-hrrr-qjc"/>
    <x v="1"/>
    <d v="1899-12-30T02:24:04"/>
    <d v="1899-12-30T02:02:40"/>
    <n v="0"/>
    <n v="1"/>
  </r>
  <r>
    <n v="25"/>
    <x v="25"/>
    <d v="1899-12-30T20:41:24"/>
    <d v="1899-12-30T20:41:27"/>
    <d v="1899-12-30T23:05:28"/>
    <s v="2 hr 14 min 23s"/>
    <s v="bvm-hrrr-qjc"/>
    <x v="1"/>
    <d v="1899-12-30T02:24:04"/>
    <d v="1899-12-30T02:02:39"/>
    <n v="0"/>
    <n v="1"/>
  </r>
  <r>
    <n v="26"/>
    <x v="11"/>
    <d v="1899-12-30T20:41:24"/>
    <d v="1899-12-30T20:41:27"/>
    <d v="1899-12-30T23:05:28"/>
    <s v="2 hr 14 min 23s"/>
    <s v="bvm-hrrr-qjc"/>
    <x v="1"/>
    <d v="1899-12-30T02:24:04"/>
    <d v="1899-12-30T02:02:38"/>
    <n v="0"/>
    <n v="1"/>
  </r>
  <r>
    <n v="27"/>
    <x v="26"/>
    <d v="1899-12-30T20:41:24"/>
    <d v="1899-12-30T20:41:27"/>
    <d v="1899-12-30T23:05:28"/>
    <s v="2 hr 14 min 23s"/>
    <s v="bvm-hrrr-qjc"/>
    <x v="1"/>
    <d v="1899-12-30T02:24:04"/>
    <d v="1899-12-30T02:02:37"/>
    <n v="0"/>
    <n v="1"/>
  </r>
  <r>
    <n v="1"/>
    <x v="0"/>
    <d v="1899-12-30T20:41:27"/>
    <d v="1899-12-30T20:41:30"/>
    <d v="1899-12-30T22:04:52"/>
    <s v="1 hr 23 min 20s"/>
    <s v="ijr-ghhn-krq"/>
    <x v="2"/>
    <d v="1899-12-30T01:23:25"/>
    <d v="1899-12-30T02:02:36"/>
    <n v="0"/>
    <n v="1"/>
  </r>
  <r>
    <n v="2"/>
    <x v="2"/>
    <d v="1899-12-30T20:41:27"/>
    <d v="1899-12-30T20:41:30"/>
    <d v="1899-12-30T22:04:52"/>
    <s v="1 hr 23 min 20s"/>
    <s v="ijr-ghhn-krq"/>
    <x v="2"/>
    <d v="1899-12-30T01:23:25"/>
    <d v="1899-12-30T02:02:38"/>
    <n v="0"/>
    <n v="1"/>
  </r>
  <r>
    <n v="3"/>
    <x v="13"/>
    <d v="1899-12-30T20:41:27"/>
    <d v="1899-12-30T20:41:30"/>
    <d v="1899-12-30T22:04:52"/>
    <s v="1 hr 23 min 20s"/>
    <s v="ijr-ghhn-krq"/>
    <x v="2"/>
    <d v="1899-12-30T01:23:25"/>
    <d v="1899-12-30T02:02:40"/>
    <n v="0"/>
    <n v="1"/>
  </r>
  <r>
    <n v="4"/>
    <x v="27"/>
    <d v="1899-12-30T20:41:27"/>
    <d v="1899-12-30T20:41:30"/>
    <d v="1899-12-30T22:04:52"/>
    <s v="1 hr 23 min 20s"/>
    <s v="ijr-ghhn-krq"/>
    <x v="2"/>
    <d v="1899-12-30T01:23:25"/>
    <d v="1899-12-30T02:02:42"/>
    <n v="0"/>
    <n v="1"/>
  </r>
  <r>
    <n v="5"/>
    <x v="14"/>
    <d v="1899-12-30T20:41:27"/>
    <d v="1899-12-30T20:41:30"/>
    <d v="1899-12-30T22:04:52"/>
    <s v="1 hr 23 min 20s"/>
    <s v="ijr-ghhn-krq"/>
    <x v="2"/>
    <d v="1899-12-30T01:23:25"/>
    <d v="1899-12-30T02:02:43"/>
    <n v="0"/>
    <n v="1"/>
  </r>
  <r>
    <n v="6"/>
    <x v="5"/>
    <d v="1899-12-30T20:41:27"/>
    <d v="1899-12-30T20:41:30"/>
    <d v="1899-12-30T22:04:52"/>
    <s v="1 hr 23 min 20s"/>
    <s v="ijr-ghhn-krq"/>
    <x v="2"/>
    <d v="1899-12-30T01:23:25"/>
    <d v="1899-12-30T02:02:45"/>
    <n v="0"/>
    <n v="1"/>
  </r>
  <r>
    <n v="7"/>
    <x v="16"/>
    <d v="1899-12-30T20:41:27"/>
    <d v="1899-12-30T20:41:30"/>
    <d v="1899-12-30T22:04:52"/>
    <s v="1 hr 23 min 20s"/>
    <s v="ijr-ghhn-krq"/>
    <x v="2"/>
    <d v="1899-12-30T01:23:25"/>
    <d v="1899-12-30T02:02:47"/>
    <n v="0"/>
    <n v="1"/>
  </r>
  <r>
    <n v="8"/>
    <x v="6"/>
    <d v="1899-12-30T20:41:27"/>
    <d v="1899-12-30T20:41:30"/>
    <d v="1899-12-30T22:04:52"/>
    <s v="1 hr 23 min 20s"/>
    <s v="ijr-ghhn-krq"/>
    <x v="2"/>
    <d v="1899-12-30T01:23:25"/>
    <d v="1899-12-30T02:02:49"/>
    <n v="0"/>
    <n v="1"/>
  </r>
  <r>
    <n v="9"/>
    <x v="28"/>
    <d v="1899-12-30T20:41:27"/>
    <d v="1899-12-30T20:41:30"/>
    <d v="1899-12-30T22:04:52"/>
    <s v="1 hr 23 min 20s"/>
    <s v="ijr-ghhn-krq"/>
    <x v="2"/>
    <d v="1899-12-30T01:23:25"/>
    <d v="1899-12-30T02:02:50"/>
    <n v="0"/>
    <n v="1"/>
  </r>
  <r>
    <n v="10"/>
    <x v="18"/>
    <d v="1899-12-30T20:41:27"/>
    <d v="1899-12-30T20:41:30"/>
    <d v="1899-12-30T22:04:52"/>
    <s v="1 hr 23 min 20s"/>
    <s v="ijr-ghhn-krq"/>
    <x v="2"/>
    <d v="1899-12-30T01:23:25"/>
    <d v="1899-12-30T02:02:52"/>
    <n v="0"/>
    <n v="1"/>
  </r>
  <r>
    <n v="11"/>
    <x v="19"/>
    <d v="1899-12-30T20:41:27"/>
    <d v="1899-12-30T20:41:30"/>
    <d v="1899-12-30T22:04:52"/>
    <s v="1 hr 23 min 20s"/>
    <s v="ijr-ghhn-krq"/>
    <x v="2"/>
    <d v="1899-12-30T01:23:25"/>
    <d v="1899-12-30T02:02:54"/>
    <n v="0"/>
    <n v="1"/>
  </r>
  <r>
    <n v="12"/>
    <x v="8"/>
    <d v="1899-12-30T20:41:27"/>
    <d v="1899-12-30T20:41:30"/>
    <d v="1899-12-30T22:04:52"/>
    <s v="1 hr 23 min 20s"/>
    <s v="ijr-ghhn-krq"/>
    <x v="2"/>
    <d v="1899-12-30T01:23:25"/>
    <d v="1899-12-30T02:02:56"/>
    <n v="0"/>
    <n v="1"/>
  </r>
  <r>
    <n v="13"/>
    <x v="29"/>
    <d v="1899-12-30T20:41:27"/>
    <d v="1899-12-30T20:41:30"/>
    <d v="1899-12-30T22:04:52"/>
    <s v="1 hr 23 min 20s"/>
    <s v="ijr-ghhn-krq"/>
    <x v="2"/>
    <d v="1899-12-30T01:23:25"/>
    <d v="1899-12-30T02:02:57"/>
    <n v="0"/>
    <n v="1"/>
  </r>
  <r>
    <n v="14"/>
    <x v="20"/>
    <d v="1899-12-30T20:41:27"/>
    <d v="1899-12-30T20:41:30"/>
    <d v="1899-12-30T22:04:52"/>
    <s v="1 hr 23 min 20s"/>
    <s v="ijr-ghhn-krq"/>
    <x v="2"/>
    <d v="1899-12-30T01:23:25"/>
    <d v="1899-12-30T02:02:59"/>
    <n v="0"/>
    <n v="1"/>
  </r>
  <r>
    <n v="15"/>
    <x v="10"/>
    <d v="1899-12-30T20:41:27"/>
    <d v="1899-12-30T20:41:30"/>
    <d v="1899-12-30T22:04:52"/>
    <s v="1 hr 23 min 20s"/>
    <s v="ijr-ghhn-krq"/>
    <x v="2"/>
    <d v="1899-12-30T01:23:25"/>
    <d v="1899-12-30T02:03:01"/>
    <n v="0"/>
    <n v="1"/>
  </r>
  <r>
    <n v="16"/>
    <x v="22"/>
    <d v="1899-12-30T20:41:27"/>
    <d v="1899-12-30T20:41:30"/>
    <d v="1899-12-30T22:04:52"/>
    <s v="1 hr 23 min 20s"/>
    <s v="ijr-ghhn-krq"/>
    <x v="2"/>
    <d v="1899-12-30T01:23:25"/>
    <d v="1899-12-30T02:03:03"/>
    <n v="0"/>
    <n v="1"/>
  </r>
  <r>
    <n v="17"/>
    <x v="30"/>
    <d v="1899-12-30T20:41:27"/>
    <d v="1899-12-30T20:41:30"/>
    <d v="1899-12-30T22:04:52"/>
    <s v="1 hr 23 min 20s"/>
    <s v="ijr-ghhn-krq"/>
    <x v="2"/>
    <d v="1899-12-30T01:23:25"/>
    <d v="1899-12-30T02:03:05"/>
    <n v="0"/>
    <n v="1"/>
  </r>
  <r>
    <n v="18"/>
    <x v="23"/>
    <d v="1899-12-30T20:41:27"/>
    <d v="1899-12-30T20:41:30"/>
    <d v="1899-12-30T22:04:52"/>
    <s v="1 hr 23 min 20s"/>
    <s v="ijr-ghhn-krq"/>
    <x v="2"/>
    <d v="1899-12-30T01:23:25"/>
    <d v="1899-12-30T02:03:06"/>
    <n v="0"/>
    <n v="1"/>
  </r>
  <r>
    <n v="1"/>
    <x v="0"/>
    <d v="1899-12-30T20:35:42"/>
    <d v="1899-12-30T21:36:11"/>
    <d v="1899-12-30T22:53:56"/>
    <s v="1 hr 15 min 37s"/>
    <s v="mig-ququ-qez"/>
    <x v="3"/>
    <d v="1899-12-30T02:18:14"/>
    <d v="1899-12-30T02:03:08"/>
    <n v="0"/>
    <n v="1"/>
  </r>
  <r>
    <n v="2"/>
    <x v="1"/>
    <d v="1899-12-30T20:35:42"/>
    <d v="1899-12-30T21:36:11"/>
    <d v="1899-12-30T22:53:56"/>
    <s v="1 hr 17 min 46s"/>
    <s v="mig-ququ-qez"/>
    <x v="3"/>
    <d v="1899-12-30T02:18:14"/>
    <d v="1899-12-30T02:03:07"/>
    <n v="0"/>
    <n v="1"/>
  </r>
  <r>
    <n v="3"/>
    <x v="2"/>
    <d v="1899-12-30T20:35:42"/>
    <d v="1899-12-30T21:36:11"/>
    <d v="1899-12-30T22:53:56"/>
    <s v="1 hr 17 min 45s"/>
    <s v="mig-ququ-qez"/>
    <x v="3"/>
    <d v="1899-12-30T02:18:14"/>
    <d v="1899-12-30T02:03:07"/>
    <n v="0"/>
    <n v="1"/>
  </r>
  <r>
    <n v="4"/>
    <x v="3"/>
    <d v="1899-12-30T20:35:42"/>
    <d v="1899-12-30T21:36:11"/>
    <d v="1899-12-30T22:53:56"/>
    <s v="1 hr 17 min 29s"/>
    <s v="mig-ququ-qez"/>
    <x v="3"/>
    <d v="1899-12-30T02:18:14"/>
    <d v="1899-12-30T02:03:06"/>
    <n v="0"/>
    <n v="1"/>
  </r>
  <r>
    <n v="5"/>
    <x v="13"/>
    <d v="1899-12-30T20:35:42"/>
    <d v="1899-12-30T21:36:11"/>
    <d v="1899-12-30T22:53:56"/>
    <s v="57 min 47s"/>
    <s v="mig-ququ-qez"/>
    <x v="3"/>
    <d v="1899-12-30T02:18:14"/>
    <d v="1899-12-30T02:03:05"/>
    <n v="0"/>
    <n v="1"/>
  </r>
  <r>
    <n v="6"/>
    <x v="4"/>
    <d v="1899-12-30T20:35:42"/>
    <d v="1899-12-30T20:35:45"/>
    <d v="1899-12-30T22:53:56"/>
    <s v="1 hr 56 min 55s"/>
    <s v="mig-ququ-qez"/>
    <x v="3"/>
    <d v="1899-12-30T02:18:14"/>
    <d v="1899-12-30T02:03:05"/>
    <n v="0"/>
    <n v="1"/>
  </r>
  <r>
    <n v="7"/>
    <x v="31"/>
    <d v="1899-12-30T20:35:42"/>
    <d v="1899-12-30T20:35:45"/>
    <d v="1899-12-30T22:53:56"/>
    <s v="1 hr 0 min 18s"/>
    <s v="mig-ququ-qez"/>
    <x v="3"/>
    <d v="1899-12-30T02:18:14"/>
    <d v="1899-12-30T02:03:04"/>
    <n v="0"/>
    <n v="1"/>
  </r>
  <r>
    <n v="8"/>
    <x v="14"/>
    <d v="1899-12-30T20:35:42"/>
    <d v="1899-12-30T20:35:45"/>
    <d v="1899-12-30T22:53:56"/>
    <s v="1 hr 44 min 5s"/>
    <s v="mig-ququ-qez"/>
    <x v="3"/>
    <d v="1899-12-30T02:18:14"/>
    <d v="1899-12-30T02:03:03"/>
    <n v="0"/>
    <n v="1"/>
  </r>
  <r>
    <n v="9"/>
    <x v="15"/>
    <d v="1899-12-30T20:35:42"/>
    <d v="1899-12-30T21:36:11"/>
    <d v="1899-12-30T22:53:56"/>
    <s v="1 hr 17 min 46s"/>
    <s v="mig-ququ-qez"/>
    <x v="3"/>
    <d v="1899-12-30T02:18:14"/>
    <d v="1899-12-30T02:03:03"/>
    <n v="0"/>
    <n v="1"/>
  </r>
  <r>
    <n v="10"/>
    <x v="5"/>
    <d v="1899-12-30T20:35:42"/>
    <d v="1899-12-30T20:35:45"/>
    <d v="1899-12-30T22:53:56"/>
    <s v="2 hr 18 min 4s"/>
    <s v="mig-ququ-qez"/>
    <x v="3"/>
    <d v="1899-12-30T02:18:14"/>
    <d v="1899-12-30T02:03:02"/>
    <n v="0"/>
    <n v="1"/>
  </r>
  <r>
    <n v="11"/>
    <x v="16"/>
    <d v="1899-12-30T20:35:42"/>
    <d v="1899-12-30T20:35:45"/>
    <d v="1899-12-30T22:53:56"/>
    <s v="1 hr 0 min 18s"/>
    <s v="mig-ququ-qez"/>
    <x v="3"/>
    <d v="1899-12-30T02:18:14"/>
    <d v="1899-12-30T02:03:01"/>
    <n v="0"/>
    <n v="1"/>
  </r>
  <r>
    <n v="12"/>
    <x v="6"/>
    <d v="1899-12-30T20:35:42"/>
    <d v="1899-12-30T20:35:45"/>
    <d v="1899-12-30T22:53:56"/>
    <s v="2 hr 18 min 4s"/>
    <s v="mig-ququ-qez"/>
    <x v="3"/>
    <d v="1899-12-30T02:18:14"/>
    <d v="1899-12-30T02:03:01"/>
    <n v="0"/>
    <n v="1"/>
  </r>
  <r>
    <n v="13"/>
    <x v="17"/>
    <d v="1899-12-30T20:35:42"/>
    <d v="1899-12-30T21:36:11"/>
    <d v="1899-12-30T22:53:56"/>
    <s v="1 hr 13 min 32s"/>
    <s v="mig-ququ-qez"/>
    <x v="3"/>
    <d v="1899-12-30T02:18:14"/>
    <d v="1899-12-30T02:03:00"/>
    <n v="0"/>
    <n v="1"/>
  </r>
  <r>
    <n v="14"/>
    <x v="7"/>
    <d v="1899-12-30T20:35:42"/>
    <d v="1899-12-30T20:35:45"/>
    <d v="1899-12-30T22:53:56"/>
    <s v="1 hr 30 min 16s"/>
    <s v="mig-ququ-qez"/>
    <x v="3"/>
    <d v="1899-12-30T02:18:14"/>
    <d v="1899-12-30T02:02:59"/>
    <n v="0"/>
    <n v="1"/>
  </r>
  <r>
    <n v="15"/>
    <x v="19"/>
    <d v="1899-12-30T20:35:42"/>
    <d v="1899-12-30T21:36:11"/>
    <d v="1899-12-30T22:53:56"/>
    <s v="1 hr 17 min 6s"/>
    <s v="mig-ququ-qez"/>
    <x v="3"/>
    <d v="1899-12-30T02:18:14"/>
    <d v="1899-12-30T02:02:59"/>
    <n v="0"/>
    <n v="1"/>
  </r>
  <r>
    <n v="16"/>
    <x v="8"/>
    <d v="1899-12-30T20:35:42"/>
    <d v="1899-12-30T21:36:11"/>
    <d v="1899-12-30T22:53:56"/>
    <s v="1 hr 17 min 44s"/>
    <s v="mig-ququ-qez"/>
    <x v="3"/>
    <d v="1899-12-30T02:18:14"/>
    <d v="1899-12-30T02:02:58"/>
    <n v="0"/>
    <n v="1"/>
  </r>
  <r>
    <n v="17"/>
    <x v="29"/>
    <d v="1899-12-30T20:35:42"/>
    <d v="1899-12-30T20:35:45"/>
    <d v="1899-12-30T22:53:56"/>
    <s v="1 hr 0 min 18s"/>
    <s v="mig-ququ-qez"/>
    <x v="3"/>
    <d v="1899-12-30T02:18:14"/>
    <d v="1899-12-30T02:02:57"/>
    <n v="0"/>
    <n v="1"/>
  </r>
  <r>
    <n v="18"/>
    <x v="20"/>
    <d v="1899-12-30T20:35:42"/>
    <d v="1899-12-30T21:36:11"/>
    <d v="1899-12-30T22:53:56"/>
    <s v="1 hr 17 min 46s"/>
    <s v="mig-ququ-qez"/>
    <x v="3"/>
    <d v="1899-12-30T02:18:14"/>
    <d v="1899-12-30T02:02:56"/>
    <n v="0"/>
    <n v="1"/>
  </r>
  <r>
    <n v="19"/>
    <x v="32"/>
    <d v="1899-12-30T20:35:42"/>
    <d v="1899-12-30T20:35:45"/>
    <d v="1899-12-30T22:53:56"/>
    <s v="1 hr 0 min 18s"/>
    <s v="mig-ququ-qez"/>
    <x v="3"/>
    <d v="1899-12-30T02:18:14"/>
    <d v="1899-12-30T02:02:56"/>
    <n v="0"/>
    <n v="1"/>
  </r>
  <r>
    <n v="20"/>
    <x v="10"/>
    <d v="1899-12-30T20:35:42"/>
    <d v="1899-12-30T20:35:45"/>
    <d v="1899-12-30T22:53:56"/>
    <s v="2 hr 17 min 53s"/>
    <s v="mig-ququ-qez"/>
    <x v="3"/>
    <d v="1899-12-30T02:18:14"/>
    <d v="1899-12-30T02:02:55"/>
    <n v="0"/>
    <n v="1"/>
  </r>
  <r>
    <n v="21"/>
    <x v="22"/>
    <d v="1899-12-30T20:35:42"/>
    <d v="1899-12-30T21:36:11"/>
    <d v="1899-12-30T22:53:56"/>
    <s v="22 min 56s"/>
    <s v="mig-ququ-qez"/>
    <x v="3"/>
    <d v="1899-12-30T02:18:14"/>
    <d v="1899-12-30T02:02:54"/>
    <n v="0"/>
    <n v="1"/>
  </r>
  <r>
    <n v="22"/>
    <x v="30"/>
    <d v="1899-12-30T20:35:42"/>
    <d v="1899-12-30T20:35:45"/>
    <d v="1899-12-30T22:53:56"/>
    <s v="1 hr 39 min 1s"/>
    <s v="mig-ququ-qez"/>
    <x v="3"/>
    <d v="1899-12-30T02:18:14"/>
    <d v="1899-12-30T02:02:54"/>
    <n v="0"/>
    <n v="1"/>
  </r>
  <r>
    <n v="23"/>
    <x v="33"/>
    <d v="1899-12-30T20:35:42"/>
    <d v="1899-12-30T21:36:11"/>
    <d v="1899-12-30T22:53:56"/>
    <s v="1 hr 15 min 8s"/>
    <s v="mig-ququ-qez"/>
    <x v="3"/>
    <d v="1899-12-30T02:18:14"/>
    <d v="1899-12-30T02:02:53"/>
    <n v="0"/>
    <n v="1"/>
  </r>
  <r>
    <n v="24"/>
    <x v="34"/>
    <d v="1899-12-30T20:35:42"/>
    <d v="1899-12-30T21:36:11"/>
    <d v="1899-12-30T22:53:56"/>
    <s v="31 min 8s"/>
    <s v="mig-ququ-qez"/>
    <x v="3"/>
    <d v="1899-12-30T02:18:14"/>
    <d v="1899-12-30T02:02:52"/>
    <n v="0"/>
    <n v="1"/>
  </r>
  <r>
    <n v="25"/>
    <x v="35"/>
    <d v="1899-12-30T20:35:42"/>
    <d v="1899-12-30T21:36:11"/>
    <d v="1899-12-30T22:53:56"/>
    <s v="53 min 27s"/>
    <s v="mig-ququ-qez"/>
    <x v="3"/>
    <d v="1899-12-30T02:18:14"/>
    <d v="1899-12-30T02:02:52"/>
    <n v="0"/>
    <n v="1"/>
  </r>
  <r>
    <n v="26"/>
    <x v="24"/>
    <d v="1899-12-30T20:35:42"/>
    <d v="1899-12-30T20:35:45"/>
    <d v="1899-12-30T22:53:56"/>
    <s v="2 hr 9 min 40s"/>
    <s v="mig-ququ-qez"/>
    <x v="3"/>
    <d v="1899-12-30T02:18:14"/>
    <d v="1899-12-30T02:02:51"/>
    <n v="0"/>
    <n v="1"/>
  </r>
  <r>
    <n v="27"/>
    <x v="25"/>
    <d v="1899-12-30T20:35:42"/>
    <d v="1899-12-30T20:35:45"/>
    <d v="1899-12-30T22:53:56"/>
    <s v="1 hr 53 min 4s"/>
    <s v="mig-ququ-qez"/>
    <x v="3"/>
    <d v="1899-12-30T02:18:14"/>
    <d v="1899-12-30T02:02:50"/>
    <n v="0"/>
    <n v="1"/>
  </r>
  <r>
    <n v="28"/>
    <x v="36"/>
    <d v="1899-12-30T20:35:42"/>
    <d v="1899-12-30T21:36:11"/>
    <d v="1899-12-30T22:53:56"/>
    <s v="1 hr 17 min 46s"/>
    <s v="mig-ququ-qez"/>
    <x v="3"/>
    <d v="1899-12-30T02:18:14"/>
    <d v="1899-12-30T02:02:49"/>
    <n v="0"/>
    <n v="1"/>
  </r>
  <r>
    <n v="29"/>
    <x v="11"/>
    <d v="1899-12-30T20:35:42"/>
    <d v="1899-12-30T21:36:11"/>
    <d v="1899-12-30T22:53:56"/>
    <s v="18 min 33s"/>
    <s v="mig-ququ-qez"/>
    <x v="3"/>
    <d v="1899-12-30T02:18:14"/>
    <d v="1899-12-30T02:02:49"/>
    <n v="0"/>
    <n v="1"/>
  </r>
  <r>
    <n v="1"/>
    <x v="0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2"/>
    <x v="1"/>
    <d v="1899-12-30T20:42:52"/>
    <d v="1899-12-30T22:46:40"/>
    <d v="1899-12-30T22:46:51"/>
    <s v="0 min 2s"/>
    <s v="ezh-nfwk-fuu"/>
    <x v="4"/>
    <d v="1899-12-30T02:03:59"/>
    <d v="1899-12-30T02:02:48"/>
    <n v="0"/>
    <n v="1"/>
  </r>
  <r>
    <n v="3"/>
    <x v="2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4"/>
    <x v="13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5"/>
    <x v="4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6"/>
    <x v="31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7"/>
    <x v="37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8"/>
    <x v="5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9"/>
    <x v="16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10"/>
    <x v="6"/>
    <d v="1899-12-30T20:42:52"/>
    <d v="1899-12-30T20:42:56"/>
    <d v="1899-12-30T22:46:51"/>
    <s v="2 hr 3 min 40s"/>
    <s v="ezh-nfwk-fuu"/>
    <x v="4"/>
    <d v="1899-12-30T02:03:59"/>
    <d v="1899-12-30T02:02:48"/>
    <n v="0"/>
    <n v="1"/>
  </r>
  <r>
    <n v="11"/>
    <x v="17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2"/>
    <x v="7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3"/>
    <x v="19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4"/>
    <x v="38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5"/>
    <x v="8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6"/>
    <x v="2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7"/>
    <x v="39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8"/>
    <x v="1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9"/>
    <x v="22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0"/>
    <x v="23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1"/>
    <x v="34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2"/>
    <x v="4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3"/>
    <x v="24"/>
    <d v="1899-12-30T20:42:52"/>
    <d v="1899-12-30T20:42:56"/>
    <d v="1899-12-30T22:46:51"/>
    <s v="0 min 22s"/>
    <s v="ezh-nfwk-fuu"/>
    <x v="4"/>
    <d v="1899-12-30T02:03:59"/>
    <d v="1899-12-30T02:02:47"/>
    <n v="0"/>
    <n v="1"/>
  </r>
  <r>
    <n v="24"/>
    <x v="25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"/>
    <x v="0"/>
    <d v="1899-12-30T20:36:31"/>
    <d v="1899-12-30T20:36:34"/>
    <d v="1899-12-30T22:10:45"/>
    <s v="1 hr 32 min 1s"/>
    <s v="syj-qorq-zij"/>
    <x v="5"/>
    <d v="1899-12-30T01:34:14"/>
    <d v="1899-12-30T02:02:47"/>
    <n v="0"/>
    <n v="1"/>
  </r>
  <r>
    <n v="2"/>
    <x v="1"/>
    <d v="1899-12-30T20:36:31"/>
    <d v="1899-12-30T20:36:34"/>
    <d v="1899-12-30T22:10:45"/>
    <s v="1 hr 34 min 10s"/>
    <s v="syj-qorq-zij"/>
    <x v="5"/>
    <d v="1899-12-30T01:34:14"/>
    <d v="1899-12-30T02:02:48"/>
    <n v="0"/>
    <n v="1"/>
  </r>
  <r>
    <n v="3"/>
    <x v="2"/>
    <d v="1899-12-30T20:36:31"/>
    <d v="1899-12-30T20:45:25"/>
    <d v="1899-12-30T22:10:45"/>
    <s v="1 hr 25 min 19s"/>
    <s v="syj-qorq-zij"/>
    <x v="5"/>
    <d v="1899-12-30T01:34:14"/>
    <d v="1899-12-30T02:02:49"/>
    <n v="0"/>
    <n v="1"/>
  </r>
  <r>
    <n v="4"/>
    <x v="3"/>
    <d v="1899-12-30T20:36:31"/>
    <d v="1899-12-30T20:44:43"/>
    <d v="1899-12-30T22:10:45"/>
    <s v="1 hr 24 min 54s"/>
    <s v="syj-qorq-zij"/>
    <x v="5"/>
    <d v="1899-12-30T01:34:14"/>
    <d v="1899-12-30T02:02:51"/>
    <n v="0"/>
    <n v="1"/>
  </r>
  <r>
    <n v="5"/>
    <x v="4"/>
    <d v="1899-12-30T20:36:31"/>
    <d v="1899-12-30T20:36:34"/>
    <d v="1899-12-30T22:10:45"/>
    <s v="1 hr 33 min 0s"/>
    <s v="syj-qorq-zij"/>
    <x v="5"/>
    <d v="1899-12-30T01:34:14"/>
    <d v="1899-12-30T02:02:52"/>
    <n v="0"/>
    <n v="1"/>
  </r>
  <r>
    <n v="6"/>
    <x v="31"/>
    <d v="1899-12-30T20:36:31"/>
    <d v="1899-12-30T20:36:34"/>
    <d v="1899-12-30T22:10:45"/>
    <s v="22 min 12s"/>
    <s v="syj-qorq-zij"/>
    <x v="5"/>
    <d v="1899-12-30T01:34:14"/>
    <d v="1899-12-30T02:02:53"/>
    <n v="0"/>
    <n v="1"/>
  </r>
  <r>
    <n v="7"/>
    <x v="27"/>
    <d v="1899-12-30T20:36:31"/>
    <d v="1899-12-30T20:36:34"/>
    <d v="1899-12-30T22:10:45"/>
    <s v="1 hr 22 min 39s"/>
    <s v="syj-qorq-zij"/>
    <x v="5"/>
    <d v="1899-12-30T01:34:14"/>
    <d v="1899-12-30T02:02:55"/>
    <n v="0"/>
    <n v="1"/>
  </r>
  <r>
    <n v="8"/>
    <x v="37"/>
    <d v="1899-12-30T20:36:31"/>
    <d v="1899-12-30T20:36:34"/>
    <d v="1899-12-30T22:10:45"/>
    <s v="20 min 44s"/>
    <s v="syj-qorq-zij"/>
    <x v="5"/>
    <d v="1899-12-30T01:34:14"/>
    <d v="1899-12-30T02:02:56"/>
    <n v="0"/>
    <n v="1"/>
  </r>
  <r>
    <n v="9"/>
    <x v="41"/>
    <d v="1899-12-30T20:36:31"/>
    <d v="1899-12-30T20:44:43"/>
    <d v="1899-12-30T22:10:45"/>
    <s v="1 hr 18 min 20s"/>
    <s v="syj-qorq-zij"/>
    <x v="5"/>
    <d v="1899-12-30T01:34:14"/>
    <d v="1899-12-30T02:02:57"/>
    <n v="0"/>
    <n v="1"/>
  </r>
  <r>
    <n v="10"/>
    <x v="15"/>
    <d v="1899-12-30T20:36:31"/>
    <d v="1899-12-30T20:36:34"/>
    <d v="1899-12-30T22:10:45"/>
    <s v="1 hr 34 min 10s"/>
    <s v="syj-qorq-zij"/>
    <x v="5"/>
    <d v="1899-12-30T01:34:14"/>
    <d v="1899-12-30T02:02:59"/>
    <n v="0"/>
    <n v="1"/>
  </r>
  <r>
    <n v="11"/>
    <x v="5"/>
    <d v="1899-12-30T20:36:31"/>
    <d v="1899-12-30T20:36:34"/>
    <d v="1899-12-30T22:10:45"/>
    <s v="1 hr 34 min 10s"/>
    <s v="syj-qorq-zij"/>
    <x v="5"/>
    <d v="1899-12-30T01:34:14"/>
    <d v="1899-12-30T02:03:00"/>
    <n v="0"/>
    <n v="1"/>
  </r>
  <r>
    <n v="12"/>
    <x v="42"/>
    <d v="1899-12-30T20:36:31"/>
    <d v="1899-12-30T20:36:34"/>
    <d v="1899-12-30T22:10:45"/>
    <s v="1 hr 11 min 50s"/>
    <s v="syj-qorq-zij"/>
    <x v="5"/>
    <d v="1899-12-30T01:34:14"/>
    <d v="1899-12-30T02:03:01"/>
    <n v="0"/>
    <n v="1"/>
  </r>
  <r>
    <n v="13"/>
    <x v="6"/>
    <d v="1899-12-30T20:36:31"/>
    <d v="1899-12-30T20:36:34"/>
    <d v="1899-12-30T22:10:45"/>
    <s v="1 hr 32 min 57s"/>
    <s v="syj-qorq-zij"/>
    <x v="5"/>
    <d v="1899-12-30T01:34:14"/>
    <d v="1899-12-30T02:03:03"/>
    <n v="0"/>
    <n v="1"/>
  </r>
  <r>
    <n v="14"/>
    <x v="17"/>
    <d v="1899-12-30T20:36:31"/>
    <d v="1899-12-30T20:46:14"/>
    <d v="1899-12-30T22:10:45"/>
    <s v="1 hr 24 min 30s"/>
    <s v="syj-qorq-zij"/>
    <x v="5"/>
    <d v="1899-12-30T01:34:14"/>
    <d v="1899-12-30T02:03:04"/>
    <n v="0"/>
    <n v="1"/>
  </r>
  <r>
    <n v="15"/>
    <x v="43"/>
    <d v="1899-12-30T20:36:31"/>
    <d v="1899-12-30T20:44:43"/>
    <d v="1899-12-30T22:10:45"/>
    <s v="1 hr 14 min 19s"/>
    <s v="syj-qorq-zij"/>
    <x v="5"/>
    <d v="1899-12-30T01:34:14"/>
    <d v="1899-12-30T02:03:06"/>
    <n v="0"/>
    <n v="1"/>
  </r>
  <r>
    <n v="16"/>
    <x v="28"/>
    <d v="1899-12-30T20:36:31"/>
    <d v="1899-12-30T20:36:34"/>
    <d v="1899-12-30T22:10:45"/>
    <s v="1 hr 24 min 18s"/>
    <s v="syj-qorq-zij"/>
    <x v="5"/>
    <d v="1899-12-30T01:34:14"/>
    <d v="1899-12-30T02:03:07"/>
    <n v="0"/>
    <n v="1"/>
  </r>
  <r>
    <n v="17"/>
    <x v="7"/>
    <d v="1899-12-30T20:36:31"/>
    <d v="1899-12-30T20:36:34"/>
    <d v="1899-12-30T22:10:45"/>
    <s v="1 hr 32 min 50s"/>
    <s v="syj-qorq-zij"/>
    <x v="5"/>
    <d v="1899-12-30T01:34:14"/>
    <d v="1899-12-30T02:03:08"/>
    <n v="0"/>
    <n v="1"/>
  </r>
  <r>
    <n v="18"/>
    <x v="18"/>
    <d v="1899-12-30T20:36:31"/>
    <d v="1899-12-30T20:36:34"/>
    <d v="1899-12-30T22:10:45"/>
    <s v="1 hr 22 min 39s"/>
    <s v="syj-qorq-zij"/>
    <x v="5"/>
    <d v="1899-12-30T01:34:14"/>
    <d v="1899-12-30T02:03:10"/>
    <n v="0"/>
    <n v="1"/>
  </r>
  <r>
    <n v="19"/>
    <x v="44"/>
    <d v="1899-12-30T20:36:31"/>
    <d v="1899-12-30T20:36:34"/>
    <d v="1899-12-30T22:10:45"/>
    <s v="1 hr 32 min 36s"/>
    <s v="syj-qorq-zij"/>
    <x v="5"/>
    <d v="1899-12-30T01:34:14"/>
    <d v="1899-12-30T02:03:11"/>
    <n v="0"/>
    <n v="1"/>
  </r>
  <r>
    <n v="20"/>
    <x v="19"/>
    <d v="1899-12-30T20:36:31"/>
    <d v="1899-12-30T20:36:34"/>
    <d v="1899-12-30T22:10:45"/>
    <s v="1 hr 32 min 53s"/>
    <s v="syj-qorq-zij"/>
    <x v="5"/>
    <d v="1899-12-30T01:34:14"/>
    <d v="1899-12-30T02:03:12"/>
    <n v="0"/>
    <n v="1"/>
  </r>
  <r>
    <n v="21"/>
    <x v="8"/>
    <d v="1899-12-30T20:36:31"/>
    <d v="1899-12-30T21:05:46"/>
    <d v="1899-12-30T22:10:45"/>
    <s v="1 hr 3 min 47s"/>
    <s v="syj-qorq-zij"/>
    <x v="5"/>
    <d v="1899-12-30T01:34:14"/>
    <d v="1899-12-30T02:03:14"/>
    <n v="0"/>
    <n v="1"/>
  </r>
  <r>
    <n v="22"/>
    <x v="29"/>
    <d v="1899-12-30T20:36:31"/>
    <d v="1899-12-30T20:36:34"/>
    <d v="1899-12-30T22:10:45"/>
    <s v="1 hr 30 min 49s"/>
    <s v="syj-qorq-zij"/>
    <x v="5"/>
    <d v="1899-12-30T01:34:14"/>
    <d v="1899-12-30T02:03:15"/>
    <n v="0"/>
    <n v="1"/>
  </r>
  <r>
    <n v="23"/>
    <x v="20"/>
    <d v="1899-12-30T20:36:31"/>
    <d v="1899-12-30T20:44:43"/>
    <d v="1899-12-30T22:10:45"/>
    <s v="1 hr 25 min 58s"/>
    <s v="syj-qorq-zij"/>
    <x v="5"/>
    <d v="1899-12-30T01:34:14"/>
    <d v="1899-12-30T02:03:17"/>
    <n v="0"/>
    <n v="1"/>
  </r>
  <r>
    <n v="24"/>
    <x v="9"/>
    <d v="1899-12-30T20:36:31"/>
    <d v="1899-12-30T20:36:34"/>
    <d v="1899-12-30T22:10:45"/>
    <s v="1 hr 32 min 1s"/>
    <s v="syj-qorq-zij"/>
    <x v="5"/>
    <d v="1899-12-30T01:34:14"/>
    <d v="1899-12-30T02:03:18"/>
    <n v="0"/>
    <n v="1"/>
  </r>
  <r>
    <n v="25"/>
    <x v="32"/>
    <d v="1899-12-30T20:36:31"/>
    <d v="1899-12-30T21:45:22"/>
    <d v="1899-12-30T22:10:45"/>
    <s v="23 min 48s"/>
    <s v="syj-qorq-zij"/>
    <x v="5"/>
    <d v="1899-12-30T01:34:14"/>
    <d v="1899-12-30T02:03:19"/>
    <n v="0"/>
    <n v="1"/>
  </r>
  <r>
    <n v="26"/>
    <x v="45"/>
    <d v="1899-12-30T20:36:31"/>
    <d v="1899-12-30T20:36:34"/>
    <d v="1899-12-30T22:10:45"/>
    <s v="1 hr 34 min 10s"/>
    <s v="syj-qorq-zij"/>
    <x v="5"/>
    <d v="1899-12-30T01:34:14"/>
    <d v="1899-12-30T02:03:21"/>
    <n v="0"/>
    <n v="1"/>
  </r>
  <r>
    <n v="27"/>
    <x v="10"/>
    <d v="1899-12-30T20:36:31"/>
    <d v="1899-12-30T20:44:43"/>
    <d v="1899-12-30T22:10:45"/>
    <s v="1 hr 23 min 52s"/>
    <s v="syj-qorq-zij"/>
    <x v="5"/>
    <d v="1899-12-30T01:34:14"/>
    <d v="1899-12-30T02:03:22"/>
    <n v="0"/>
    <n v="1"/>
  </r>
  <r>
    <n v="28"/>
    <x v="22"/>
    <d v="1899-12-30T20:36:31"/>
    <d v="1899-12-30T20:44:43"/>
    <d v="1899-12-30T22:10:45"/>
    <s v="1 hr 24 min 44s"/>
    <s v="syj-qorq-zij"/>
    <x v="5"/>
    <d v="1899-12-30T01:34:14"/>
    <d v="1899-12-30T02:03:23"/>
    <n v="0"/>
    <n v="1"/>
  </r>
  <r>
    <n v="29"/>
    <x v="23"/>
    <d v="1899-12-30T20:36:31"/>
    <d v="1899-12-30T20:36:51"/>
    <d v="1899-12-30T22:10:45"/>
    <s v="1 hr 32 min 19s"/>
    <s v="syj-qorq-zij"/>
    <x v="5"/>
    <d v="1899-12-30T01:34:14"/>
    <d v="1899-12-30T02:03:25"/>
    <n v="0"/>
    <n v="1"/>
  </r>
  <r>
    <n v="30"/>
    <x v="34"/>
    <d v="1899-12-30T20:36:31"/>
    <d v="1899-12-30T20:36:34"/>
    <d v="1899-12-30T22:10:45"/>
    <s v="1 hr 32 min 36s"/>
    <s v="syj-qorq-zij"/>
    <x v="5"/>
    <d v="1899-12-30T01:34:14"/>
    <d v="1899-12-30T02:03:26"/>
    <n v="0"/>
    <n v="1"/>
  </r>
  <r>
    <n v="31"/>
    <x v="35"/>
    <d v="1899-12-30T20:36:31"/>
    <d v="1899-12-30T21:31:40"/>
    <d v="1899-12-30T22:10:45"/>
    <s v="36 min 33s"/>
    <s v="syj-qorq-zij"/>
    <x v="5"/>
    <d v="1899-12-30T01:34:14"/>
    <d v="1899-12-30T02:03:28"/>
    <n v="0"/>
    <n v="1"/>
  </r>
  <r>
    <n v="32"/>
    <x v="46"/>
    <d v="1899-12-30T20:36:31"/>
    <d v="1899-12-30T20:36:34"/>
    <d v="1899-12-30T22:10:45"/>
    <s v="35 min 55s"/>
    <s v="syj-qorq-zij"/>
    <x v="5"/>
    <d v="1899-12-30T01:34:14"/>
    <d v="1899-12-30T02:03:29"/>
    <n v="0"/>
    <n v="1"/>
  </r>
  <r>
    <n v="33"/>
    <x v="24"/>
    <d v="1899-12-30T20:36:31"/>
    <d v="1899-12-30T20:44:43"/>
    <d v="1899-12-30T22:10:45"/>
    <s v="1 hr 25 min 16s"/>
    <s v="syj-qorq-zij"/>
    <x v="5"/>
    <d v="1899-12-30T01:34:14"/>
    <d v="1899-12-30T02:03:30"/>
    <n v="0"/>
    <n v="1"/>
  </r>
  <r>
    <n v="34"/>
    <x v="36"/>
    <d v="1899-12-30T20:36:31"/>
    <d v="1899-12-30T20:44:43"/>
    <d v="1899-12-30T22:10:45"/>
    <s v="1 hr 26 min 2s"/>
    <s v="syj-qorq-zij"/>
    <x v="5"/>
    <d v="1899-12-30T01:34:14"/>
    <d v="1899-12-30T02:03:32"/>
    <n v="0"/>
    <n v="1"/>
  </r>
  <r>
    <n v="35"/>
    <x v="47"/>
    <d v="1899-12-30T20:36:31"/>
    <d v="1899-12-30T20:36:34"/>
    <d v="1899-12-30T22:10:45"/>
    <s v="44 min 4s"/>
    <s v="syj-qorq-zij"/>
    <x v="5"/>
    <d v="1899-12-30T01:34:14"/>
    <d v="1899-12-30T02:03:33"/>
    <n v="0"/>
    <n v="1"/>
  </r>
  <r>
    <n v="36"/>
    <x v="11"/>
    <d v="1899-12-30T20:36:31"/>
    <d v="1899-12-30T20:36:34"/>
    <d v="1899-12-30T22:10:45"/>
    <s v="1 hr 24 min 34s"/>
    <s v="syj-qorq-zij"/>
    <x v="5"/>
    <d v="1899-12-30T01:34:14"/>
    <d v="1899-12-30T02:03:35"/>
    <n v="0"/>
    <n v="1"/>
  </r>
  <r>
    <n v="1"/>
    <x v="12"/>
    <d v="1899-12-30T20:37:20"/>
    <d v="1899-12-30T21:04:08"/>
    <d v="1899-12-30T22:36:05"/>
    <s v="24 min 39s"/>
    <s v="nmp-jvoq-txs"/>
    <x v="6"/>
    <d v="1899-12-30T01:58:45"/>
    <d v="1899-12-30T02:03:36"/>
    <n v="0"/>
    <n v="1"/>
  </r>
  <r>
    <n v="2"/>
    <x v="2"/>
    <d v="1899-12-30T20:37:20"/>
    <d v="1899-12-30T21:41:52"/>
    <d v="1899-12-30T22:36:05"/>
    <s v="53 min 14s"/>
    <s v="nmp-jvoq-txs"/>
    <x v="6"/>
    <d v="1899-12-30T01:58:45"/>
    <d v="1899-12-30T02:03:36"/>
    <n v="0"/>
    <n v="1"/>
  </r>
  <r>
    <n v="3"/>
    <x v="31"/>
    <d v="1899-12-30T20:37:20"/>
    <d v="1899-12-30T20:37:23"/>
    <d v="1899-12-30T22:36:05"/>
    <s v="27 min 26s"/>
    <s v="nmp-jvoq-txs"/>
    <x v="6"/>
    <d v="1899-12-30T01:58:45"/>
    <d v="1899-12-30T02:03:37"/>
    <n v="0"/>
    <n v="1"/>
  </r>
  <r>
    <n v="4"/>
    <x v="27"/>
    <d v="1899-12-30T20:37:20"/>
    <d v="1899-12-30T20:37:23"/>
    <d v="1899-12-30T22:36:05"/>
    <s v="1 hr 57 min 25s"/>
    <s v="nmp-jvoq-txs"/>
    <x v="6"/>
    <d v="1899-12-30T01:58:45"/>
    <d v="1899-12-30T02:03:37"/>
    <n v="0"/>
    <n v="1"/>
  </r>
  <r>
    <n v="5"/>
    <x v="37"/>
    <d v="1899-12-30T20:37:20"/>
    <d v="1899-12-30T20:37:23"/>
    <d v="1899-12-30T22:36:05"/>
    <s v="1 hr 17 min 7s"/>
    <s v="nmp-jvoq-txs"/>
    <x v="6"/>
    <d v="1899-12-30T01:58:45"/>
    <d v="1899-12-30T02:03:37"/>
    <n v="0"/>
    <n v="1"/>
  </r>
  <r>
    <n v="6"/>
    <x v="15"/>
    <d v="1899-12-30T20:37:20"/>
    <d v="1899-12-30T20:47:02"/>
    <d v="1899-12-30T22:36:05"/>
    <s v="33 min 5s"/>
    <s v="nmp-jvoq-txs"/>
    <x v="6"/>
    <d v="1899-12-30T01:58:45"/>
    <d v="1899-12-30T02:03:37"/>
    <n v="0"/>
    <n v="1"/>
  </r>
  <r>
    <n v="7"/>
    <x v="5"/>
    <d v="1899-12-30T20:37:20"/>
    <d v="1899-12-30T20:37:23"/>
    <d v="1899-12-30T22:36:05"/>
    <s v="1 hr 58 min 40s"/>
    <s v="nmp-jvoq-txs"/>
    <x v="6"/>
    <d v="1899-12-30T01:58:45"/>
    <d v="1899-12-30T02:03:38"/>
    <n v="0"/>
    <n v="1"/>
  </r>
  <r>
    <n v="8"/>
    <x v="6"/>
    <d v="1899-12-30T20:37:20"/>
    <d v="1899-12-30T20:37:23"/>
    <d v="1899-12-30T22:36:05"/>
    <s v="1 hr 35 min 46s"/>
    <s v="nmp-jvoq-txs"/>
    <x v="6"/>
    <d v="1899-12-30T01:58:45"/>
    <d v="1899-12-30T02:03:38"/>
    <n v="0"/>
    <n v="1"/>
  </r>
  <r>
    <n v="9"/>
    <x v="17"/>
    <d v="1899-12-30T20:37:20"/>
    <d v="1899-12-30T20:37:23"/>
    <d v="1899-12-30T22:36:05"/>
    <s v="1 hr 58 min 41s"/>
    <s v="nmp-jvoq-txs"/>
    <x v="6"/>
    <d v="1899-12-30T01:58:45"/>
    <d v="1899-12-30T02:03:38"/>
    <n v="0"/>
    <n v="1"/>
  </r>
  <r>
    <n v="10"/>
    <x v="7"/>
    <d v="1899-12-30T20:37:20"/>
    <d v="1899-12-30T20:48:40"/>
    <d v="1899-12-30T22:36:05"/>
    <s v="1 hr 46 min 15s"/>
    <s v="nmp-jvoq-txs"/>
    <x v="6"/>
    <d v="1899-12-30T01:58:45"/>
    <d v="1899-12-30T02:03:38"/>
    <n v="0"/>
    <n v="1"/>
  </r>
  <r>
    <n v="11"/>
    <x v="18"/>
    <d v="1899-12-30T20:37:20"/>
    <d v="1899-12-30T20:37:23"/>
    <d v="1899-12-30T22:36:05"/>
    <s v="39 min 18s"/>
    <s v="nmp-jvoq-txs"/>
    <x v="6"/>
    <d v="1899-12-30T01:58:45"/>
    <d v="1899-12-30T02:03:38"/>
    <n v="0"/>
    <n v="1"/>
  </r>
  <r>
    <n v="12"/>
    <x v="19"/>
    <d v="1899-12-30T20:37:20"/>
    <d v="1899-12-30T20:38:09"/>
    <d v="1899-12-30T22:36:05"/>
    <s v="1 hr 16 min 52s"/>
    <s v="nmp-jvoq-txs"/>
    <x v="6"/>
    <d v="1899-12-30T01:58:45"/>
    <d v="1899-12-30T02:03:39"/>
    <n v="0"/>
    <n v="1"/>
  </r>
  <r>
    <n v="13"/>
    <x v="38"/>
    <d v="1899-12-30T20:37:20"/>
    <d v="1899-12-30T20:37:23"/>
    <d v="1899-12-30T22:36:05"/>
    <s v="1 hr 58 min 0s"/>
    <s v="nmp-jvoq-txs"/>
    <x v="6"/>
    <d v="1899-12-30T01:58:45"/>
    <d v="1899-12-30T02:03:39"/>
    <n v="0"/>
    <n v="1"/>
  </r>
  <r>
    <n v="14"/>
    <x v="48"/>
    <d v="1899-12-30T20:37:20"/>
    <d v="1899-12-30T20:37:23"/>
    <d v="1899-12-30T22:36:05"/>
    <s v="36 min 30s"/>
    <s v="nmp-jvoq-txs"/>
    <x v="6"/>
    <d v="1899-12-30T01:58:45"/>
    <d v="1899-12-30T02:03:39"/>
    <n v="0"/>
    <n v="1"/>
  </r>
  <r>
    <n v="15"/>
    <x v="8"/>
    <d v="1899-12-30T20:37:20"/>
    <d v="1899-12-30T20:37:23"/>
    <d v="1899-12-30T22:36:05"/>
    <s v="1 hr 57 min 47s"/>
    <s v="nmp-jvoq-txs"/>
    <x v="6"/>
    <d v="1899-12-30T01:58:45"/>
    <d v="1899-12-30T02:03:39"/>
    <n v="0"/>
    <n v="1"/>
  </r>
  <r>
    <n v="16"/>
    <x v="29"/>
    <d v="1899-12-30T20:37:20"/>
    <d v="1899-12-30T20:52:05"/>
    <d v="1899-12-30T22:36:05"/>
    <s v="0 min 41s"/>
    <s v="nmp-jvoq-txs"/>
    <x v="6"/>
    <d v="1899-12-30T01:58:45"/>
    <d v="1899-12-30T02:03:40"/>
    <n v="0"/>
    <n v="1"/>
  </r>
  <r>
    <n v="17"/>
    <x v="20"/>
    <d v="1899-12-30T20:37:20"/>
    <d v="1899-12-30T20:37:23"/>
    <d v="1899-12-30T22:36:05"/>
    <s v="1 hr 58 min 41s"/>
    <s v="nmp-jvoq-txs"/>
    <x v="6"/>
    <d v="1899-12-30T01:58:45"/>
    <d v="1899-12-30T02:03:40"/>
    <n v="0"/>
    <n v="1"/>
  </r>
  <r>
    <n v="18"/>
    <x v="39"/>
    <d v="1899-12-30T20:37:20"/>
    <d v="1899-12-30T20:37:23"/>
    <d v="1899-12-30T22:36:05"/>
    <s v="9 min 38s"/>
    <s v="nmp-jvoq-txs"/>
    <x v="6"/>
    <d v="1899-12-30T01:58:45"/>
    <d v="1899-12-30T02:03:40"/>
    <n v="0"/>
    <n v="1"/>
  </r>
  <r>
    <n v="19"/>
    <x v="9"/>
    <d v="1899-12-30T20:37:20"/>
    <d v="1899-12-30T20:37:23"/>
    <d v="1899-12-30T22:36:05"/>
    <s v="1 hr 57 min 33s"/>
    <s v="nmp-jvoq-txs"/>
    <x v="6"/>
    <d v="1899-12-30T01:58:45"/>
    <d v="1899-12-30T02:03:40"/>
    <n v="0"/>
    <n v="1"/>
  </r>
  <r>
    <n v="20"/>
    <x v="21"/>
    <d v="1899-12-30T20:37:20"/>
    <d v="1899-12-30T20:37:23"/>
    <d v="1899-12-30T22:36:05"/>
    <s v="1 hr 57 min 35s"/>
    <s v="nmp-jvoq-txs"/>
    <x v="6"/>
    <d v="1899-12-30T01:58:45"/>
    <d v="1899-12-30T02:03:41"/>
    <n v="0"/>
    <n v="1"/>
  </r>
  <r>
    <n v="21"/>
    <x v="32"/>
    <d v="1899-12-30T20:37:20"/>
    <d v="1899-12-30T20:56:02"/>
    <d v="1899-12-30T22:36:05"/>
    <s v="1 hr 40 min 2s"/>
    <s v="nmp-jvoq-txs"/>
    <x v="6"/>
    <d v="1899-12-30T01:58:45"/>
    <d v="1899-12-30T02:03:41"/>
    <n v="0"/>
    <n v="1"/>
  </r>
  <r>
    <n v="22"/>
    <x v="10"/>
    <d v="1899-12-30T20:37:20"/>
    <d v="1899-12-30T20:37:23"/>
    <d v="1899-12-30T22:36:05"/>
    <s v="1 hr 12 min 34s"/>
    <s v="nmp-jvoq-txs"/>
    <x v="6"/>
    <d v="1899-12-30T01:58:45"/>
    <d v="1899-12-30T02:03:41"/>
    <n v="0"/>
    <n v="1"/>
  </r>
  <r>
    <n v="23"/>
    <x v="22"/>
    <d v="1899-12-30T20:37:20"/>
    <d v="1899-12-30T20:38:15"/>
    <d v="1899-12-30T22:36:05"/>
    <s v="1 hr 25 min 5s"/>
    <s v="nmp-jvoq-txs"/>
    <x v="6"/>
    <d v="1899-12-30T01:58:45"/>
    <d v="1899-12-30T02:03:41"/>
    <n v="0"/>
    <n v="1"/>
  </r>
  <r>
    <n v="24"/>
    <x v="30"/>
    <d v="1899-12-30T20:37:20"/>
    <d v="1899-12-30T20:37:23"/>
    <d v="1899-12-30T22:36:05"/>
    <s v="1 hr 54 min 16s"/>
    <s v="nmp-jvoq-txs"/>
    <x v="6"/>
    <d v="1899-12-30T01:58:45"/>
    <d v="1899-12-30T02:03:42"/>
    <n v="0"/>
    <n v="1"/>
  </r>
  <r>
    <n v="25"/>
    <x v="23"/>
    <d v="1899-12-30T20:37:20"/>
    <d v="1899-12-30T20:37:23"/>
    <d v="1899-12-30T22:36:05"/>
    <s v="1 hr 57 min 26s"/>
    <s v="nmp-jvoq-txs"/>
    <x v="6"/>
    <d v="1899-12-30T01:58:45"/>
    <d v="1899-12-30T02:03:42"/>
    <n v="0"/>
    <n v="1"/>
  </r>
  <r>
    <n v="26"/>
    <x v="34"/>
    <d v="1899-12-30T20:37:20"/>
    <d v="1899-12-30T20:47:02"/>
    <d v="1899-12-30T22:36:05"/>
    <s v="1 hr 4 min 15s"/>
    <s v="nmp-jvoq-txs"/>
    <x v="6"/>
    <d v="1899-12-30T01:58:45"/>
    <d v="1899-12-30T02:03:42"/>
    <n v="0"/>
    <n v="1"/>
  </r>
  <r>
    <n v="27"/>
    <x v="35"/>
    <d v="1899-12-30T20:37:20"/>
    <d v="1899-12-30T20:37:23"/>
    <d v="1899-12-30T22:36:05"/>
    <s v="57 min 28s"/>
    <s v="nmp-jvoq-txs"/>
    <x v="6"/>
    <d v="1899-12-30T01:58:45"/>
    <d v="1899-12-30T02:03:42"/>
    <n v="0"/>
    <n v="1"/>
  </r>
  <r>
    <n v="28"/>
    <x v="40"/>
    <d v="1899-12-30T20:37:20"/>
    <d v="1899-12-30T20:47:02"/>
    <d v="1899-12-30T22:36:05"/>
    <s v="53 min 37s"/>
    <s v="nmp-jvoq-txs"/>
    <x v="6"/>
    <d v="1899-12-30T01:58:45"/>
    <d v="1899-12-30T02:03:43"/>
    <n v="0"/>
    <n v="1"/>
  </r>
  <r>
    <n v="29"/>
    <x v="24"/>
    <d v="1899-12-30T20:37:20"/>
    <d v="1899-12-30T20:37:23"/>
    <d v="1899-12-30T22:36:05"/>
    <s v="1 hr 57 min 10s"/>
    <s v="nmp-jvoq-txs"/>
    <x v="6"/>
    <d v="1899-12-30T01:58:45"/>
    <d v="1899-12-30T02:03:43"/>
    <n v="0"/>
    <n v="1"/>
  </r>
  <r>
    <n v="30"/>
    <x v="25"/>
    <d v="1899-12-30T20:37:20"/>
    <d v="1899-12-30T20:47:02"/>
    <d v="1899-12-30T22:36:05"/>
    <s v="44 min 41s"/>
    <s v="nmp-jvoq-txs"/>
    <x v="6"/>
    <d v="1899-12-30T01:58:45"/>
    <d v="1899-12-30T02:03:43"/>
    <n v="0"/>
    <n v="1"/>
  </r>
  <r>
    <n v="31"/>
    <x v="26"/>
    <d v="1899-12-30T20:37:20"/>
    <d v="1899-12-30T20:50:17"/>
    <d v="1899-12-30T22:36:05"/>
    <s v="7 min 27s"/>
    <s v="nmp-jvoq-txs"/>
    <x v="6"/>
    <d v="1899-12-30T01:58:45"/>
    <d v="1899-12-30T02:03:43"/>
    <n v="0"/>
    <n v="1"/>
  </r>
  <r>
    <n v="1"/>
    <x v="0"/>
    <d v="1899-12-30T20:40:15"/>
    <d v="1899-12-30T20:40:19"/>
    <d v="1899-12-30T22:44:15"/>
    <s v="0 hr 16 min 31s"/>
    <s v="hke-ohwj-cwy"/>
    <x v="7"/>
    <d v="1899-12-30T02:04:00"/>
    <d v="1899-12-30T02:03:44"/>
    <n v="0"/>
    <n v="0"/>
  </r>
  <r>
    <n v="2"/>
    <x v="1"/>
    <d v="1899-12-30T20:40:15"/>
    <d v="1899-12-30T20:40:19"/>
    <d v="1899-12-30T22:44:15"/>
    <s v="1 hr 16 min 31s"/>
    <s v="hke-ohwj-cwy"/>
    <x v="7"/>
    <d v="1899-12-30T02:04:00"/>
    <d v="1899-12-30T02:03:44"/>
    <n v="0"/>
    <n v="0"/>
  </r>
  <r>
    <n v="3"/>
    <x v="2"/>
    <d v="1899-12-30T20:40:15"/>
    <d v="1899-12-30T20:40:19"/>
    <d v="1899-12-30T22:44:15"/>
    <s v="2 hr 3 min 3s"/>
    <s v="hke-ohwj-cwy"/>
    <x v="7"/>
    <d v="1899-12-30T02:04:00"/>
    <d v="1899-12-30T02:03:44"/>
    <n v="0"/>
    <n v="0"/>
  </r>
  <r>
    <n v="4"/>
    <x v="3"/>
    <d v="1899-12-30T20:40:15"/>
    <d v="1899-12-30T21:55:15"/>
    <d v="1899-12-30T22:44:15"/>
    <s v="48 min 19s"/>
    <s v="hke-ohwj-cwy"/>
    <x v="7"/>
    <d v="1899-12-30T02:04:00"/>
    <d v="1899-12-30T02:03:43"/>
    <n v="0"/>
    <n v="0"/>
  </r>
  <r>
    <n v="5"/>
    <x v="4"/>
    <d v="1899-12-30T20:40:15"/>
    <d v="1899-12-30T21:55:15"/>
    <d v="1899-12-30T22:44:15"/>
    <s v="49 min 0s"/>
    <s v="hke-ohwj-cwy"/>
    <x v="7"/>
    <d v="1899-12-30T02:04:00"/>
    <d v="1899-12-30T02:03:43"/>
    <n v="0"/>
    <n v="0"/>
  </r>
  <r>
    <n v="6"/>
    <x v="31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7"/>
    <x v="49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8"/>
    <x v="14"/>
    <d v="1899-12-30T20:40:15"/>
    <d v="1899-12-30T21:58:27"/>
    <d v="1899-12-30T22:44:15"/>
    <s v="36 min 28s"/>
    <s v="hke-ohwj-cwy"/>
    <x v="7"/>
    <d v="1899-12-30T02:04:00"/>
    <d v="1899-12-30T02:03:43"/>
    <n v="0"/>
    <n v="0"/>
  </r>
  <r>
    <n v="9"/>
    <x v="5"/>
    <d v="1899-12-30T20:40:15"/>
    <d v="1899-12-30T20:40:19"/>
    <d v="1899-12-30T22:44:15"/>
    <s v="2 hr 3 min 50s"/>
    <s v="hke-ohwj-cwy"/>
    <x v="7"/>
    <d v="1899-12-30T02:04:00"/>
    <d v="1899-12-30T02:03:43"/>
    <n v="0"/>
    <n v="0"/>
  </r>
  <r>
    <n v="10"/>
    <x v="50"/>
    <d v="1899-12-30T20:40:15"/>
    <d v="1899-12-30T20:40:19"/>
    <d v="1899-12-30T22:44:15"/>
    <s v="1 hr 17 min 21s"/>
    <s v="hke-ohwj-cwy"/>
    <x v="7"/>
    <d v="1899-12-30T02:04:00"/>
    <d v="1899-12-30T02:03:43"/>
    <n v="0"/>
    <n v="0"/>
  </r>
  <r>
    <n v="11"/>
    <x v="51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2"/>
    <x v="6"/>
    <d v="1899-12-30T20:40:15"/>
    <d v="1899-12-30T20:40:19"/>
    <d v="1899-12-30T22:44:15"/>
    <s v="1 hr 56 min 35s"/>
    <s v="hke-ohwj-cwy"/>
    <x v="7"/>
    <d v="1899-12-30T02:04:00"/>
    <d v="1899-12-30T02:03:43"/>
    <n v="0"/>
    <n v="0"/>
  </r>
  <r>
    <n v="13"/>
    <x v="43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4"/>
    <x v="7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15"/>
    <x v="18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6"/>
    <x v="19"/>
    <d v="1899-12-30T20:40:15"/>
    <d v="1899-12-30T20:40:19"/>
    <d v="1899-12-30T22:44:15"/>
    <s v="2 hr 2 min 58s"/>
    <s v="hke-ohwj-cwy"/>
    <x v="7"/>
    <d v="1899-12-30T02:04:00"/>
    <d v="1899-12-30T02:03:43"/>
    <n v="0"/>
    <n v="0"/>
  </r>
  <r>
    <n v="17"/>
    <x v="8"/>
    <d v="1899-12-30T20:40:15"/>
    <d v="1899-12-30T20:40:19"/>
    <d v="1899-12-30T22:44:15"/>
    <s v="2 hr 3 min 19s"/>
    <s v="hke-ohwj-cwy"/>
    <x v="7"/>
    <d v="1899-12-30T02:04:00"/>
    <d v="1899-12-30T02:03:43"/>
    <n v="0"/>
    <n v="0"/>
  </r>
  <r>
    <n v="18"/>
    <x v="20"/>
    <d v="1899-12-30T20:40:15"/>
    <d v="1899-12-30T20:40:19"/>
    <d v="1899-12-30T22:44:15"/>
    <s v="2 hr 3 min 7s"/>
    <s v="hke-ohwj-cwy"/>
    <x v="7"/>
    <d v="1899-12-30T02:04:00"/>
    <d v="1899-12-30T02:03:43"/>
    <n v="0"/>
    <n v="0"/>
  </r>
  <r>
    <n v="19"/>
    <x v="9"/>
    <d v="1899-12-30T20:40:15"/>
    <d v="1899-12-30T20:40:19"/>
    <d v="1899-12-30T22:44:15"/>
    <s v="2 hr 3 min 1s"/>
    <s v="hke-ohwj-cwy"/>
    <x v="7"/>
    <d v="1899-12-30T02:04:00"/>
    <d v="1899-12-30T02:03:43"/>
    <n v="0"/>
    <n v="0"/>
  </r>
  <r>
    <n v="20"/>
    <x v="10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21"/>
    <x v="52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22"/>
    <x v="22"/>
    <d v="1899-12-30T20:40:15"/>
    <d v="1899-12-30T20:40:19"/>
    <d v="1899-12-30T22:44:15"/>
    <s v="2 hr 1 min 48s"/>
    <s v="hke-ohwj-cwy"/>
    <x v="7"/>
    <d v="1899-12-30T02:04:00"/>
    <d v="1899-12-30T02:03:43"/>
    <n v="0"/>
    <n v="0"/>
  </r>
  <r>
    <n v="23"/>
    <x v="23"/>
    <d v="1899-12-30T20:40:15"/>
    <d v="1899-12-30T20:40:19"/>
    <d v="1899-12-30T22:44:15"/>
    <s v="2 hr 2 min 59s"/>
    <s v="hke-ohwj-cwy"/>
    <x v="7"/>
    <d v="1899-12-30T02:04:00"/>
    <d v="1899-12-30T02:03:43"/>
    <n v="0"/>
    <n v="0"/>
  </r>
  <r>
    <n v="24"/>
    <x v="24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"/>
    <x v="0"/>
    <d v="1899-12-30T20:39:22"/>
    <d v="1899-12-30T20:39:26"/>
    <d v="1899-12-30T22:27:24"/>
    <s v="1 hr 47 min 55s"/>
    <s v="gma-zhih-uwt"/>
    <x v="8"/>
    <d v="1899-12-30T01:48:02"/>
    <d v="1899-12-30T02:03:43"/>
    <n v="0"/>
    <n v="0"/>
  </r>
  <r>
    <n v="2"/>
    <x v="1"/>
    <d v="1899-12-30T20:39:22"/>
    <d v="1899-12-30T20:39:26"/>
    <d v="1899-12-30T22:27:24"/>
    <s v="1 hr 47 min 55s"/>
    <s v="gma-zhih-uwt"/>
    <x v="8"/>
    <d v="1899-12-30T01:48:02"/>
    <d v="1899-12-30T02:03:44"/>
    <n v="0"/>
    <n v="0"/>
  </r>
  <r>
    <n v="3"/>
    <x v="2"/>
    <d v="1899-12-30T20:39:22"/>
    <d v="1899-12-30T20:39:26"/>
    <d v="1899-12-30T22:27:24"/>
    <s v="1 hr 47 min 55s"/>
    <s v="gma-zhih-uwt"/>
    <x v="8"/>
    <d v="1899-12-30T01:48:02"/>
    <d v="1899-12-30T02:03:45"/>
    <n v="0"/>
    <n v="0"/>
  </r>
  <r>
    <n v="4"/>
    <x v="4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5"/>
    <x v="31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6"/>
    <x v="27"/>
    <d v="1899-12-30T20:39:22"/>
    <d v="1899-12-30T20:39:26"/>
    <d v="1899-12-30T22:27:24"/>
    <s v="1 hr 47 min 53s"/>
    <s v="gma-zhih-uwt"/>
    <x v="8"/>
    <d v="1899-12-30T01:48:02"/>
    <d v="1899-12-30T02:03:47"/>
    <n v="0"/>
    <n v="0"/>
  </r>
  <r>
    <n v="7"/>
    <x v="14"/>
    <d v="1899-12-30T20:39:22"/>
    <d v="1899-12-30T20:39:26"/>
    <d v="1899-12-30T22:27:24"/>
    <s v="1 hr 47 min 53s"/>
    <s v="gma-zhih-uwt"/>
    <x v="8"/>
    <d v="1899-12-30T01:48:02"/>
    <d v="1899-12-30T02:03:48"/>
    <n v="0"/>
    <n v="0"/>
  </r>
  <r>
    <n v="8"/>
    <x v="15"/>
    <d v="1899-12-30T20:39:22"/>
    <d v="1899-12-30T20:39:26"/>
    <d v="1899-12-30T22:27:24"/>
    <s v="1 hr 47 min 53s"/>
    <s v="gma-zhih-uwt"/>
    <x v="8"/>
    <d v="1899-12-30T01:48:02"/>
    <d v="1899-12-30T02:03:49"/>
    <n v="0"/>
    <n v="0"/>
  </r>
  <r>
    <n v="9"/>
    <x v="5"/>
    <d v="1899-12-30T20:39:22"/>
    <d v="1899-12-30T20:39:26"/>
    <d v="1899-12-30T22:27:24"/>
    <s v="1 hr 47 min 55s"/>
    <s v="gma-zhih-uwt"/>
    <x v="8"/>
    <d v="1899-12-30T01:48:02"/>
    <d v="1899-12-30T02:03:50"/>
    <n v="0"/>
    <n v="0"/>
  </r>
  <r>
    <n v="10"/>
    <x v="6"/>
    <d v="1899-12-30T20:39:22"/>
    <d v="1899-12-30T20:39:26"/>
    <d v="1899-12-30T22:27:24"/>
    <s v="1 hr 47 min 53s"/>
    <s v="gma-zhih-uwt"/>
    <x v="8"/>
    <d v="1899-12-30T01:48:02"/>
    <d v="1899-12-30T02:03:50"/>
    <n v="0"/>
    <n v="0"/>
  </r>
  <r>
    <n v="11"/>
    <x v="28"/>
    <d v="1899-12-30T20:39:22"/>
    <d v="1899-12-30T20:39:26"/>
    <d v="1899-12-30T22:27:24"/>
    <s v="1 hr 47 min 53s"/>
    <s v="gma-zhih-uwt"/>
    <x v="8"/>
    <d v="1899-12-30T01:48:02"/>
    <d v="1899-12-30T02:03:51"/>
    <n v="0"/>
    <n v="0"/>
  </r>
  <r>
    <n v="12"/>
    <x v="7"/>
    <d v="1899-12-30T20:39:22"/>
    <d v="1899-12-30T20:39:26"/>
    <d v="1899-12-30T22:27:24"/>
    <s v="1 hr 47 min 53s"/>
    <s v="gma-zhih-uwt"/>
    <x v="8"/>
    <d v="1899-12-30T01:48:02"/>
    <d v="1899-12-30T02:03:52"/>
    <n v="0"/>
    <n v="0"/>
  </r>
  <r>
    <n v="13"/>
    <x v="18"/>
    <d v="1899-12-30T20:39:22"/>
    <d v="1899-12-30T20:39:26"/>
    <d v="1899-12-30T22:27:24"/>
    <s v="1 hr 47 min 53s"/>
    <s v="gma-zhih-uwt"/>
    <x v="8"/>
    <d v="1899-12-30T01:48:02"/>
    <d v="1899-12-30T02:03:53"/>
    <n v="0"/>
    <n v="0"/>
  </r>
  <r>
    <n v="14"/>
    <x v="19"/>
    <d v="1899-12-30T20:39:22"/>
    <d v="1899-12-30T20:39:26"/>
    <d v="1899-12-30T22:27:24"/>
    <s v="1 hr 47 min 53s"/>
    <s v="gma-zhih-uwt"/>
    <x v="8"/>
    <d v="1899-12-30T01:48:02"/>
    <d v="1899-12-30T02:03:54"/>
    <n v="0"/>
    <n v="0"/>
  </r>
  <r>
    <n v="15"/>
    <x v="8"/>
    <d v="1899-12-30T20:39:22"/>
    <d v="1899-12-30T20:39:26"/>
    <d v="1899-12-30T22:27:24"/>
    <s v="1 hr 47 min 55s"/>
    <s v="gma-zhih-uwt"/>
    <x v="8"/>
    <d v="1899-12-30T01:48:02"/>
    <d v="1899-12-30T02:03:54"/>
    <n v="0"/>
    <n v="0"/>
  </r>
  <r>
    <n v="16"/>
    <x v="20"/>
    <d v="1899-12-30T20:39:22"/>
    <d v="1899-12-30T20:39:26"/>
    <d v="1899-12-30T22:27:24"/>
    <s v="1 hr 47 min 55s"/>
    <s v="gma-zhih-uwt"/>
    <x v="8"/>
    <d v="1899-12-30T01:48:02"/>
    <d v="1899-12-30T02:03:55"/>
    <n v="0"/>
    <n v="0"/>
  </r>
  <r>
    <n v="17"/>
    <x v="9"/>
    <d v="1899-12-30T20:39:22"/>
    <d v="1899-12-30T20:39:26"/>
    <d v="1899-12-30T22:27:24"/>
    <s v="1 hr 47 min 55s"/>
    <s v="gma-zhih-uwt"/>
    <x v="8"/>
    <d v="1899-12-30T01:48:02"/>
    <d v="1899-12-30T02:03:56"/>
    <n v="0"/>
    <n v="0"/>
  </r>
  <r>
    <n v="18"/>
    <x v="53"/>
    <d v="1899-12-30T20:39:22"/>
    <d v="1899-12-30T20:39:26"/>
    <d v="1899-12-30T22:27:24"/>
    <s v="1 hr 47 min 53s"/>
    <s v="gma-zhih-uwt"/>
    <x v="8"/>
    <d v="1899-12-30T01:48:02"/>
    <d v="1899-12-30T02:03:57"/>
    <n v="0"/>
    <n v="0"/>
  </r>
  <r>
    <n v="19"/>
    <x v="10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0"/>
    <x v="22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1"/>
    <x v="23"/>
    <d v="1899-12-30T20:39:22"/>
    <d v="1899-12-30T20:39:26"/>
    <d v="1899-12-30T22:27:24"/>
    <s v="1 hr 47 min 53s"/>
    <s v="gma-zhih-uwt"/>
    <x v="8"/>
    <d v="1899-12-30T01:48:02"/>
    <d v="1899-12-30T02:03:59"/>
    <n v="0"/>
    <n v="0"/>
  </r>
  <r>
    <n v="22"/>
    <x v="34"/>
    <d v="1899-12-30T20:39:22"/>
    <d v="1899-12-30T20:39:26"/>
    <d v="1899-12-30T22:27:24"/>
    <s v="1 hr 47 min 53s"/>
    <s v="gma-zhih-uwt"/>
    <x v="8"/>
    <d v="1899-12-30T01:48:02"/>
    <d v="1899-12-30T02:04:00"/>
    <n v="0"/>
    <n v="0"/>
  </r>
  <r>
    <n v="23"/>
    <x v="35"/>
    <d v="1899-12-30T20:39:22"/>
    <d v="1899-12-30T20:39:26"/>
    <d v="1899-12-30T22:27:24"/>
    <s v="1 hr 47 min 53s"/>
    <s v="gma-zhih-uwt"/>
    <x v="8"/>
    <d v="1899-12-30T01:48:02"/>
    <d v="1899-12-30T02:04:01"/>
    <n v="0"/>
    <n v="0"/>
  </r>
  <r>
    <n v="24"/>
    <x v="46"/>
    <d v="1899-12-30T20:39:22"/>
    <d v="1899-12-30T20:39:26"/>
    <d v="1899-12-30T22:27:24"/>
    <s v="1 hr 47 min 53s"/>
    <s v="gma-zhih-uwt"/>
    <x v="8"/>
    <d v="1899-12-30T01:48:02"/>
    <d v="1899-12-30T02:04:02"/>
    <n v="0"/>
    <n v="0"/>
  </r>
  <r>
    <n v="25"/>
    <x v="24"/>
    <d v="1899-12-30T20:39:22"/>
    <d v="1899-12-30T20:39:26"/>
    <d v="1899-12-30T22:27:24"/>
    <s v="1 hr 47 min 53s"/>
    <s v="gma-zhih-uwt"/>
    <x v="8"/>
    <d v="1899-12-30T01:48:02"/>
    <d v="1899-12-30T02:04:03"/>
    <n v="0"/>
    <n v="0"/>
  </r>
  <r>
    <n v="1"/>
    <x v="12"/>
    <d v="1899-12-30T20:42:06"/>
    <d v="1899-12-30T22:40:56"/>
    <d v="1899-12-30T22:41:19"/>
    <s v="0 min 15s"/>
    <s v="dei-dnjy-xwn"/>
    <x v="9"/>
    <d v="1899-12-30T01:59:13"/>
    <d v="1899-12-30T02:04:03"/>
    <n v="0"/>
    <n v="0"/>
  </r>
  <r>
    <n v="2"/>
    <x v="0"/>
    <d v="1899-12-30T20:42:06"/>
    <d v="1899-12-30T20:42:09"/>
    <d v="1899-12-30T22:41:19"/>
    <s v="1 hr 58 min 52s"/>
    <s v="dei-dnjy-xwn"/>
    <x v="9"/>
    <d v="1899-12-30T01:59:13"/>
    <d v="1899-12-30T02:04:04"/>
    <n v="0"/>
    <n v="0"/>
  </r>
  <r>
    <n v="3"/>
    <x v="1"/>
    <d v="1899-12-30T20:42:06"/>
    <d v="1899-12-30T22:40:56"/>
    <d v="1899-12-30T22:41:19"/>
    <s v="0 min 24s"/>
    <s v="dei-dnjy-xwn"/>
    <x v="9"/>
    <d v="1899-12-30T01:59:13"/>
    <d v="1899-12-30T02:04:04"/>
    <n v="0"/>
    <n v="0"/>
  </r>
  <r>
    <n v="4"/>
    <x v="2"/>
    <d v="1899-12-30T20:42:06"/>
    <d v="1899-12-30T20:42:09"/>
    <d v="1899-12-30T22:41:19"/>
    <s v="1 hr 58 min 28s"/>
    <s v="dei-dnjy-xwn"/>
    <x v="9"/>
    <d v="1899-12-30T01:59:13"/>
    <d v="1899-12-30T02:04:04"/>
    <n v="0"/>
    <n v="0"/>
  </r>
  <r>
    <n v="5"/>
    <x v="13"/>
    <d v="1899-12-30T20:42:06"/>
    <d v="1899-12-30T20:42:09"/>
    <d v="1899-12-30T22:41:19"/>
    <s v="1 hr 58 min 47s"/>
    <s v="dei-dnjy-xwn"/>
    <x v="9"/>
    <d v="1899-12-30T01:59:13"/>
    <d v="1899-12-30T02:04:04"/>
    <n v="0"/>
    <n v="0"/>
  </r>
  <r>
    <n v="6"/>
    <x v="37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7"/>
    <x v="54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8"/>
    <x v="15"/>
    <d v="1899-12-30T20:42:06"/>
    <d v="1899-12-30T20:50:26"/>
    <d v="1899-12-30T22:41:19"/>
    <s v="1 hr 50 min 15s"/>
    <s v="dei-dnjy-xwn"/>
    <x v="9"/>
    <d v="1899-12-30T01:59:13"/>
    <d v="1899-12-30T02:04:05"/>
    <n v="0"/>
    <n v="0"/>
  </r>
  <r>
    <n v="9"/>
    <x v="5"/>
    <d v="1899-12-30T20:42:06"/>
    <d v="1899-12-30T20:42:09"/>
    <d v="1899-12-30T22:41:19"/>
    <s v="1 hr 58 min 52s"/>
    <s v="dei-dnjy-xwn"/>
    <x v="9"/>
    <d v="1899-12-30T01:59:13"/>
    <d v="1899-12-30T02:04:05"/>
    <n v="0"/>
    <n v="0"/>
  </r>
  <r>
    <n v="10"/>
    <x v="6"/>
    <d v="1899-12-30T20:42:06"/>
    <d v="1899-12-30T22:41:12"/>
    <d v="1899-12-30T22:41:19"/>
    <s v="0 min 8s"/>
    <s v="dei-dnjy-xwn"/>
    <x v="9"/>
    <d v="1899-12-30T01:59:13"/>
    <d v="1899-12-30T02:04:06"/>
    <n v="0"/>
    <n v="0"/>
  </r>
  <r>
    <n v="11"/>
    <x v="17"/>
    <d v="1899-12-30T20:42:06"/>
    <d v="1899-12-30T22:40:56"/>
    <d v="1899-12-30T22:41:19"/>
    <s v="0 min 24s"/>
    <s v="dei-dnjy-xwn"/>
    <x v="9"/>
    <d v="1899-12-30T01:59:13"/>
    <d v="1899-12-30T02:04:06"/>
    <n v="0"/>
    <n v="0"/>
  </r>
  <r>
    <n v="12"/>
    <x v="43"/>
    <d v="1899-12-30T20:42:06"/>
    <d v="1899-12-30T20:50:26"/>
    <d v="1899-12-30T22:41:19"/>
    <s v="1 hr 50 min 15s"/>
    <s v="dei-dnjy-xwn"/>
    <x v="9"/>
    <d v="1899-12-30T01:59:13"/>
    <d v="1899-12-30T02:04:06"/>
    <n v="0"/>
    <n v="0"/>
  </r>
  <r>
    <n v="13"/>
    <x v="28"/>
    <d v="1899-12-30T20:42:06"/>
    <d v="1899-12-30T20:42:09"/>
    <d v="1899-12-30T22:41:19"/>
    <s v="1 hr 58 min 28s"/>
    <s v="dei-dnjy-xwn"/>
    <x v="9"/>
    <d v="1899-12-30T01:59:13"/>
    <d v="1899-12-30T02:04:06"/>
    <n v="0"/>
    <n v="0"/>
  </r>
  <r>
    <n v="14"/>
    <x v="18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5"/>
    <x v="19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6"/>
    <x v="8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7"/>
    <x v="29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8"/>
    <x v="20"/>
    <d v="1899-12-30T20:42:06"/>
    <d v="1899-12-30T20:50:26"/>
    <d v="1899-12-30T22:41:19"/>
    <s v="1 hr 50 min 39s"/>
    <s v="dei-dnjy-xwn"/>
    <x v="9"/>
    <d v="1899-12-30T01:59:13"/>
    <d v="1899-12-30T02:04:08"/>
    <n v="0"/>
    <n v="0"/>
  </r>
  <r>
    <n v="19"/>
    <x v="39"/>
    <d v="1899-12-30T20:42:06"/>
    <d v="1899-12-30T20:42:09"/>
    <d v="1899-12-30T22:41:19"/>
    <s v="1 hr 58 min 52s"/>
    <s v="dei-dnjy-xwn"/>
    <x v="9"/>
    <d v="1899-12-30T01:59:13"/>
    <d v="1899-12-30T02:04:08"/>
    <n v="0"/>
    <n v="0"/>
  </r>
  <r>
    <n v="20"/>
    <x v="9"/>
    <d v="1899-12-30T20:42:06"/>
    <d v="1899-12-30T20:42:09"/>
    <d v="1899-12-30T22:41:19"/>
    <s v="1 hr 58 min 28s"/>
    <s v="dei-dnjy-xwn"/>
    <x v="9"/>
    <d v="1899-12-30T01:59:13"/>
    <d v="1899-12-30T02:04:08"/>
    <n v="0"/>
    <n v="0"/>
  </r>
  <r>
    <n v="21"/>
    <x v="21"/>
    <d v="1899-12-30T20:42:06"/>
    <d v="1899-12-30T20:50:26"/>
    <d v="1899-12-30T22:41:19"/>
    <s v="1 hr 50 min 15s"/>
    <s v="dei-dnjy-xwn"/>
    <x v="9"/>
    <d v="1899-12-30T01:59:13"/>
    <d v="1899-12-30T02:04:08"/>
    <n v="0"/>
    <n v="0"/>
  </r>
  <r>
    <n v="22"/>
    <x v="10"/>
    <d v="1899-12-30T20:42:06"/>
    <d v="1899-12-30T20:50:26"/>
    <d v="1899-12-30T22:41:19"/>
    <s v="1 hr 50 min 16s"/>
    <s v="dei-dnjy-xwn"/>
    <x v="9"/>
    <d v="1899-12-30T01:59:13"/>
    <d v="1899-12-30T02:04:09"/>
    <n v="0"/>
    <n v="0"/>
  </r>
  <r>
    <n v="23"/>
    <x v="52"/>
    <d v="1899-12-30T20:42:06"/>
    <d v="1899-12-30T20:50:26"/>
    <d v="1899-12-30T22:41:19"/>
    <s v="1 hr 50 min 15s"/>
    <s v="dei-dnjy-xwn"/>
    <x v="9"/>
    <d v="1899-12-30T01:59:13"/>
    <d v="1899-12-30T02:04:09"/>
    <n v="0"/>
    <n v="0"/>
  </r>
  <r>
    <n v="24"/>
    <x v="55"/>
    <d v="1899-12-30T20:42:06"/>
    <d v="1899-12-30T20:50:26"/>
    <d v="1899-12-30T22:41:19"/>
    <s v="1 hr 50 min 39s"/>
    <s v="dei-dnjy-xwn"/>
    <x v="9"/>
    <d v="1899-12-30T01:59:13"/>
    <d v="1899-12-30T02:04:09"/>
    <n v="0"/>
    <n v="0"/>
  </r>
  <r>
    <n v="25"/>
    <x v="30"/>
    <d v="1899-12-30T20:42:06"/>
    <d v="1899-12-30T20:42:09"/>
    <d v="1899-12-30T22:41:19"/>
    <s v="1 hr 58 min 28s"/>
    <s v="dei-dnjy-xwn"/>
    <x v="9"/>
    <d v="1899-12-30T01:59:13"/>
    <d v="1899-12-30T02:04:09"/>
    <n v="0"/>
    <n v="0"/>
  </r>
  <r>
    <n v="26"/>
    <x v="23"/>
    <d v="1899-12-30T20:42:06"/>
    <d v="1899-12-30T20:50:26"/>
    <d v="1899-12-30T22:41:19"/>
    <s v="1 hr 50 min 15s"/>
    <s v="dei-dnjy-xwn"/>
    <x v="9"/>
    <d v="1899-12-30T01:59:13"/>
    <d v="1899-12-30T02:04:10"/>
    <n v="0"/>
    <n v="0"/>
  </r>
  <r>
    <n v="27"/>
    <x v="34"/>
    <d v="1899-12-30T20:42:06"/>
    <d v="1899-12-30T20:42:09"/>
    <d v="1899-12-30T22:41:19"/>
    <s v="1 hr 58 min 28s"/>
    <s v="dei-dnjy-xwn"/>
    <x v="9"/>
    <d v="1899-12-30T01:59:13"/>
    <d v="1899-12-30T02:04:10"/>
    <n v="0"/>
    <n v="0"/>
  </r>
  <r>
    <n v="28"/>
    <x v="35"/>
    <d v="1899-12-30T20:42:06"/>
    <d v="1899-12-30T22:40:56"/>
    <d v="1899-12-30T22:41:19"/>
    <s v="0 min 24s"/>
    <s v="dei-dnjy-xwn"/>
    <x v="9"/>
    <d v="1899-12-30T01:59:13"/>
    <d v="1899-12-30T02:04:10"/>
    <n v="0"/>
    <n v="0"/>
  </r>
  <r>
    <n v="29"/>
    <x v="46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30"/>
    <x v="24"/>
    <d v="1899-12-30T20:42:06"/>
    <d v="1899-12-30T20:50:26"/>
    <d v="1899-12-30T22:41:19"/>
    <s v="1 hr 50 min 15s"/>
    <s v="dei-dnjy-xwn"/>
    <x v="9"/>
    <d v="1899-12-30T01:59:13"/>
    <d v="1899-12-30T02:04:11"/>
    <n v="0"/>
    <n v="0"/>
  </r>
  <r>
    <n v="31"/>
    <x v="11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1"/>
    <x v="1"/>
    <d v="1899-12-30T20:37:47"/>
    <d v="1899-12-30T22:45:20"/>
    <d v="1899-12-30T22:57:24"/>
    <s v="11 min 43s"/>
    <s v="utm-dhtc-qab"/>
    <x v="10"/>
    <d v="1899-12-30T02:19:37"/>
    <d v="1899-12-30T02:04:11"/>
    <n v="0"/>
    <n v="0"/>
  </r>
  <r>
    <n v="2"/>
    <x v="2"/>
    <d v="1899-12-30T20:37:47"/>
    <d v="1899-12-30T22:45:20"/>
    <d v="1899-12-30T22:57:24"/>
    <s v="11 min 58s"/>
    <s v="utm-dhtc-qab"/>
    <x v="10"/>
    <d v="1899-12-30T02:19:37"/>
    <d v="1899-12-30T02:04:10"/>
    <n v="0"/>
    <n v="0"/>
  </r>
  <r>
    <n v="3"/>
    <x v="13"/>
    <d v="1899-12-30T20:37:47"/>
    <d v="1899-12-30T20:37:50"/>
    <d v="1899-12-30T22:57:24"/>
    <s v="2 hr 19 min 2s"/>
    <s v="utm-dhtc-qab"/>
    <x v="10"/>
    <d v="1899-12-30T02:19:37"/>
    <d v="1899-12-30T02:04:10"/>
    <n v="0"/>
    <n v="0"/>
  </r>
  <r>
    <n v="4"/>
    <x v="31"/>
    <d v="1899-12-30T20:37:47"/>
    <d v="1899-12-30T20:38:04"/>
    <d v="1899-12-30T22:57:24"/>
    <s v="2 hr 6 min 50s"/>
    <s v="utm-dhtc-qab"/>
    <x v="10"/>
    <d v="1899-12-30T02:19:37"/>
    <d v="1899-12-30T02:04:09"/>
    <n v="0"/>
    <n v="0"/>
  </r>
  <r>
    <n v="5"/>
    <x v="37"/>
    <d v="1899-12-30T20:37:47"/>
    <d v="1899-12-30T20:37:50"/>
    <d v="1899-12-30T22:57:24"/>
    <s v="2 hr 18 min 47s"/>
    <s v="utm-dhtc-qab"/>
    <x v="10"/>
    <d v="1899-12-30T02:19:37"/>
    <d v="1899-12-30T02:04:08"/>
    <n v="0"/>
    <n v="0"/>
  </r>
  <r>
    <n v="6"/>
    <x v="49"/>
    <d v="1899-12-30T20:37:47"/>
    <d v="1899-12-30T20:37:50"/>
    <d v="1899-12-30T22:57:24"/>
    <s v="2 hr 7 min 4s"/>
    <s v="utm-dhtc-qab"/>
    <x v="10"/>
    <d v="1899-12-30T02:19:37"/>
    <d v="1899-12-30T02:04:07"/>
    <n v="0"/>
    <n v="0"/>
  </r>
  <r>
    <n v="7"/>
    <x v="56"/>
    <d v="1899-12-30T20:37:47"/>
    <d v="1899-12-30T22:45:20"/>
    <d v="1899-12-30T22:57:24"/>
    <s v="11 min 43s"/>
    <s v="utm-dhtc-qab"/>
    <x v="10"/>
    <d v="1899-12-30T02:19:37"/>
    <d v="1899-12-30T02:04:06"/>
    <n v="0"/>
    <n v="0"/>
  </r>
  <r>
    <n v="8"/>
    <x v="5"/>
    <d v="1899-12-30T20:37:47"/>
    <d v="1899-12-30T20:37:50"/>
    <d v="1899-12-30T22:57:24"/>
    <s v="2 hr 19 min 2s"/>
    <s v="utm-dhtc-qab"/>
    <x v="10"/>
    <d v="1899-12-30T02:19:37"/>
    <d v="1899-12-30T02:04:06"/>
    <n v="0"/>
    <n v="0"/>
  </r>
  <r>
    <n v="9"/>
    <x v="50"/>
    <d v="1899-12-30T20:37:47"/>
    <d v="1899-12-30T22:45:20"/>
    <d v="1899-12-30T22:57:24"/>
    <s v="11 min 43s"/>
    <s v="utm-dhtc-qab"/>
    <x v="10"/>
    <d v="1899-12-30T02:19:37"/>
    <d v="1899-12-30T02:04:05"/>
    <n v="0"/>
    <n v="0"/>
  </r>
  <r>
    <n v="10"/>
    <x v="51"/>
    <d v="1899-12-30T20:37:47"/>
    <d v="1899-12-30T20:37:50"/>
    <d v="1899-12-30T22:57:24"/>
    <s v="2 hr 7 min 4s"/>
    <s v="utm-dhtc-qab"/>
    <x v="10"/>
    <d v="1899-12-30T02:19:37"/>
    <d v="1899-12-30T02:04:04"/>
    <n v="0"/>
    <n v="0"/>
  </r>
  <r>
    <n v="11"/>
    <x v="6"/>
    <d v="1899-12-30T20:37:47"/>
    <d v="1899-12-30T20:37:50"/>
    <d v="1899-12-30T22:57:24"/>
    <s v="2 hr 18 min 47s"/>
    <s v="utm-dhtc-qab"/>
    <x v="10"/>
    <d v="1899-12-30T02:19:37"/>
    <d v="1899-12-30T02:04:03"/>
    <n v="0"/>
    <n v="0"/>
  </r>
  <r>
    <n v="12"/>
    <x v="17"/>
    <d v="1899-12-30T20:37:47"/>
    <d v="1899-12-30T22:45:20"/>
    <d v="1899-12-30T22:57:24"/>
    <s v="11 min 58s"/>
    <s v="utm-dhtc-qab"/>
    <x v="10"/>
    <d v="1899-12-30T02:19:37"/>
    <d v="1899-12-30T02:04:02"/>
    <n v="0"/>
    <n v="0"/>
  </r>
  <r>
    <n v="13"/>
    <x v="28"/>
    <d v="1899-12-30T20:37:47"/>
    <d v="1899-12-30T22:45:20"/>
    <d v="1899-12-30T22:57:24"/>
    <s v="11 min 43s"/>
    <s v="utm-dhtc-qab"/>
    <x v="10"/>
    <d v="1899-12-30T02:19:37"/>
    <d v="1899-12-30T02:04:01"/>
    <n v="0"/>
    <n v="0"/>
  </r>
  <r>
    <n v="14"/>
    <x v="7"/>
    <d v="1899-12-30T20:37:47"/>
    <d v="1899-12-30T20:37:50"/>
    <d v="1899-12-30T22:57:24"/>
    <s v="2 hr 7 min 4s"/>
    <s v="utm-dhtc-qab"/>
    <x v="10"/>
    <d v="1899-12-30T02:19:37"/>
    <d v="1899-12-30T02:04:01"/>
    <n v="0"/>
    <n v="0"/>
  </r>
  <r>
    <n v="15"/>
    <x v="57"/>
    <d v="1899-12-30T20:37:47"/>
    <d v="1899-12-30T20:37:50"/>
    <d v="1899-12-30T22:57:24"/>
    <s v="2 hr 7 min 4s"/>
    <s v="utm-dhtc-qab"/>
    <x v="10"/>
    <d v="1899-12-30T02:19:37"/>
    <d v="1899-12-30T02:04:00"/>
    <n v="0"/>
    <n v="0"/>
  </r>
  <r>
    <n v="16"/>
    <x v="19"/>
    <d v="1899-12-30T20:37:47"/>
    <d v="1899-12-30T20:37:50"/>
    <d v="1899-12-30T22:57:24"/>
    <s v="2 hr 7 min 4s"/>
    <s v="utm-dhtc-qab"/>
    <x v="10"/>
    <d v="1899-12-30T02:19:37"/>
    <d v="1899-12-30T02:03:59"/>
    <n v="0"/>
    <n v="0"/>
  </r>
  <r>
    <n v="17"/>
    <x v="8"/>
    <d v="1899-12-30T20:37:47"/>
    <d v="1899-12-30T20:37:50"/>
    <d v="1899-12-30T22:57:24"/>
    <s v="2 hr 19 min 2s"/>
    <s v="utm-dhtc-qab"/>
    <x v="10"/>
    <d v="1899-12-30T02:19:37"/>
    <d v="1899-12-30T02:03:58"/>
    <n v="0"/>
    <n v="0"/>
  </r>
  <r>
    <n v="18"/>
    <x v="20"/>
    <d v="1899-12-30T20:37:47"/>
    <d v="1899-12-30T20:37:50"/>
    <d v="1899-12-30T22:57:24"/>
    <s v="2 hr 19 min 2s"/>
    <s v="utm-dhtc-qab"/>
    <x v="10"/>
    <d v="1899-12-30T02:19:37"/>
    <d v="1899-12-30T02:03:57"/>
    <n v="0"/>
    <n v="0"/>
  </r>
  <r>
    <n v="19"/>
    <x v="21"/>
    <d v="1899-12-30T20:37:47"/>
    <d v="1899-12-30T20:37:50"/>
    <d v="1899-12-30T22:57:24"/>
    <s v="2 hr 18 min 47s"/>
    <s v="utm-dhtc-qab"/>
    <x v="10"/>
    <d v="1899-12-30T02:19:37"/>
    <d v="1899-12-30T02:03:56"/>
    <n v="0"/>
    <n v="0"/>
  </r>
  <r>
    <n v="20"/>
    <x v="53"/>
    <d v="1899-12-30T20:37:47"/>
    <d v="1899-12-30T20:37:50"/>
    <d v="1899-12-30T22:57:24"/>
    <s v="2 hr 7 min 4s"/>
    <s v="utm-dhtc-qab"/>
    <x v="10"/>
    <d v="1899-12-30T02:19:37"/>
    <d v="1899-12-30T02:03:56"/>
    <n v="0"/>
    <n v="0"/>
  </r>
  <r>
    <n v="21"/>
    <x v="10"/>
    <d v="1899-12-30T20:37:47"/>
    <d v="1899-12-30T20:37:50"/>
    <d v="1899-12-30T22:57:24"/>
    <s v="2 hr 19 min 2s"/>
    <s v="utm-dhtc-qab"/>
    <x v="10"/>
    <d v="1899-12-30T02:19:37"/>
    <d v="1899-12-30T02:03:55"/>
    <n v="0"/>
    <n v="0"/>
  </r>
  <r>
    <n v="22"/>
    <x v="22"/>
    <d v="1899-12-30T20:37:47"/>
    <d v="1899-12-30T20:37:50"/>
    <d v="1899-12-30T22:57:24"/>
    <s v="2 hr 7 min 4s"/>
    <s v="utm-dhtc-qab"/>
    <x v="10"/>
    <d v="1899-12-30T02:19:37"/>
    <d v="1899-12-30T02:03:54"/>
    <n v="0"/>
    <n v="0"/>
  </r>
  <r>
    <n v="23"/>
    <x v="34"/>
    <d v="1899-12-30T20:37:47"/>
    <d v="1899-12-30T20:37:50"/>
    <d v="1899-12-30T22:57:24"/>
    <s v="2 hr 18 min 47s"/>
    <s v="utm-dhtc-qab"/>
    <x v="10"/>
    <d v="1899-12-30T02:19:37"/>
    <d v="1899-12-30T02:03:53"/>
    <n v="0"/>
    <n v="0"/>
  </r>
  <r>
    <n v="24"/>
    <x v="46"/>
    <d v="1899-12-30T20:37:47"/>
    <d v="1899-12-30T20:37:50"/>
    <d v="1899-12-30T22:57:24"/>
    <s v="2 hr 7 min 4s"/>
    <s v="utm-dhtc-qab"/>
    <x v="10"/>
    <d v="1899-12-30T02:19:37"/>
    <d v="1899-12-30T02:03:52"/>
    <n v="0"/>
    <n v="0"/>
  </r>
  <r>
    <n v="25"/>
    <x v="24"/>
    <d v="1899-12-30T20:37:47"/>
    <d v="1899-12-30T20:37:50"/>
    <d v="1899-12-30T22:57:24"/>
    <s v="2 hr 18 min 47s"/>
    <s v="utm-dhtc-qab"/>
    <x v="10"/>
    <d v="1899-12-30T02:19:37"/>
    <d v="1899-12-30T02:03:51"/>
    <n v="0"/>
    <n v="0"/>
  </r>
  <r>
    <n v="26"/>
    <x v="36"/>
    <d v="1899-12-30T20:37:47"/>
    <d v="1899-12-30T22:45:20"/>
    <d v="1899-12-30T22:57:24"/>
    <s v="11 min 58s"/>
    <s v="utm-dhtc-qab"/>
    <x v="10"/>
    <d v="1899-12-30T02:19:37"/>
    <d v="1899-12-30T02:03:50"/>
    <n v="0"/>
    <n v="0"/>
  </r>
  <r>
    <n v="27"/>
    <x v="47"/>
    <d v="1899-12-30T20:37:47"/>
    <d v="1899-12-30T20:37:50"/>
    <d v="1899-12-30T22:57:24"/>
    <s v="2 hr 7 min 4s"/>
    <s v="utm-dhtc-qab"/>
    <x v="10"/>
    <d v="1899-12-30T02:19:37"/>
    <d v="1899-12-30T02:03:50"/>
    <n v="0"/>
    <n v="0"/>
  </r>
  <r>
    <n v="1"/>
    <x v="0"/>
    <d v="1899-12-30T20:36:56"/>
    <d v="1899-12-30T20:37:00"/>
    <d v="1899-12-30T22:21:12"/>
    <s v="1 hr 40 min 29s"/>
    <s v="xcg-iedr-bvk"/>
    <x v="11"/>
    <d v="1899-12-30T01:44:16"/>
    <d v="1899-12-30T02:03:49"/>
    <n v="0"/>
    <n v="0"/>
  </r>
  <r>
    <n v="2"/>
    <x v="2"/>
    <d v="1899-12-30T20:36:56"/>
    <d v="1899-12-30T20:37:34"/>
    <d v="1899-12-30T22:21:12"/>
    <s v="1 hr 39 min 24s"/>
    <s v="xcg-iedr-bvk"/>
    <x v="11"/>
    <d v="1899-12-30T01:44:16"/>
    <d v="1899-12-30T02:03:50"/>
    <n v="0"/>
    <n v="0"/>
  </r>
  <r>
    <n v="3"/>
    <x v="13"/>
    <d v="1899-12-30T20:36:56"/>
    <d v="1899-12-30T20:37:00"/>
    <d v="1899-12-30T22:21:12"/>
    <s v="1 hr 18 min 55s"/>
    <s v="xcg-iedr-bvk"/>
    <x v="11"/>
    <d v="1899-12-30T01:44:16"/>
    <d v="1899-12-30T02:03:51"/>
    <n v="0"/>
    <n v="0"/>
  </r>
  <r>
    <n v="4"/>
    <x v="31"/>
    <d v="1899-12-30T20:36:56"/>
    <d v="1899-12-30T20:37:00"/>
    <d v="1899-12-30T22:21:12"/>
    <s v="1 hr 10 min 2s"/>
    <s v="xcg-iedr-bvk"/>
    <x v="11"/>
    <d v="1899-12-30T01:44:16"/>
    <d v="1899-12-30T02:03:52"/>
    <n v="0"/>
    <n v="0"/>
  </r>
  <r>
    <n v="5"/>
    <x v="37"/>
    <d v="1899-12-30T20:36:56"/>
    <d v="1899-12-30T20:37:00"/>
    <d v="1899-12-30T22:21:12"/>
    <s v="1 hr 10 min 2s"/>
    <s v="xcg-iedr-bvk"/>
    <x v="11"/>
    <d v="1899-12-30T01:44:16"/>
    <d v="1899-12-30T02:03:53"/>
    <n v="0"/>
    <n v="0"/>
  </r>
  <r>
    <n v="6"/>
    <x v="41"/>
    <d v="1899-12-30T20:36:56"/>
    <d v="1899-12-30T20:37:00"/>
    <d v="1899-12-30T22:21:12"/>
    <s v="1 hr 43 min 21s"/>
    <s v="xcg-iedr-bvk"/>
    <x v="11"/>
    <d v="1899-12-30T01:44:16"/>
    <d v="1899-12-30T02:03:54"/>
    <n v="0"/>
    <n v="0"/>
  </r>
  <r>
    <n v="7"/>
    <x v="49"/>
    <d v="1899-12-30T20:36:56"/>
    <d v="1899-12-30T20:37:00"/>
    <d v="1899-12-30T22:21:12"/>
    <s v="1 hr 10 min 2s"/>
    <s v="xcg-iedr-bvk"/>
    <x v="11"/>
    <d v="1899-12-30T01:44:16"/>
    <d v="1899-12-30T02:03:55"/>
    <n v="0"/>
    <n v="0"/>
  </r>
  <r>
    <n v="8"/>
    <x v="14"/>
    <d v="1899-12-30T20:36:56"/>
    <d v="1899-12-30T21:47:53"/>
    <d v="1899-12-30T22:21:12"/>
    <s v="23 min 50s"/>
    <s v="xcg-iedr-bvk"/>
    <x v="11"/>
    <d v="1899-12-30T01:44:16"/>
    <d v="1899-12-30T02:03:56"/>
    <n v="0"/>
    <n v="0"/>
  </r>
  <r>
    <n v="9"/>
    <x v="5"/>
    <d v="1899-12-30T20:36:56"/>
    <d v="1899-12-30T20:37:00"/>
    <d v="1899-12-30T22:21:12"/>
    <s v="1 hr 43 min 21s"/>
    <s v="xcg-iedr-bvk"/>
    <x v="11"/>
    <d v="1899-12-30T01:44:16"/>
    <d v="1899-12-30T02:03:57"/>
    <n v="0"/>
    <n v="0"/>
  </r>
  <r>
    <n v="10"/>
    <x v="50"/>
    <d v="1899-12-30T20:36:56"/>
    <d v="1899-12-30T20:37:00"/>
    <d v="1899-12-30T22:21:12"/>
    <s v="1 hr 10 min 2s"/>
    <s v="xcg-iedr-bvk"/>
    <x v="11"/>
    <d v="1899-12-30T01:44:16"/>
    <d v="1899-12-30T02:03:58"/>
    <n v="0"/>
    <n v="0"/>
  </r>
  <r>
    <n v="11"/>
    <x v="51"/>
    <d v="1899-12-30T20:36:56"/>
    <d v="1899-12-30T20:37:00"/>
    <d v="1899-12-30T22:21:12"/>
    <s v="1 hr 40 min 12s"/>
    <s v="xcg-iedr-bvk"/>
    <x v="11"/>
    <d v="1899-12-30T01:44:16"/>
    <d v="1899-12-30T02:03:59"/>
    <n v="0"/>
    <n v="0"/>
  </r>
  <r>
    <n v="12"/>
    <x v="6"/>
    <d v="1899-12-30T20:36:56"/>
    <d v="1899-12-30T20:37:00"/>
    <d v="1899-12-30T22:21:12"/>
    <s v="1 hr 21 min 41s"/>
    <s v="xcg-iedr-bvk"/>
    <x v="11"/>
    <d v="1899-12-30T01:44:16"/>
    <d v="1899-12-30T02:04:01"/>
    <n v="0"/>
    <n v="0"/>
  </r>
  <r>
    <n v="13"/>
    <x v="17"/>
    <d v="1899-12-30T20:36:56"/>
    <d v="1899-12-30T20:37:00"/>
    <d v="1899-12-30T22:21:12"/>
    <s v="1 hr 39 min 39s"/>
    <s v="xcg-iedr-bvk"/>
    <x v="11"/>
    <d v="1899-12-30T01:44:16"/>
    <d v="1899-12-30T02:04:02"/>
    <n v="0"/>
    <n v="0"/>
  </r>
  <r>
    <n v="14"/>
    <x v="28"/>
    <d v="1899-12-30T20:36:56"/>
    <d v="1899-12-30T21:47:53"/>
    <d v="1899-12-30T22:21:12"/>
    <s v="13 min 12s"/>
    <s v="xcg-iedr-bvk"/>
    <x v="11"/>
    <d v="1899-12-30T01:44:16"/>
    <d v="1899-12-30T02:04:03"/>
    <n v="0"/>
    <n v="0"/>
  </r>
  <r>
    <n v="15"/>
    <x v="58"/>
    <d v="1899-12-30T20:36:56"/>
    <d v="1899-12-30T20:37:00"/>
    <d v="1899-12-30T22:21:12"/>
    <s v="1 hr 10 min 2s"/>
    <s v="xcg-iedr-bvk"/>
    <x v="11"/>
    <d v="1899-12-30T01:44:16"/>
    <d v="1899-12-30T02:04:04"/>
    <n v="0"/>
    <n v="0"/>
  </r>
  <r>
    <n v="16"/>
    <x v="7"/>
    <d v="1899-12-30T20:36:56"/>
    <d v="1899-12-30T21:47:53"/>
    <d v="1899-12-30T22:21:12"/>
    <s v="23 min 41s"/>
    <s v="xcg-iedr-bvk"/>
    <x v="11"/>
    <d v="1899-12-30T01:44:16"/>
    <d v="1899-12-30T02:04:05"/>
    <n v="0"/>
    <n v="0"/>
  </r>
  <r>
    <n v="17"/>
    <x v="19"/>
    <d v="1899-12-30T20:36:56"/>
    <d v="1899-12-30T20:37:00"/>
    <d v="1899-12-30T22:21:12"/>
    <s v="1 hr 25 min 19s"/>
    <s v="xcg-iedr-bvk"/>
    <x v="11"/>
    <d v="1899-12-30T01:44:16"/>
    <d v="1899-12-30T02:04:06"/>
    <n v="0"/>
    <n v="0"/>
  </r>
  <r>
    <n v="18"/>
    <x v="59"/>
    <d v="1899-12-30T20:36:56"/>
    <d v="1899-12-30T20:37:00"/>
    <d v="1899-12-30T22:21:12"/>
    <s v="1 hr 10 min 2s"/>
    <s v="xcg-iedr-bvk"/>
    <x v="11"/>
    <d v="1899-12-30T01:44:16"/>
    <d v="1899-12-30T02:04:07"/>
    <n v="0"/>
    <n v="0"/>
  </r>
  <r>
    <n v="19"/>
    <x v="8"/>
    <d v="1899-12-30T20:36:56"/>
    <d v="1899-12-30T20:37:00"/>
    <d v="1899-12-30T22:21:12"/>
    <s v="1 hr 40 min 23s"/>
    <s v="xcg-iedr-bvk"/>
    <x v="11"/>
    <d v="1899-12-30T01:44:16"/>
    <d v="1899-12-30T02:04:08"/>
    <n v="0"/>
    <n v="0"/>
  </r>
  <r>
    <n v="20"/>
    <x v="20"/>
    <d v="1899-12-30T20:36:56"/>
    <d v="1899-12-30T20:37:00"/>
    <d v="1899-12-30T22:21:12"/>
    <s v="1 hr 40 min 53s"/>
    <s v="xcg-iedr-bvk"/>
    <x v="11"/>
    <d v="1899-12-30T01:44:16"/>
    <d v="1899-12-30T02:04:09"/>
    <n v="0"/>
    <n v="0"/>
  </r>
  <r>
    <n v="21"/>
    <x v="9"/>
    <d v="1899-12-30T20:36:56"/>
    <d v="1899-12-30T21:47:53"/>
    <d v="1899-12-30T22:21:12"/>
    <s v="29 min 57s"/>
    <s v="xcg-iedr-bvk"/>
    <x v="11"/>
    <d v="1899-12-30T01:44:16"/>
    <d v="1899-12-30T02:04:10"/>
    <n v="0"/>
    <n v="0"/>
  </r>
  <r>
    <n v="22"/>
    <x v="21"/>
    <d v="1899-12-30T20:36:56"/>
    <d v="1899-12-30T20:37:00"/>
    <d v="1899-12-30T22:21:12"/>
    <s v="1 hr 23 min 42s"/>
    <s v="xcg-iedr-bvk"/>
    <x v="11"/>
    <d v="1899-12-30T01:44:16"/>
    <d v="1899-12-30T02:04:11"/>
    <n v="0"/>
    <n v="0"/>
  </r>
  <r>
    <n v="23"/>
    <x v="60"/>
    <d v="1899-12-30T20:36:56"/>
    <d v="1899-12-30T21:57:01"/>
    <d v="1899-12-30T22:21:12"/>
    <s v="4 min 33s"/>
    <s v="xcg-iedr-bvk"/>
    <x v="11"/>
    <d v="1899-12-30T01:44:16"/>
    <d v="1899-12-30T02:04:12"/>
    <n v="0"/>
    <n v="0"/>
  </r>
  <r>
    <n v="24"/>
    <x v="22"/>
    <d v="1899-12-30T20:36:56"/>
    <d v="1899-12-30T20:37:00"/>
    <d v="1899-12-30T22:21:12"/>
    <s v="1 hr 37 min 51s"/>
    <s v="xcg-iedr-bvk"/>
    <x v="11"/>
    <d v="1899-12-30T01:44:16"/>
    <d v="1899-12-30T02:04:14"/>
    <n v="0"/>
    <n v="0"/>
  </r>
  <r>
    <n v="25"/>
    <x v="30"/>
    <d v="1899-12-30T20:36:56"/>
    <d v="1899-12-30T20:37:00"/>
    <d v="1899-12-30T22:21:12"/>
    <s v="1 hr 25 min 10s"/>
    <s v="xcg-iedr-bvk"/>
    <x v="11"/>
    <d v="1899-12-30T01:44:16"/>
    <d v="1899-12-30T02:04:15"/>
    <n v="0"/>
    <n v="0"/>
  </r>
  <r>
    <n v="26"/>
    <x v="23"/>
    <d v="1899-12-30T20:36:56"/>
    <d v="1899-12-30T20:37:00"/>
    <d v="1899-12-30T22:21:12"/>
    <s v="1 hr 23 min 10s"/>
    <s v="xcg-iedr-bvk"/>
    <x v="11"/>
    <d v="1899-12-30T01:44:16"/>
    <d v="1899-12-30T02:04:16"/>
    <n v="0"/>
    <n v="0"/>
  </r>
  <r>
    <n v="27"/>
    <x v="34"/>
    <d v="1899-12-30T20:36:56"/>
    <d v="1899-12-30T20:37:00"/>
    <d v="1899-12-30T22:21:12"/>
    <s v="1 hr 23 min 41s"/>
    <s v="xcg-iedr-bvk"/>
    <x v="11"/>
    <d v="1899-12-30T01:44:16"/>
    <d v="1899-12-30T02:04:17"/>
    <n v="0"/>
    <n v="0"/>
  </r>
  <r>
    <n v="28"/>
    <x v="35"/>
    <d v="1899-12-30T20:36:56"/>
    <d v="1899-12-30T20:37:00"/>
    <d v="1899-12-30T22:21:12"/>
    <s v="1 hr 37 min 40s"/>
    <s v="xcg-iedr-bvk"/>
    <x v="11"/>
    <d v="1899-12-30T01:44:16"/>
    <d v="1899-12-30T02:04:18"/>
    <n v="0"/>
    <n v="0"/>
  </r>
  <r>
    <n v="29"/>
    <x v="46"/>
    <d v="1899-12-30T20:36:56"/>
    <d v="1899-12-30T20:37:00"/>
    <d v="1899-12-30T22:21:12"/>
    <s v="1 hr 26 min 55s"/>
    <s v="xcg-iedr-bvk"/>
    <x v="11"/>
    <d v="1899-12-30T01:44:16"/>
    <d v="1899-12-30T02:04:19"/>
    <n v="0"/>
    <n v="0"/>
  </r>
  <r>
    <n v="30"/>
    <x v="24"/>
    <d v="1899-12-30T20:36:56"/>
    <d v="1899-12-30T21:47:53"/>
    <d v="1899-12-30T22:21:12"/>
    <s v="29 min 51s"/>
    <s v="xcg-iedr-bvk"/>
    <x v="11"/>
    <d v="1899-12-30T01:44:16"/>
    <d v="1899-12-30T02:04:20"/>
    <n v="0"/>
    <n v="0"/>
  </r>
  <r>
    <n v="31"/>
    <x v="36"/>
    <d v="1899-12-30T20:36:56"/>
    <d v="1899-12-30T21:47:53"/>
    <d v="1899-12-30T22:21:12"/>
    <s v="33 min 19s"/>
    <s v="xcg-iedr-bvk"/>
    <x v="11"/>
    <d v="1899-12-30T01:44:16"/>
    <d v="1899-12-30T02:04:21"/>
    <n v="0"/>
    <n v="0"/>
  </r>
  <r>
    <n v="32"/>
    <x v="26"/>
    <d v="1899-12-30T20:36:56"/>
    <d v="1899-12-30T20:37:00"/>
    <d v="1899-12-30T22:21:12"/>
    <s v="1 hr 10 min 2s"/>
    <s v="xcg-iedr-bvk"/>
    <x v="11"/>
    <d v="1899-12-30T01:44:16"/>
    <d v="1899-12-30T02:04:22"/>
    <n v="0"/>
    <n v="0"/>
  </r>
  <r>
    <n v="1"/>
    <x v="0"/>
    <d v="1899-12-30T20:40:19"/>
    <d v="1899-12-30T20:40:23"/>
    <d v="1899-12-30T22:23:40"/>
    <s v="1 hr 43 min 17s"/>
    <s v="biw-tumb-mxh"/>
    <x v="12"/>
    <d v="1899-12-30T01:43:21"/>
    <d v="1899-12-30T02:04:24"/>
    <n v="0"/>
    <n v="0"/>
  </r>
  <r>
    <n v="2"/>
    <x v="1"/>
    <d v="1899-12-30T20:40:19"/>
    <d v="1899-12-30T20:40:23"/>
    <d v="1899-12-30T22:23:40"/>
    <s v="1 hr 43 min 15s"/>
    <s v="biw-tumb-mxh"/>
    <x v="12"/>
    <d v="1899-12-30T01:43:21"/>
    <d v="1899-12-30T02:04:25"/>
    <n v="0"/>
    <n v="0"/>
  </r>
  <r>
    <n v="3"/>
    <x v="2"/>
    <d v="1899-12-30T20:40:19"/>
    <d v="1899-12-30T20:40:23"/>
    <d v="1899-12-30T22:23:40"/>
    <s v="1 hr 43 min 10s"/>
    <s v="biw-tumb-mxh"/>
    <x v="12"/>
    <d v="1899-12-30T01:43:21"/>
    <d v="1899-12-30T02:04:26"/>
    <n v="0"/>
    <n v="0"/>
  </r>
  <r>
    <n v="4"/>
    <x v="3"/>
    <d v="1899-12-30T20:40:19"/>
    <d v="1899-12-30T22:17:29"/>
    <d v="1899-12-30T22:23:40"/>
    <s v="6 min 5s"/>
    <s v="biw-tumb-mxh"/>
    <x v="12"/>
    <d v="1899-12-30T01:43:21"/>
    <d v="1899-12-30T02:04:27"/>
    <n v="0"/>
    <n v="0"/>
  </r>
  <r>
    <n v="5"/>
    <x v="13"/>
    <d v="1899-12-30T20:40:19"/>
    <d v="1899-12-30T20:40:23"/>
    <d v="1899-12-30T22:23:40"/>
    <s v="1 hr 37 min 5s"/>
    <s v="biw-tumb-mxh"/>
    <x v="12"/>
    <d v="1899-12-30T01:43:21"/>
    <d v="1899-12-30T02:04:28"/>
    <n v="0"/>
    <n v="0"/>
  </r>
  <r>
    <n v="6"/>
    <x v="31"/>
    <d v="1899-12-30T20:40:19"/>
    <d v="1899-12-30T20:40:23"/>
    <d v="1899-12-30T22:23:40"/>
    <s v="1 hr 37 min 5s"/>
    <s v="biw-tumb-mxh"/>
    <x v="12"/>
    <d v="1899-12-30T01:43:21"/>
    <d v="1899-12-30T02:04:29"/>
    <n v="0"/>
    <n v="0"/>
  </r>
  <r>
    <n v="7"/>
    <x v="41"/>
    <d v="1899-12-30T20:40:19"/>
    <d v="1899-12-30T20:40:23"/>
    <d v="1899-12-30T22:23:40"/>
    <s v="1 hr 43 min 17s"/>
    <s v="biw-tumb-mxh"/>
    <x v="12"/>
    <d v="1899-12-30T01:43:21"/>
    <d v="1899-12-30T02:04:31"/>
    <n v="0"/>
    <n v="0"/>
  </r>
  <r>
    <n v="8"/>
    <x v="49"/>
    <d v="1899-12-30T20:40:19"/>
    <d v="1899-12-30T20:40:23"/>
    <d v="1899-12-30T22:23:40"/>
    <s v="1 hr 37 min 5s"/>
    <s v="biw-tumb-mxh"/>
    <x v="12"/>
    <d v="1899-12-30T01:43:21"/>
    <d v="1899-12-30T02:04:32"/>
    <n v="0"/>
    <n v="0"/>
  </r>
  <r>
    <n v="9"/>
    <x v="14"/>
    <d v="1899-12-30T20:40:19"/>
    <d v="1899-12-30T20:40:23"/>
    <d v="1899-12-30T22:23:40"/>
    <s v="1 hr 43 min 10s"/>
    <s v="biw-tumb-mxh"/>
    <x v="12"/>
    <d v="1899-12-30T01:43:21"/>
    <d v="1899-12-30T02:04:33"/>
    <n v="0"/>
    <n v="0"/>
  </r>
  <r>
    <n v="10"/>
    <x v="56"/>
    <d v="1899-12-30T20:40:19"/>
    <d v="1899-12-30T20:40:23"/>
    <d v="1899-12-30T22:23:40"/>
    <s v="1 hr 37 min 5s"/>
    <s v="biw-tumb-mxh"/>
    <x v="12"/>
    <d v="1899-12-30T01:43:21"/>
    <d v="1899-12-30T02:04:34"/>
    <n v="0"/>
    <n v="0"/>
  </r>
  <r>
    <n v="11"/>
    <x v="5"/>
    <d v="1899-12-30T20:40:19"/>
    <d v="1899-12-30T20:40:23"/>
    <d v="1899-12-30T22:23:40"/>
    <s v="1 hr 43 min 17s"/>
    <s v="biw-tumb-mxh"/>
    <x v="12"/>
    <d v="1899-12-30T01:43:21"/>
    <d v="1899-12-30T02:04:35"/>
    <n v="0"/>
    <n v="0"/>
  </r>
  <r>
    <n v="12"/>
    <x v="50"/>
    <d v="1899-12-30T20:40:19"/>
    <d v="1899-12-30T20:40:23"/>
    <d v="1899-12-30T22:23:40"/>
    <s v="1 hr 37 min 5s"/>
    <s v="biw-tumb-mxh"/>
    <x v="12"/>
    <d v="1899-12-30T01:43:21"/>
    <d v="1899-12-30T02:04:37"/>
    <n v="0"/>
    <n v="0"/>
  </r>
  <r>
    <n v="13"/>
    <x v="51"/>
    <d v="1899-12-30T20:40:19"/>
    <d v="1899-12-30T20:40:23"/>
    <d v="1899-12-30T22:23:40"/>
    <s v="1 hr 43 min 10s"/>
    <s v="biw-tumb-mxh"/>
    <x v="12"/>
    <d v="1899-12-30T01:43:21"/>
    <d v="1899-12-30T02:04:38"/>
    <n v="0"/>
    <n v="0"/>
  </r>
  <r>
    <n v="14"/>
    <x v="6"/>
    <d v="1899-12-30T20:40:19"/>
    <d v="1899-12-30T20:40:23"/>
    <d v="1899-12-30T22:23:40"/>
    <s v="1 hr 43 min 10s"/>
    <s v="biw-tumb-mxh"/>
    <x v="12"/>
    <d v="1899-12-30T01:43:21"/>
    <d v="1899-12-30T02:04:39"/>
    <n v="0"/>
    <n v="0"/>
  </r>
  <r>
    <n v="15"/>
    <x v="17"/>
    <d v="1899-12-30T20:40:19"/>
    <d v="1899-12-30T20:40:23"/>
    <d v="1899-12-30T22:23:40"/>
    <s v="1 hr 43 min 17s"/>
    <s v="biw-tumb-mxh"/>
    <x v="12"/>
    <d v="1899-12-30T01:43:21"/>
    <d v="1899-12-30T02:04:40"/>
    <n v="0"/>
    <n v="0"/>
  </r>
  <r>
    <n v="16"/>
    <x v="28"/>
    <d v="1899-12-30T20:40:19"/>
    <d v="1899-12-30T20:40:23"/>
    <d v="1899-12-30T22:23:40"/>
    <s v="1 hr 37 min 5s"/>
    <s v="biw-tumb-mxh"/>
    <x v="12"/>
    <d v="1899-12-30T01:43:21"/>
    <d v="1899-12-30T02:04:41"/>
    <n v="0"/>
    <n v="0"/>
  </r>
  <r>
    <n v="17"/>
    <x v="7"/>
    <d v="1899-12-30T20:40:19"/>
    <d v="1899-12-30T20:40:23"/>
    <d v="1899-12-30T22:23:40"/>
    <s v="1 hr 43 min 10s"/>
    <s v="biw-tumb-mxh"/>
    <x v="12"/>
    <d v="1899-12-30T01:43:21"/>
    <d v="1899-12-30T02:04:43"/>
    <n v="0"/>
    <n v="0"/>
  </r>
  <r>
    <n v="18"/>
    <x v="19"/>
    <d v="1899-12-30T20:40:19"/>
    <d v="1899-12-30T20:40:23"/>
    <d v="1899-12-30T22:23:40"/>
    <s v="1 hr 43 min 10s"/>
    <s v="biw-tumb-mxh"/>
    <x v="12"/>
    <d v="1899-12-30T01:43:21"/>
    <d v="1899-12-30T02:04:44"/>
    <n v="0"/>
    <n v="0"/>
  </r>
  <r>
    <n v="19"/>
    <x v="38"/>
    <d v="1899-12-30T20:40:19"/>
    <d v="1899-12-30T20:40:23"/>
    <d v="1899-12-30T22:23:40"/>
    <s v="1 hr 37 min 5s"/>
    <s v="biw-tumb-mxh"/>
    <x v="12"/>
    <d v="1899-12-30T01:43:21"/>
    <d v="1899-12-30T02:04:45"/>
    <n v="0"/>
    <n v="0"/>
  </r>
  <r>
    <n v="20"/>
    <x v="48"/>
    <d v="1899-12-30T20:40:19"/>
    <d v="1899-12-30T20:40:23"/>
    <d v="1899-12-30T22:23:40"/>
    <s v="1 hr 37 min 5s"/>
    <s v="biw-tumb-mxh"/>
    <x v="12"/>
    <d v="1899-12-30T01:43:21"/>
    <d v="1899-12-30T02:04:46"/>
    <n v="0"/>
    <n v="0"/>
  </r>
  <r>
    <n v="21"/>
    <x v="8"/>
    <d v="1899-12-30T20:40:19"/>
    <d v="1899-12-30T20:40:23"/>
    <d v="1899-12-30T22:23:40"/>
    <s v="1 hr 43 min 17s"/>
    <s v="biw-tumb-mxh"/>
    <x v="12"/>
    <d v="1899-12-30T01:43:21"/>
    <d v="1899-12-30T02:04:47"/>
    <n v="0"/>
    <n v="0"/>
  </r>
  <r>
    <n v="22"/>
    <x v="20"/>
    <d v="1899-12-30T20:40:19"/>
    <d v="1899-12-30T20:40:23"/>
    <d v="1899-12-30T22:23:40"/>
    <s v="1 hr 43 min 17s"/>
    <s v="biw-tumb-mxh"/>
    <x v="12"/>
    <d v="1899-12-30T01:43:21"/>
    <d v="1899-12-30T02:04:49"/>
    <n v="0"/>
    <n v="0"/>
  </r>
  <r>
    <n v="23"/>
    <x v="9"/>
    <d v="1899-12-30T20:40:19"/>
    <d v="1899-12-30T20:40:23"/>
    <d v="1899-12-30T22:23:40"/>
    <s v="1 hr 37 min 5s"/>
    <s v="biw-tumb-mxh"/>
    <x v="12"/>
    <d v="1899-12-30T01:43:21"/>
    <d v="1899-12-30T02:04:50"/>
    <n v="0"/>
    <n v="0"/>
  </r>
  <r>
    <n v="24"/>
    <x v="21"/>
    <d v="1899-12-30T20:40:19"/>
    <d v="1899-12-30T20:40:23"/>
    <d v="1899-12-30T22:23:40"/>
    <s v="1 hr 37 min 5s"/>
    <s v="biw-tumb-mxh"/>
    <x v="12"/>
    <d v="1899-12-30T01:43:21"/>
    <d v="1899-12-30T02:04:51"/>
    <n v="0"/>
    <n v="0"/>
  </r>
  <r>
    <n v="25"/>
    <x v="10"/>
    <d v="1899-12-30T20:40:19"/>
    <d v="1899-12-30T20:40:23"/>
    <d v="1899-12-30T22:23:40"/>
    <s v="1 hr 37 min 26s"/>
    <s v="biw-tumb-mxh"/>
    <x v="12"/>
    <d v="1899-12-30T01:43:21"/>
    <d v="1899-12-30T02:04:52"/>
    <n v="0"/>
    <n v="0"/>
  </r>
  <r>
    <n v="26"/>
    <x v="23"/>
    <d v="1899-12-30T20:40:19"/>
    <d v="1899-12-30T20:40:23"/>
    <d v="1899-12-30T22:23:40"/>
    <s v="1 hr 43 min 10s"/>
    <s v="biw-tumb-mxh"/>
    <x v="12"/>
    <d v="1899-12-30T01:43:21"/>
    <d v="1899-12-30T02:04:54"/>
    <n v="0"/>
    <n v="0"/>
  </r>
  <r>
    <n v="27"/>
    <x v="34"/>
    <d v="1899-12-30T20:40:19"/>
    <d v="1899-12-30T20:40:23"/>
    <d v="1899-12-30T22:23:40"/>
    <s v="1 hr 37 min 5s"/>
    <s v="biw-tumb-mxh"/>
    <x v="12"/>
    <d v="1899-12-30T01:43:21"/>
    <d v="1899-12-30T02:04:55"/>
    <n v="0"/>
    <n v="0"/>
  </r>
  <r>
    <n v="28"/>
    <x v="61"/>
    <d v="1899-12-30T20:40:19"/>
    <d v="1899-12-30T20:40:23"/>
    <d v="1899-12-30T22:23:40"/>
    <s v="1 hr 37 min 5s"/>
    <s v="biw-tumb-mxh"/>
    <x v="12"/>
    <d v="1899-12-30T01:43:21"/>
    <d v="1899-12-30T02:04:56"/>
    <n v="0"/>
    <n v="0"/>
  </r>
  <r>
    <n v="29"/>
    <x v="35"/>
    <d v="1899-12-30T20:40:19"/>
    <d v="1899-12-30T22:17:29"/>
    <d v="1899-12-30T22:23:40"/>
    <s v="6 min 5s"/>
    <s v="biw-tumb-mxh"/>
    <x v="12"/>
    <d v="1899-12-30T01:43:21"/>
    <d v="1899-12-30T02:04:57"/>
    <n v="0"/>
    <n v="0"/>
  </r>
  <r>
    <n v="30"/>
    <x v="46"/>
    <d v="1899-12-30T20:40:19"/>
    <d v="1899-12-30T20:40:23"/>
    <d v="1899-12-30T22:23:40"/>
    <s v="1 hr 43 min 10s"/>
    <s v="biw-tumb-mxh"/>
    <x v="12"/>
    <d v="1899-12-30T01:43:21"/>
    <d v="1899-12-30T02:04:59"/>
    <n v="0"/>
    <n v="0"/>
  </r>
  <r>
    <n v="31"/>
    <x v="24"/>
    <d v="1899-12-30T20:40:19"/>
    <d v="1899-12-30T20:40:23"/>
    <d v="1899-12-30T22:23:40"/>
    <s v="1 hr 43 min 10s"/>
    <s v="biw-tumb-mxh"/>
    <x v="12"/>
    <d v="1899-12-30T01:43:21"/>
    <d v="1899-12-30T02:05:00"/>
    <n v="0"/>
    <n v="0"/>
  </r>
  <r>
    <n v="32"/>
    <x v="62"/>
    <d v="1899-12-30T20:40:19"/>
    <d v="1899-12-30T20:40:23"/>
    <d v="1899-12-30T22:23:40"/>
    <s v="1 hr 37 min 5s"/>
    <s v="biw-tumb-mxh"/>
    <x v="12"/>
    <d v="1899-12-30T01:43:21"/>
    <d v="1899-12-30T02:05:01"/>
    <n v="0"/>
    <n v="0"/>
  </r>
  <r>
    <n v="33"/>
    <x v="36"/>
    <d v="1899-12-30T20:40:19"/>
    <d v="1899-12-30T20:40:23"/>
    <d v="1899-12-30T22:23:40"/>
    <s v="1 hr 43 min 10s"/>
    <s v="biw-tumb-mxh"/>
    <x v="12"/>
    <d v="1899-12-30T01:43:21"/>
    <d v="1899-12-30T02:05:02"/>
    <n v="0"/>
    <n v="0"/>
  </r>
  <r>
    <n v="34"/>
    <x v="11"/>
    <d v="1899-12-30T20:40:19"/>
    <d v="1899-12-30T20:40:23"/>
    <d v="1899-12-30T22:23:40"/>
    <s v="1 hr 37 min 5s"/>
    <s v="biw-tumb-mxh"/>
    <x v="12"/>
    <d v="1899-12-30T01:43:21"/>
    <d v="1899-12-30T02:05:04"/>
    <n v="0"/>
    <n v="0"/>
  </r>
  <r>
    <n v="1"/>
    <x v="12"/>
    <d v="1899-12-30T20:36:17"/>
    <d v="1899-12-30T20:48:44"/>
    <d v="1899-12-30T22:11:35"/>
    <s v="1 hr 22 min 51s"/>
    <s v="gzo-xsdr-gbk"/>
    <x v="13"/>
    <d v="1899-12-30T01:35:18"/>
    <d v="1899-12-30T02:05:05"/>
    <n v="0"/>
    <n v="0"/>
  </r>
  <r>
    <n v="2"/>
    <x v="0"/>
    <d v="1899-12-30T20:36:17"/>
    <d v="1899-12-30T20:36:21"/>
    <d v="1899-12-30T22:11:35"/>
    <s v="1 hr 35 min 13s"/>
    <s v="gzo-xsdr-gbk"/>
    <x v="13"/>
    <d v="1899-12-30T01:35:18"/>
    <d v="1899-12-30T02:05:06"/>
    <n v="0"/>
    <n v="0"/>
  </r>
  <r>
    <n v="3"/>
    <x v="1"/>
    <d v="1899-12-30T20:36:17"/>
    <d v="1899-12-30T20:36:21"/>
    <d v="1899-12-30T22:11:35"/>
    <s v="1 hr 35 min 13s"/>
    <s v="gzo-xsdr-gbk"/>
    <x v="13"/>
    <d v="1899-12-30T01:35:18"/>
    <d v="1899-12-30T02:05:08"/>
    <n v="0"/>
    <n v="0"/>
  </r>
  <r>
    <n v="4"/>
    <x v="2"/>
    <d v="1899-12-30T20:36:17"/>
    <d v="1899-12-30T20:48:44"/>
    <d v="1899-12-30T22:11:35"/>
    <s v="1 hr 22 min 51s"/>
    <s v="gzo-xsdr-gbk"/>
    <x v="13"/>
    <d v="1899-12-30T01:35:18"/>
    <d v="1899-12-30T02:05:10"/>
    <n v="0"/>
    <n v="0"/>
  </r>
  <r>
    <n v="5"/>
    <x v="13"/>
    <d v="1899-12-30T20:36:17"/>
    <d v="1899-12-30T20:36:21"/>
    <d v="1899-12-30T22:11:35"/>
    <s v="1 hr 35 min 13s"/>
    <s v="gzo-xsdr-gbk"/>
    <x v="13"/>
    <d v="1899-12-30T01:35:18"/>
    <d v="1899-12-30T02:05:12"/>
    <n v="0"/>
    <n v="0"/>
  </r>
  <r>
    <n v="6"/>
    <x v="4"/>
    <d v="1899-12-30T20:36:17"/>
    <d v="1899-12-30T20:36:21"/>
    <d v="1899-12-30T22:11:35"/>
    <s v="1 hr 35 min 13s"/>
    <s v="gzo-xsdr-gbk"/>
    <x v="13"/>
    <d v="1899-12-30T01:35:18"/>
    <d v="1899-12-30T02:05:13"/>
    <n v="0"/>
    <n v="0"/>
  </r>
  <r>
    <n v="7"/>
    <x v="31"/>
    <d v="1899-12-30T20:36:17"/>
    <d v="1899-12-30T20:36:21"/>
    <d v="1899-12-30T22:11:35"/>
    <s v="1 hr 35 min 13s"/>
    <s v="gzo-xsdr-gbk"/>
    <x v="13"/>
    <d v="1899-12-30T01:35:18"/>
    <d v="1899-12-30T02:05:15"/>
    <n v="0"/>
    <n v="0"/>
  </r>
  <r>
    <n v="8"/>
    <x v="27"/>
    <d v="1899-12-30T20:36:17"/>
    <d v="1899-12-30T20:48:44"/>
    <d v="1899-12-30T22:11:35"/>
    <s v="1 hr 22 min 51s"/>
    <s v="gzo-xsdr-gbk"/>
    <x v="13"/>
    <d v="1899-12-30T01:35:18"/>
    <d v="1899-12-30T02:05:17"/>
    <n v="0"/>
    <n v="0"/>
  </r>
  <r>
    <n v="9"/>
    <x v="37"/>
    <d v="1899-12-30T20:36:17"/>
    <d v="1899-12-30T20:36:21"/>
    <d v="1899-12-30T22:11:35"/>
    <s v="1 hr 35 min 13s"/>
    <s v="gzo-xsdr-gbk"/>
    <x v="13"/>
    <d v="1899-12-30T01:35:18"/>
    <d v="1899-12-30T02:05:19"/>
    <n v="0"/>
    <n v="0"/>
  </r>
  <r>
    <n v="10"/>
    <x v="41"/>
    <d v="1899-12-30T20:36:17"/>
    <d v="1899-12-30T20:48:44"/>
    <d v="1899-12-30T22:11:35"/>
    <s v="1 hr 22 min 51s"/>
    <s v="gzo-xsdr-gbk"/>
    <x v="13"/>
    <d v="1899-12-30T01:35:18"/>
    <d v="1899-12-30T02:05:20"/>
    <n v="0"/>
    <n v="0"/>
  </r>
  <r>
    <n v="11"/>
    <x v="49"/>
    <d v="1899-12-30T20:36:17"/>
    <d v="1899-12-30T20:36:21"/>
    <d v="1899-12-30T22:11:35"/>
    <s v="1 hr 35 min 13s"/>
    <s v="gzo-xsdr-gbk"/>
    <x v="13"/>
    <d v="1899-12-30T01:35:18"/>
    <d v="1899-12-30T02:05:22"/>
    <n v="0"/>
    <n v="0"/>
  </r>
  <r>
    <n v="12"/>
    <x v="14"/>
    <d v="1899-12-30T20:36:17"/>
    <d v="1899-12-30T20:36:21"/>
    <d v="1899-12-30T22:11:35"/>
    <s v="1 hr 35 min 13s"/>
    <s v="gzo-xsdr-gbk"/>
    <x v="13"/>
    <d v="1899-12-30T01:35:18"/>
    <d v="1899-12-30T02:05:24"/>
    <n v="0"/>
    <n v="0"/>
  </r>
  <r>
    <n v="13"/>
    <x v="56"/>
    <d v="1899-12-30T20:36:17"/>
    <d v="1899-12-30T20:48:44"/>
    <d v="1899-12-30T22:11:35"/>
    <s v="1 hr 22 min 51s"/>
    <s v="gzo-xsdr-gbk"/>
    <x v="13"/>
    <d v="1899-12-30T01:35:18"/>
    <d v="1899-12-30T02:05:26"/>
    <n v="0"/>
    <n v="0"/>
  </r>
  <r>
    <n v="14"/>
    <x v="15"/>
    <d v="1899-12-30T20:36:17"/>
    <d v="1899-12-30T20:36:21"/>
    <d v="1899-12-30T22:11:35"/>
    <s v="1 hr 35 min 13s"/>
    <s v="gzo-xsdr-gbk"/>
    <x v="13"/>
    <d v="1899-12-30T01:35:18"/>
    <d v="1899-12-30T02:05:27"/>
    <n v="0"/>
    <n v="0"/>
  </r>
  <r>
    <n v="15"/>
    <x v="5"/>
    <d v="1899-12-30T20:36:17"/>
    <d v="1899-12-30T20:36:21"/>
    <d v="1899-12-30T22:11:35"/>
    <s v="1 hr 35 min 13s"/>
    <s v="gzo-xsdr-gbk"/>
    <x v="13"/>
    <d v="1899-12-30T01:35:18"/>
    <d v="1899-12-30T02:05:29"/>
    <n v="0"/>
    <n v="0"/>
  </r>
  <r>
    <n v="16"/>
    <x v="51"/>
    <d v="1899-12-30T20:36:17"/>
    <d v="1899-12-30T20:48:44"/>
    <d v="1899-12-30T22:11:35"/>
    <s v="1 hr 22 min 51s"/>
    <s v="gzo-xsdr-gbk"/>
    <x v="13"/>
    <d v="1899-12-30T01:35:18"/>
    <d v="1899-12-30T02:05:31"/>
    <n v="0"/>
    <n v="0"/>
  </r>
  <r>
    <n v="17"/>
    <x v="17"/>
    <d v="1899-12-30T20:36:17"/>
    <d v="1899-12-30T20:36:21"/>
    <d v="1899-12-30T22:11:35"/>
    <s v="1 hr 35 min 13s"/>
    <s v="gzo-xsdr-gbk"/>
    <x v="13"/>
    <d v="1899-12-30T01:35:18"/>
    <d v="1899-12-30T02:05:33"/>
    <n v="0"/>
    <n v="0"/>
  </r>
  <r>
    <n v="18"/>
    <x v="63"/>
    <d v="1899-12-30T20:36:17"/>
    <d v="1899-12-30T20:48:44"/>
    <d v="1899-12-30T22:11:35"/>
    <s v="1 hr 22 min 51s"/>
    <s v="gzo-xsdr-gbk"/>
    <x v="13"/>
    <d v="1899-12-30T01:35:18"/>
    <d v="1899-12-30T02:05:34"/>
    <n v="0"/>
    <n v="0"/>
  </r>
  <r>
    <n v="19"/>
    <x v="43"/>
    <d v="1899-12-30T20:36:17"/>
    <d v="1899-12-30T20:48:44"/>
    <d v="1899-12-30T22:11:35"/>
    <s v="1 hr 22 min 51s"/>
    <s v="gzo-xsdr-gbk"/>
    <x v="13"/>
    <d v="1899-12-30T01:35:18"/>
    <d v="1899-12-30T02:05:36"/>
    <n v="0"/>
    <n v="0"/>
  </r>
  <r>
    <n v="20"/>
    <x v="28"/>
    <d v="1899-12-30T20:36:17"/>
    <d v="1899-12-30T20:48:44"/>
    <d v="1899-12-30T22:11:35"/>
    <s v="1 hr 22 min 51s"/>
    <s v="gzo-xsdr-gbk"/>
    <x v="13"/>
    <d v="1899-12-30T01:35:18"/>
    <d v="1899-12-30T02:05:38"/>
    <n v="0"/>
    <n v="0"/>
  </r>
  <r>
    <n v="21"/>
    <x v="7"/>
    <d v="1899-12-30T20:36:17"/>
    <d v="1899-12-30T20:36:21"/>
    <d v="1899-12-30T22:11:35"/>
    <s v="1 hr 35 min 13s"/>
    <s v="gzo-xsdr-gbk"/>
    <x v="13"/>
    <d v="1899-12-30T01:35:18"/>
    <d v="1899-12-30T02:05:40"/>
    <n v="0"/>
    <n v="0"/>
  </r>
  <r>
    <n v="22"/>
    <x v="19"/>
    <d v="1899-12-30T20:36:17"/>
    <d v="1899-12-30T20:36:21"/>
    <d v="1899-12-30T22:11:35"/>
    <s v="1 hr 35 min 13s"/>
    <s v="gzo-xsdr-gbk"/>
    <x v="13"/>
    <d v="1899-12-30T01:35:18"/>
    <d v="1899-12-30T02:05:41"/>
    <n v="0"/>
    <n v="0"/>
  </r>
  <r>
    <n v="23"/>
    <x v="38"/>
    <d v="1899-12-30T20:36:17"/>
    <d v="1899-12-30T20:48:44"/>
    <d v="1899-12-30T22:11:35"/>
    <s v="1 hr 22 min 51s"/>
    <s v="gzo-xsdr-gbk"/>
    <x v="13"/>
    <d v="1899-12-30T01:35:18"/>
    <d v="1899-12-30T02:05:43"/>
    <n v="0"/>
    <n v="0"/>
  </r>
  <r>
    <n v="24"/>
    <x v="48"/>
    <d v="1899-12-30T20:36:17"/>
    <d v="1899-12-30T20:36:21"/>
    <d v="1899-12-30T22:11:35"/>
    <s v="1 hr 35 min 13s"/>
    <s v="gzo-xsdr-gbk"/>
    <x v="13"/>
    <d v="1899-12-30T01:35:18"/>
    <d v="1899-12-30T02:05:45"/>
    <n v="0"/>
    <n v="0"/>
  </r>
  <r>
    <n v="25"/>
    <x v="59"/>
    <d v="1899-12-30T20:36:17"/>
    <d v="1899-12-30T20:36:21"/>
    <d v="1899-12-30T22:11:35"/>
    <s v="1 hr 35 min 13s"/>
    <s v="gzo-xsdr-gbk"/>
    <x v="13"/>
    <d v="1899-12-30T01:35:18"/>
    <d v="1899-12-30T02:05:47"/>
    <n v="0"/>
    <n v="0"/>
  </r>
  <r>
    <n v="26"/>
    <x v="8"/>
    <d v="1899-12-30T20:36:17"/>
    <d v="1899-12-30T20:48:44"/>
    <d v="1899-12-30T22:11:35"/>
    <s v="1 hr 22 min 51s"/>
    <s v="gzo-xsdr-gbk"/>
    <x v="13"/>
    <d v="1899-12-30T01:35:18"/>
    <d v="1899-12-30T02:05:49"/>
    <n v="0"/>
    <n v="0"/>
  </r>
  <r>
    <n v="27"/>
    <x v="20"/>
    <d v="1899-12-30T20:36:17"/>
    <d v="1899-12-30T20:36:21"/>
    <d v="1899-12-30T22:11:35"/>
    <s v="1 hr 35 min 13s"/>
    <s v="gzo-xsdr-gbk"/>
    <x v="13"/>
    <d v="1899-12-30T01:35:18"/>
    <d v="1899-12-30T02:05:50"/>
    <n v="0"/>
    <n v="0"/>
  </r>
  <r>
    <n v="28"/>
    <x v="39"/>
    <d v="1899-12-30T20:36:17"/>
    <d v="1899-12-30T20:36:21"/>
    <d v="1899-12-30T22:11:35"/>
    <s v="1 hr 35 min 13s"/>
    <s v="gzo-xsdr-gbk"/>
    <x v="13"/>
    <d v="1899-12-30T01:35:18"/>
    <d v="1899-12-30T02:05:52"/>
    <n v="0"/>
    <n v="0"/>
  </r>
  <r>
    <n v="29"/>
    <x v="21"/>
    <d v="1899-12-30T20:36:17"/>
    <d v="1899-12-30T20:36:21"/>
    <d v="1899-12-30T22:11:35"/>
    <s v="1 hr 35 min 13s"/>
    <s v="gzo-xsdr-gbk"/>
    <x v="13"/>
    <d v="1899-12-30T01:35:18"/>
    <d v="1899-12-30T02:05:54"/>
    <n v="0"/>
    <n v="0"/>
  </r>
  <r>
    <n v="30"/>
    <x v="64"/>
    <d v="1899-12-30T20:36:17"/>
    <d v="1899-12-30T20:36:21"/>
    <d v="1899-12-30T22:11:35"/>
    <s v="1 hr 35 min 13s"/>
    <s v="gzo-xsdr-gbk"/>
    <x v="13"/>
    <d v="1899-12-30T01:35:18"/>
    <d v="1899-12-30T02:05:56"/>
    <n v="0"/>
    <n v="0"/>
  </r>
  <r>
    <n v="31"/>
    <x v="53"/>
    <d v="1899-12-30T20:36:17"/>
    <d v="1899-12-30T20:36:21"/>
    <d v="1899-12-30T22:11:35"/>
    <s v="1 hr 35 min 13s"/>
    <s v="gzo-xsdr-gbk"/>
    <x v="13"/>
    <d v="1899-12-30T01:35:18"/>
    <d v="1899-12-30T02:05:58"/>
    <n v="0"/>
    <n v="0"/>
  </r>
  <r>
    <n v="32"/>
    <x v="10"/>
    <d v="1899-12-30T20:36:17"/>
    <d v="1899-12-30T20:36:21"/>
    <d v="1899-12-30T22:11:35"/>
    <s v="1 hr 35 min 13s"/>
    <s v="gzo-xsdr-gbk"/>
    <x v="13"/>
    <d v="1899-12-30T01:35:18"/>
    <d v="1899-12-30T02:05:59"/>
    <n v="0"/>
    <n v="0"/>
  </r>
  <r>
    <n v="33"/>
    <x v="22"/>
    <d v="1899-12-30T20:36:17"/>
    <d v="1899-12-30T20:48:44"/>
    <d v="1899-12-30T22:11:35"/>
    <s v="1 hr 22 min 51s"/>
    <s v="gzo-xsdr-gbk"/>
    <x v="13"/>
    <d v="1899-12-30T01:35:18"/>
    <d v="1899-12-30T02:06:01"/>
    <n v="0"/>
    <n v="0"/>
  </r>
  <r>
    <n v="34"/>
    <x v="30"/>
    <d v="1899-12-30T20:36:17"/>
    <d v="1899-12-30T20:36:21"/>
    <d v="1899-12-30T22:11:35"/>
    <s v="1 hr 35 min 13s"/>
    <s v="gzo-xsdr-gbk"/>
    <x v="13"/>
    <d v="1899-12-30T01:35:18"/>
    <d v="1899-12-30T02:06:03"/>
    <n v="0"/>
    <n v="0"/>
  </r>
  <r>
    <n v="35"/>
    <x v="34"/>
    <d v="1899-12-30T20:36:17"/>
    <d v="1899-12-30T20:36:21"/>
    <d v="1899-12-30T22:11:35"/>
    <s v="1 hr 35 min 13s"/>
    <s v="gzo-xsdr-gbk"/>
    <x v="13"/>
    <d v="1899-12-30T01:35:18"/>
    <d v="1899-12-30T02:06:05"/>
    <n v="0"/>
    <n v="0"/>
  </r>
  <r>
    <n v="36"/>
    <x v="35"/>
    <d v="1899-12-30T20:36:17"/>
    <d v="1899-12-30T20:36:21"/>
    <d v="1899-12-30T22:11:35"/>
    <s v="1 hr 35 min 13s"/>
    <s v="gzo-xsdr-gbk"/>
    <x v="13"/>
    <d v="1899-12-30T01:35:18"/>
    <d v="1899-12-30T02:06:07"/>
    <n v="0"/>
    <n v="0"/>
  </r>
  <r>
    <n v="37"/>
    <x v="46"/>
    <d v="1899-12-30T20:36:17"/>
    <d v="1899-12-30T20:36:21"/>
    <d v="1899-12-30T22:11:35"/>
    <s v="1 hr 35 min 13s"/>
    <s v="gzo-xsdr-gbk"/>
    <x v="13"/>
    <d v="1899-12-30T01:35:18"/>
    <d v="1899-12-30T02:06:09"/>
    <n v="0"/>
    <n v="0"/>
  </r>
  <r>
    <n v="38"/>
    <x v="24"/>
    <d v="1899-12-30T20:36:17"/>
    <d v="1899-12-30T20:48:44"/>
    <d v="1899-12-30T22:11:35"/>
    <s v="1 hr 22 min 51s"/>
    <s v="gzo-xsdr-gbk"/>
    <x v="13"/>
    <d v="1899-12-30T01:35:18"/>
    <d v="1899-12-30T02:06:10"/>
    <n v="0"/>
    <n v="0"/>
  </r>
  <r>
    <n v="39"/>
    <x v="62"/>
    <d v="1899-12-30T20:36:17"/>
    <d v="1899-12-30T20:48:44"/>
    <d v="1899-12-30T22:11:35"/>
    <s v="1 hr 22 min 51s"/>
    <s v="gzo-xsdr-gbk"/>
    <x v="13"/>
    <d v="1899-12-30T01:35:18"/>
    <d v="1899-12-30T02:06:12"/>
    <n v="0"/>
    <n v="0"/>
  </r>
  <r>
    <n v="40"/>
    <x v="25"/>
    <d v="1899-12-30T20:36:17"/>
    <d v="1899-12-30T20:48:44"/>
    <d v="1899-12-30T22:11:35"/>
    <s v="1 hr 22 min 51s"/>
    <s v="gzo-xsdr-gbk"/>
    <x v="13"/>
    <d v="1899-12-30T01:35:18"/>
    <d v="1899-12-30T02:06:14"/>
    <n v="0"/>
    <n v="0"/>
  </r>
  <r>
    <n v="41"/>
    <x v="11"/>
    <d v="1899-12-30T20:36:17"/>
    <d v="1899-12-30T20:36:21"/>
    <d v="1899-12-30T22:11:35"/>
    <s v="1 hr 35 min 13s"/>
    <s v="gzo-xsdr-gbk"/>
    <x v="13"/>
    <d v="1899-12-30T01:35:18"/>
    <d v="1899-12-30T02:06:16"/>
    <n v="0"/>
    <n v="0"/>
  </r>
  <r>
    <n v="1"/>
    <x v="12"/>
    <d v="1899-12-30T20:40:28"/>
    <d v="1899-12-30T20:40:32"/>
    <d v="1899-12-30T22:52:05"/>
    <s v="1 hr 47 min 59s"/>
    <s v="nkc-hvzh-vkm"/>
    <x v="14"/>
    <d v="1899-12-30T02:11:37"/>
    <d v="1899-12-30T02:06:18"/>
    <n v="0"/>
    <n v="0"/>
  </r>
  <r>
    <n v="2"/>
    <x v="0"/>
    <d v="1899-12-30T20:40:28"/>
    <d v="1899-12-30T20:40:32"/>
    <d v="1899-12-30T22:52:05"/>
    <s v="2 hr 9 min 12s"/>
    <s v="nkc-hvzh-vkm"/>
    <x v="14"/>
    <d v="1899-12-30T02:11:37"/>
    <d v="1899-12-30T02:06:18"/>
    <n v="0"/>
    <n v="0"/>
  </r>
  <r>
    <n v="3"/>
    <x v="1"/>
    <d v="1899-12-30T20:40:28"/>
    <d v="1899-12-30T20:40:32"/>
    <d v="1899-12-30T22:52:05"/>
    <s v="2 hr 11 min 19s"/>
    <s v="nkc-hvzh-vkm"/>
    <x v="14"/>
    <d v="1899-12-30T02:11:37"/>
    <d v="1899-12-30T02:06:17"/>
    <n v="0"/>
    <n v="0"/>
  </r>
  <r>
    <n v="4"/>
    <x v="2"/>
    <d v="1899-12-30T20:40:28"/>
    <d v="1899-12-30T20:40:32"/>
    <d v="1899-12-30T22:52:05"/>
    <s v="2 hr 8 min 1s"/>
    <s v="nkc-hvzh-vkm"/>
    <x v="14"/>
    <d v="1899-12-30T02:11:37"/>
    <d v="1899-12-30T02:06:17"/>
    <n v="0"/>
    <n v="0"/>
  </r>
  <r>
    <n v="5"/>
    <x v="13"/>
    <d v="1899-12-30T20:40:28"/>
    <d v="1899-12-30T20:40:32"/>
    <d v="1899-12-30T22:52:05"/>
    <s v="1 hr 58 min 0s"/>
    <s v="nkc-hvzh-vkm"/>
    <x v="14"/>
    <d v="1899-12-30T02:11:37"/>
    <d v="1899-12-30T02:06:17"/>
    <n v="0"/>
    <n v="0"/>
  </r>
  <r>
    <n v="6"/>
    <x v="4"/>
    <d v="1899-12-30T20:40:28"/>
    <d v="1899-12-30T21:58:01"/>
    <d v="1899-12-30T22:52:05"/>
    <s v="41 min 29s"/>
    <s v="nkc-hvzh-vkm"/>
    <x v="14"/>
    <d v="1899-12-30T02:11:37"/>
    <d v="1899-12-30T02:06:16"/>
    <n v="0"/>
    <n v="0"/>
  </r>
  <r>
    <n v="7"/>
    <x v="31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8"/>
    <x v="27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9"/>
    <x v="37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0"/>
    <x v="49"/>
    <d v="1899-12-30T20:40:28"/>
    <d v="1899-12-30T20:40:32"/>
    <d v="1899-12-30T22:52:05"/>
    <s v="1 hr 26 min 9s"/>
    <s v="nkc-hvzh-vkm"/>
    <x v="14"/>
    <d v="1899-12-30T02:11:37"/>
    <d v="1899-12-30T02:06:15"/>
    <n v="0"/>
    <n v="0"/>
  </r>
  <r>
    <n v="11"/>
    <x v="14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2"/>
    <x v="15"/>
    <d v="1899-12-30T20:40:28"/>
    <d v="1899-12-30T20:40:32"/>
    <d v="1899-12-30T22:52:05"/>
    <s v="2 hr 8 min 1s"/>
    <s v="nkc-hvzh-vkm"/>
    <x v="14"/>
    <d v="1899-12-30T02:11:37"/>
    <d v="1899-12-30T02:06:14"/>
    <n v="0"/>
    <n v="0"/>
  </r>
  <r>
    <n v="13"/>
    <x v="5"/>
    <d v="1899-12-30T20:40:28"/>
    <d v="1899-12-30T20:40:32"/>
    <d v="1899-12-30T22:52:05"/>
    <s v="2 hr 11 min 33s"/>
    <s v="nkc-hvzh-vkm"/>
    <x v="14"/>
    <d v="1899-12-30T02:11:37"/>
    <d v="1899-12-30T02:06:14"/>
    <n v="0"/>
    <n v="0"/>
  </r>
  <r>
    <n v="14"/>
    <x v="51"/>
    <d v="1899-12-30T20:40:28"/>
    <d v="1899-12-30T20:40:32"/>
    <d v="1899-12-30T22:52:05"/>
    <s v="2 hr 7 min 36s"/>
    <s v="nkc-hvzh-vkm"/>
    <x v="14"/>
    <d v="1899-12-30T02:11:37"/>
    <d v="1899-12-30T02:06:14"/>
    <n v="0"/>
    <n v="0"/>
  </r>
  <r>
    <n v="15"/>
    <x v="6"/>
    <d v="1899-12-30T20:40:28"/>
    <d v="1899-12-30T20:40:32"/>
    <d v="1899-12-30T22:52:05"/>
    <s v="2 hr 7 min 50s"/>
    <s v="nkc-hvzh-vkm"/>
    <x v="14"/>
    <d v="1899-12-30T02:11:37"/>
    <d v="1899-12-30T02:06:13"/>
    <n v="0"/>
    <n v="0"/>
  </r>
  <r>
    <n v="16"/>
    <x v="17"/>
    <d v="1899-12-30T20:40:28"/>
    <d v="1899-12-30T20:40:32"/>
    <d v="1899-12-30T22:52:05"/>
    <s v="2 hr 8 min 45s"/>
    <s v="nkc-hvzh-vkm"/>
    <x v="14"/>
    <d v="1899-12-30T02:11:37"/>
    <d v="1899-12-30T02:06:13"/>
    <n v="0"/>
    <n v="0"/>
  </r>
  <r>
    <n v="17"/>
    <x v="28"/>
    <d v="1899-12-30T20:40:28"/>
    <d v="1899-12-30T20:40:32"/>
    <d v="1899-12-30T22:52:05"/>
    <s v="1 hr 17 min 28s"/>
    <s v="nkc-hvzh-vkm"/>
    <x v="14"/>
    <d v="1899-12-30T02:11:37"/>
    <d v="1899-12-30T02:06:13"/>
    <n v="0"/>
    <n v="0"/>
  </r>
  <r>
    <n v="18"/>
    <x v="7"/>
    <d v="1899-12-30T20:40:28"/>
    <d v="1899-12-30T20:40:32"/>
    <d v="1899-12-30T22:52:05"/>
    <s v="2 hr 11 min 33s"/>
    <s v="nkc-hvzh-vkm"/>
    <x v="14"/>
    <d v="1899-12-30T02:11:37"/>
    <d v="1899-12-30T02:06:12"/>
    <n v="0"/>
    <n v="0"/>
  </r>
  <r>
    <n v="19"/>
    <x v="19"/>
    <d v="1899-12-30T20:40:28"/>
    <d v="1899-12-30T20:40:32"/>
    <d v="1899-12-30T22:52:05"/>
    <s v="1 hr 58 min 25s"/>
    <s v="nkc-hvzh-vkm"/>
    <x v="14"/>
    <d v="1899-12-30T02:11:37"/>
    <d v="1899-12-30T02:06:12"/>
    <n v="0"/>
    <n v="0"/>
  </r>
  <r>
    <n v="20"/>
    <x v="38"/>
    <d v="1899-12-30T20:40:28"/>
    <d v="1899-12-30T21:58:01"/>
    <d v="1899-12-30T22:52:05"/>
    <s v="54 min 5s"/>
    <s v="nkc-hvzh-vkm"/>
    <x v="14"/>
    <d v="1899-12-30T02:11:37"/>
    <d v="1899-12-30T02:06:12"/>
    <n v="0"/>
    <n v="0"/>
  </r>
  <r>
    <n v="21"/>
    <x v="48"/>
    <d v="1899-12-30T20:40:28"/>
    <d v="1899-12-30T20:40:32"/>
    <d v="1899-12-30T22:52:05"/>
    <s v="1 hr 17 min 28s"/>
    <s v="nkc-hvzh-vkm"/>
    <x v="14"/>
    <d v="1899-12-30T02:11:37"/>
    <d v="1899-12-30T02:06:11"/>
    <n v="0"/>
    <n v="0"/>
  </r>
  <r>
    <n v="22"/>
    <x v="8"/>
    <d v="1899-12-30T20:40:28"/>
    <d v="1899-12-30T20:40:32"/>
    <d v="1899-12-30T22:52:05"/>
    <s v="2 hr 11 min 33s"/>
    <s v="nkc-hvzh-vkm"/>
    <x v="14"/>
    <d v="1899-12-30T02:11:37"/>
    <d v="1899-12-30T02:06:11"/>
    <n v="0"/>
    <n v="0"/>
  </r>
  <r>
    <n v="23"/>
    <x v="20"/>
    <d v="1899-12-30T20:40:28"/>
    <d v="1899-12-30T21:58:01"/>
    <d v="1899-12-30T22:52:05"/>
    <s v="54 min 5s"/>
    <s v="nkc-hvzh-vkm"/>
    <x v="14"/>
    <d v="1899-12-30T02:11:37"/>
    <d v="1899-12-30T02:06:11"/>
    <n v="0"/>
    <n v="0"/>
  </r>
  <r>
    <n v="24"/>
    <x v="9"/>
    <d v="1899-12-30T20:40:28"/>
    <d v="1899-12-30T20:40:32"/>
    <d v="1899-12-30T22:52:05"/>
    <s v="2 hr 10 min 57s"/>
    <s v="nkc-hvzh-vkm"/>
    <x v="14"/>
    <d v="1899-12-30T02:11:37"/>
    <d v="1899-12-30T02:06:10"/>
    <n v="0"/>
    <n v="0"/>
  </r>
  <r>
    <n v="25"/>
    <x v="10"/>
    <d v="1899-12-30T20:40:28"/>
    <d v="1899-12-30T20:40:32"/>
    <d v="1899-12-30T22:52:05"/>
    <s v="2 hr 7 min 11s"/>
    <s v="nkc-hvzh-vkm"/>
    <x v="14"/>
    <d v="1899-12-30T02:11:37"/>
    <d v="1899-12-30T02:06:10"/>
    <n v="0"/>
    <n v="0"/>
  </r>
  <r>
    <n v="26"/>
    <x v="52"/>
    <d v="1899-12-30T20:40:28"/>
    <d v="1899-12-30T21:58:01"/>
    <d v="1899-12-30T22:52:05"/>
    <s v="3 min 52s"/>
    <s v="nkc-hvzh-vkm"/>
    <x v="14"/>
    <d v="1899-12-30T02:11:37"/>
    <d v="1899-12-30T02:06:10"/>
    <n v="0"/>
    <n v="0"/>
  </r>
  <r>
    <n v="27"/>
    <x v="22"/>
    <d v="1899-12-30T20:40:28"/>
    <d v="1899-12-30T20:40:32"/>
    <d v="1899-12-30T22:52:05"/>
    <s v="1 hr 17 min 28s"/>
    <s v="nkc-hvzh-vkm"/>
    <x v="14"/>
    <d v="1899-12-30T02:11:37"/>
    <d v="1899-12-30T02:06:09"/>
    <n v="0"/>
    <n v="0"/>
  </r>
  <r>
    <n v="28"/>
    <x v="30"/>
    <d v="1899-12-30T20:40:28"/>
    <d v="1899-12-30T20:40:32"/>
    <d v="1899-12-30T22:52:05"/>
    <s v="2 hr 9 min 19s"/>
    <s v="nkc-hvzh-vkm"/>
    <x v="14"/>
    <d v="1899-12-30T02:11:37"/>
    <d v="1899-12-30T02:06:09"/>
    <n v="0"/>
    <n v="0"/>
  </r>
  <r>
    <n v="29"/>
    <x v="23"/>
    <d v="1899-12-30T20:40:28"/>
    <d v="1899-12-30T21:58:01"/>
    <d v="1899-12-30T22:52:05"/>
    <s v="50 min 34s"/>
    <s v="nkc-hvzh-vkm"/>
    <x v="14"/>
    <d v="1899-12-30T02:11:37"/>
    <d v="1899-12-30T02:06:09"/>
    <n v="0"/>
    <n v="0"/>
  </r>
  <r>
    <n v="30"/>
    <x v="34"/>
    <d v="1899-12-30T20:40:28"/>
    <d v="1899-12-30T20:40:32"/>
    <d v="1899-12-30T22:52:05"/>
    <s v="1 hr 45 min 48s"/>
    <s v="nkc-hvzh-vkm"/>
    <x v="14"/>
    <d v="1899-12-30T02:11:37"/>
    <d v="1899-12-30T02:06:08"/>
    <n v="0"/>
    <n v="0"/>
  </r>
  <r>
    <n v="31"/>
    <x v="35"/>
    <d v="1899-12-30T20:40:28"/>
    <d v="1899-12-30T20:40:32"/>
    <d v="1899-12-30T22:52:05"/>
    <s v="2 hr 1 min 52s"/>
    <s v="nkc-hvzh-vkm"/>
    <x v="14"/>
    <d v="1899-12-30T02:11:37"/>
    <d v="1899-12-30T02:06:08"/>
    <n v="0"/>
    <n v="0"/>
  </r>
  <r>
    <n v="32"/>
    <x v="46"/>
    <d v="1899-12-30T20:40:28"/>
    <d v="1899-12-30T20:40:32"/>
    <d v="1899-12-30T22:52:05"/>
    <s v="2 hr 11 min 33s"/>
    <s v="nkc-hvzh-vkm"/>
    <x v="14"/>
    <d v="1899-12-30T02:11:37"/>
    <d v="1899-12-30T02:06:08"/>
    <n v="0"/>
    <n v="0"/>
  </r>
  <r>
    <n v="33"/>
    <x v="24"/>
    <d v="1899-12-30T20:40:28"/>
    <d v="1899-12-30T20:40:32"/>
    <d v="1899-12-30T22:52:05"/>
    <s v="2 hr 10 min 45s"/>
    <s v="nkc-hvzh-vkm"/>
    <x v="14"/>
    <d v="1899-12-30T02:11:37"/>
    <d v="1899-12-30T02:06:07"/>
    <n v="0"/>
    <n v="0"/>
  </r>
  <r>
    <n v="1"/>
    <x v="0"/>
    <d v="1899-12-30T20:36:07"/>
    <d v="1899-12-30T20:36:11"/>
    <d v="1899-12-30T22:25:37"/>
    <s v="1 hr 43 min 31s"/>
    <s v="bcx-rdnv-qnb"/>
    <x v="15"/>
    <d v="1899-12-30T01:49:30"/>
    <d v="1899-12-30T02:06:07"/>
    <n v="0"/>
    <n v="0"/>
  </r>
  <r>
    <n v="2"/>
    <x v="1"/>
    <d v="1899-12-30T20:36:07"/>
    <d v="1899-12-30T20:36:11"/>
    <d v="1899-12-30T22:25:37"/>
    <s v="1 hr 49 min 24s"/>
    <s v="bcx-rdnv-qnb"/>
    <x v="15"/>
    <d v="1899-12-30T01:49:30"/>
    <d v="1899-12-30T02:06:08"/>
    <n v="0"/>
    <n v="0"/>
  </r>
  <r>
    <n v="3"/>
    <x v="2"/>
    <d v="1899-12-30T20:36:07"/>
    <d v="1899-12-30T20:36:11"/>
    <d v="1899-12-30T22:25:37"/>
    <s v="1 hr 47 min 6s"/>
    <s v="bcx-rdnv-qnb"/>
    <x v="15"/>
    <d v="1899-12-30T01:49:30"/>
    <d v="1899-12-30T02:06:09"/>
    <n v="0"/>
    <n v="0"/>
  </r>
  <r>
    <n v="4"/>
    <x v="65"/>
    <d v="1899-12-30T20:36:07"/>
    <d v="1899-12-30T20:36:11"/>
    <d v="1899-12-30T22:25:37"/>
    <s v="1 hr 28 min 52s"/>
    <s v="bcx-rdnv-qnb"/>
    <x v="15"/>
    <d v="1899-12-30T01:49:30"/>
    <d v="1899-12-30T02:06:10"/>
    <n v="0"/>
    <n v="0"/>
  </r>
  <r>
    <n v="5"/>
    <x v="13"/>
    <d v="1899-12-30T20:36:07"/>
    <d v="1899-12-30T20:36:11"/>
    <d v="1899-12-30T22:25:37"/>
    <s v="1 hr 46 min 16s"/>
    <s v="bcx-rdnv-qnb"/>
    <x v="15"/>
    <d v="1899-12-30T01:49:30"/>
    <d v="1899-12-30T02:06:11"/>
    <n v="0"/>
    <n v="0"/>
  </r>
  <r>
    <n v="6"/>
    <x v="31"/>
    <d v="1899-12-30T20:36:07"/>
    <d v="1899-12-30T20:36:11"/>
    <d v="1899-12-30T22:25:37"/>
    <s v="1 hr 5 min 3s"/>
    <s v="bcx-rdnv-qnb"/>
    <x v="15"/>
    <d v="1899-12-30T01:49:30"/>
    <d v="1899-12-30T02:06:12"/>
    <n v="0"/>
    <n v="0"/>
  </r>
  <r>
    <n v="7"/>
    <x v="37"/>
    <d v="1899-12-30T20:36:07"/>
    <d v="1899-12-30T20:36:11"/>
    <d v="1899-12-30T22:25:37"/>
    <s v="1 hr 5 min 3s"/>
    <s v="bcx-rdnv-qnb"/>
    <x v="15"/>
    <d v="1899-12-30T01:49:30"/>
    <d v="1899-12-30T02:06:13"/>
    <n v="0"/>
    <n v="0"/>
  </r>
  <r>
    <n v="8"/>
    <x v="49"/>
    <d v="1899-12-30T20:36:07"/>
    <d v="1899-12-30T20:37:22"/>
    <d v="1899-12-30T22:25:37"/>
    <s v="1 hr 27 min 40s"/>
    <s v="bcx-rdnv-qnb"/>
    <x v="15"/>
    <d v="1899-12-30T01:49:30"/>
    <d v="1899-12-30T02:06:14"/>
    <n v="0"/>
    <n v="0"/>
  </r>
  <r>
    <n v="9"/>
    <x v="14"/>
    <d v="1899-12-30T20:36:07"/>
    <d v="1899-12-30T21:41:16"/>
    <d v="1899-12-30T22:25:37"/>
    <s v="23 min 49s"/>
    <s v="bcx-rdnv-qnb"/>
    <x v="15"/>
    <d v="1899-12-30T01:49:30"/>
    <d v="1899-12-30T02:06:15"/>
    <n v="0"/>
    <n v="0"/>
  </r>
  <r>
    <n v="10"/>
    <x v="56"/>
    <d v="1899-12-30T20:36:07"/>
    <d v="1899-12-30T21:41:16"/>
    <d v="1899-12-30T22:25:37"/>
    <s v="23 min 49s"/>
    <s v="bcx-rdnv-qnb"/>
    <x v="15"/>
    <d v="1899-12-30T01:49:30"/>
    <d v="1899-12-30T02:06:16"/>
    <n v="0"/>
    <n v="0"/>
  </r>
  <r>
    <n v="11"/>
    <x v="15"/>
    <d v="1899-12-30T20:36:07"/>
    <d v="1899-12-30T20:36:11"/>
    <d v="1899-12-30T22:25:37"/>
    <s v="1 hr 42 min 40s"/>
    <s v="bcx-rdnv-qnb"/>
    <x v="15"/>
    <d v="1899-12-30T01:49:30"/>
    <d v="1899-12-30T02:06:17"/>
    <n v="0"/>
    <n v="0"/>
  </r>
  <r>
    <n v="12"/>
    <x v="5"/>
    <d v="1899-12-30T20:36:07"/>
    <d v="1899-12-30T20:36:11"/>
    <d v="1899-12-30T22:25:37"/>
    <s v="1 hr 49 min 24s"/>
    <s v="bcx-rdnv-qnb"/>
    <x v="15"/>
    <d v="1899-12-30T01:49:30"/>
    <d v="1899-12-30T02:06:18"/>
    <n v="0"/>
    <n v="0"/>
  </r>
  <r>
    <n v="13"/>
    <x v="51"/>
    <d v="1899-12-30T20:36:07"/>
    <d v="1899-12-30T20:36:11"/>
    <d v="1899-12-30T22:25:37"/>
    <s v="1 hr 5 min 3s"/>
    <s v="bcx-rdnv-qnb"/>
    <x v="15"/>
    <d v="1899-12-30T01:49:30"/>
    <d v="1899-12-30T02:06:20"/>
    <n v="0"/>
    <n v="0"/>
  </r>
  <r>
    <n v="14"/>
    <x v="42"/>
    <d v="1899-12-30T20:36:07"/>
    <d v="1899-12-30T20:36:11"/>
    <d v="1899-12-30T22:25:37"/>
    <s v="1 hr 10 min 4s"/>
    <s v="bcx-rdnv-qnb"/>
    <x v="15"/>
    <d v="1899-12-30T01:49:30"/>
    <d v="1899-12-30T02:06:21"/>
    <n v="0"/>
    <n v="0"/>
  </r>
  <r>
    <n v="15"/>
    <x v="6"/>
    <d v="1899-12-30T20:36:07"/>
    <d v="1899-12-30T20:36:11"/>
    <d v="1899-12-30T22:25:37"/>
    <s v="1 hr 45 min 43s"/>
    <s v="bcx-rdnv-qnb"/>
    <x v="15"/>
    <d v="1899-12-30T01:49:30"/>
    <d v="1899-12-30T02:06:22"/>
    <n v="0"/>
    <n v="0"/>
  </r>
  <r>
    <n v="16"/>
    <x v="17"/>
    <d v="1899-12-30T20:36:07"/>
    <d v="1899-12-30T20:36:11"/>
    <d v="1899-12-30T22:25:37"/>
    <s v="1 hr 49 min 24s"/>
    <s v="bcx-rdnv-qnb"/>
    <x v="15"/>
    <d v="1899-12-30T01:49:30"/>
    <d v="1899-12-30T02:06:23"/>
    <n v="0"/>
    <n v="0"/>
  </r>
  <r>
    <n v="17"/>
    <x v="63"/>
    <d v="1899-12-30T20:36:07"/>
    <d v="1899-12-30T20:36:11"/>
    <d v="1899-12-30T22:25:37"/>
    <s v="1 hr 32 min 40s"/>
    <s v="bcx-rdnv-qnb"/>
    <x v="15"/>
    <d v="1899-12-30T01:49:30"/>
    <d v="1899-12-30T02:06:24"/>
    <n v="0"/>
    <n v="0"/>
  </r>
  <r>
    <n v="18"/>
    <x v="28"/>
    <d v="1899-12-30T20:36:07"/>
    <d v="1899-12-30T21:41:16"/>
    <d v="1899-12-30T22:25:37"/>
    <s v="23 min 49s"/>
    <s v="bcx-rdnv-qnb"/>
    <x v="15"/>
    <d v="1899-12-30T01:49:30"/>
    <d v="1899-12-30T02:06:25"/>
    <n v="0"/>
    <n v="0"/>
  </r>
  <r>
    <n v="19"/>
    <x v="7"/>
    <d v="1899-12-30T20:36:07"/>
    <d v="1899-12-30T20:36:11"/>
    <d v="1899-12-30T22:25:37"/>
    <s v="1 hr 45 min 25s"/>
    <s v="bcx-rdnv-qnb"/>
    <x v="15"/>
    <d v="1899-12-30T01:49:30"/>
    <d v="1899-12-30T02:06:26"/>
    <n v="0"/>
    <n v="0"/>
  </r>
  <r>
    <n v="20"/>
    <x v="18"/>
    <d v="1899-12-30T20:36:07"/>
    <d v="1899-12-30T20:36:42"/>
    <d v="1899-12-30T22:25:37"/>
    <s v="1 hr 4 min 31s"/>
    <s v="bcx-rdnv-qnb"/>
    <x v="15"/>
    <d v="1899-12-30T01:49:30"/>
    <d v="1899-12-30T02:06:27"/>
    <n v="0"/>
    <n v="0"/>
  </r>
  <r>
    <n v="21"/>
    <x v="19"/>
    <d v="1899-12-30T20:36:07"/>
    <d v="1899-12-30T20:36:11"/>
    <d v="1899-12-30T22:25:37"/>
    <s v="1 hr 28 min 45s"/>
    <s v="bcx-rdnv-qnb"/>
    <x v="15"/>
    <d v="1899-12-30T01:49:30"/>
    <d v="1899-12-30T02:06:28"/>
    <n v="0"/>
    <n v="0"/>
  </r>
  <r>
    <n v="22"/>
    <x v="48"/>
    <d v="1899-12-30T20:36:07"/>
    <d v="1899-12-30T20:36:11"/>
    <d v="1899-12-30T22:25:37"/>
    <s v="1 hr 5 min 3s"/>
    <s v="bcx-rdnv-qnb"/>
    <x v="15"/>
    <d v="1899-12-30T01:49:30"/>
    <d v="1899-12-30T02:06:29"/>
    <n v="0"/>
    <n v="0"/>
  </r>
  <r>
    <n v="23"/>
    <x v="59"/>
    <d v="1899-12-30T20:36:07"/>
    <d v="1899-12-30T20:36:11"/>
    <d v="1899-12-30T22:25:37"/>
    <s v="1 hr 8 min 25s"/>
    <s v="bcx-rdnv-qnb"/>
    <x v="15"/>
    <d v="1899-12-30T01:49:30"/>
    <d v="1899-12-30T02:06:30"/>
    <n v="0"/>
    <n v="0"/>
  </r>
  <r>
    <n v="24"/>
    <x v="8"/>
    <d v="1899-12-30T20:36:07"/>
    <d v="1899-12-30T20:37:10"/>
    <d v="1899-12-30T22:25:37"/>
    <s v="1 hr 48 min 24s"/>
    <s v="bcx-rdnv-qnb"/>
    <x v="15"/>
    <d v="1899-12-30T01:49:30"/>
    <d v="1899-12-30T02:06:31"/>
    <n v="0"/>
    <n v="0"/>
  </r>
  <r>
    <n v="25"/>
    <x v="29"/>
    <d v="1899-12-30T20:36:07"/>
    <d v="1899-12-30T21:41:16"/>
    <d v="1899-12-30T22:25:37"/>
    <s v="33 min 13s"/>
    <s v="bcx-rdnv-qnb"/>
    <x v="15"/>
    <d v="1899-12-30T01:49:30"/>
    <d v="1899-12-30T02:06:32"/>
    <n v="0"/>
    <n v="0"/>
  </r>
  <r>
    <n v="26"/>
    <x v="20"/>
    <d v="1899-12-30T20:36:07"/>
    <d v="1899-12-30T20:36:57"/>
    <d v="1899-12-30T22:25:37"/>
    <s v="1 hr 48 min 37s"/>
    <s v="bcx-rdnv-qnb"/>
    <x v="15"/>
    <d v="1899-12-30T01:49:30"/>
    <d v="1899-12-30T02:06:33"/>
    <n v="0"/>
    <n v="0"/>
  </r>
  <r>
    <n v="27"/>
    <x v="9"/>
    <d v="1899-12-30T20:36:07"/>
    <d v="1899-12-30T20:36:11"/>
    <d v="1899-12-30T22:25:37"/>
    <s v="1 hr 49 min 24s"/>
    <s v="bcx-rdnv-qnb"/>
    <x v="15"/>
    <d v="1899-12-30T01:49:30"/>
    <d v="1899-12-30T02:06:34"/>
    <n v="0"/>
    <n v="0"/>
  </r>
  <r>
    <n v="28"/>
    <x v="53"/>
    <d v="1899-12-30T20:36:07"/>
    <d v="1899-12-30T21:41:16"/>
    <d v="1899-12-30T22:25:37"/>
    <s v="23 min 49s"/>
    <s v="bcx-rdnv-qnb"/>
    <x v="15"/>
    <d v="1899-12-30T01:49:30"/>
    <d v="1899-12-30T02:06:36"/>
    <n v="0"/>
    <n v="0"/>
  </r>
  <r>
    <n v="29"/>
    <x v="10"/>
    <d v="1899-12-30T20:36:07"/>
    <d v="1899-12-30T21:41:16"/>
    <d v="1899-12-30T22:25:37"/>
    <s v="44 min 18s"/>
    <s v="bcx-rdnv-qnb"/>
    <x v="15"/>
    <d v="1899-12-30T01:49:30"/>
    <d v="1899-12-30T02:06:37"/>
    <n v="0"/>
    <n v="0"/>
  </r>
  <r>
    <n v="30"/>
    <x v="22"/>
    <d v="1899-12-30T20:36:07"/>
    <d v="1899-12-30T21:41:16"/>
    <d v="1899-12-30T22:25:37"/>
    <s v="30 min 35s"/>
    <s v="bcx-rdnv-qnb"/>
    <x v="15"/>
    <d v="1899-12-30T01:49:30"/>
    <d v="1899-12-30T02:06:38"/>
    <n v="0"/>
    <n v="0"/>
  </r>
  <r>
    <n v="31"/>
    <x v="30"/>
    <d v="1899-12-30T20:36:07"/>
    <d v="1899-12-30T20:36:11"/>
    <d v="1899-12-30T22:25:37"/>
    <s v="1 hr 42 min 40s"/>
    <s v="bcx-rdnv-qnb"/>
    <x v="15"/>
    <d v="1899-12-30T01:49:30"/>
    <d v="1899-12-30T02:06:39"/>
    <n v="0"/>
    <n v="0"/>
  </r>
  <r>
    <n v="32"/>
    <x v="66"/>
    <d v="1899-12-30T20:36:07"/>
    <d v="1899-12-30T21:41:16"/>
    <d v="1899-12-30T22:25:37"/>
    <s v="44 min 14s"/>
    <s v="bcx-rdnv-qnb"/>
    <x v="15"/>
    <d v="1899-12-30T01:49:30"/>
    <d v="1899-12-30T02:06:40"/>
    <n v="0"/>
    <n v="0"/>
  </r>
  <r>
    <n v="33"/>
    <x v="34"/>
    <d v="1899-12-30T20:36:07"/>
    <d v="1899-12-30T20:36:11"/>
    <d v="1899-12-30T22:25:37"/>
    <s v="1 hr 49 min 17s"/>
    <s v="bcx-rdnv-qnb"/>
    <x v="15"/>
    <d v="1899-12-30T01:49:30"/>
    <d v="1899-12-30T02:06:41"/>
    <n v="0"/>
    <n v="0"/>
  </r>
  <r>
    <n v="34"/>
    <x v="61"/>
    <d v="1899-12-30T20:36:07"/>
    <d v="1899-12-30T20:36:11"/>
    <d v="1899-12-30T22:25:37"/>
    <s v="1 hr 36 min 30s"/>
    <s v="bcx-rdnv-qnb"/>
    <x v="15"/>
    <d v="1899-12-30T01:49:30"/>
    <d v="1899-12-30T02:06:42"/>
    <n v="0"/>
    <n v="0"/>
  </r>
  <r>
    <n v="35"/>
    <x v="35"/>
    <d v="1899-12-30T20:36:07"/>
    <d v="1899-12-30T20:36:11"/>
    <d v="1899-12-30T22:25:37"/>
    <s v="1 hr 49 min 19s"/>
    <s v="bcx-rdnv-qnb"/>
    <x v="15"/>
    <d v="1899-12-30T01:49:30"/>
    <d v="1899-12-30T02:06:43"/>
    <n v="0"/>
    <n v="0"/>
  </r>
  <r>
    <n v="36"/>
    <x v="46"/>
    <d v="1899-12-30T20:36:07"/>
    <d v="1899-12-30T20:36:11"/>
    <d v="1899-12-30T22:25:37"/>
    <s v="1 hr 28 min 52s"/>
    <s v="bcx-rdnv-qnb"/>
    <x v="15"/>
    <d v="1899-12-30T01:49:30"/>
    <d v="1899-12-30T02:06:44"/>
    <n v="0"/>
    <n v="0"/>
  </r>
  <r>
    <n v="37"/>
    <x v="24"/>
    <d v="1899-12-30T20:36:07"/>
    <d v="1899-12-30T21:41:16"/>
    <d v="1899-12-30T22:25:37"/>
    <s v="37 min 37s"/>
    <s v="bcx-rdnv-qnb"/>
    <x v="15"/>
    <d v="1899-12-30T01:49:30"/>
    <d v="1899-12-30T02:06:45"/>
    <n v="0"/>
    <n v="0"/>
  </r>
  <r>
    <n v="38"/>
    <x v="67"/>
    <d v="1899-12-30T20:36:07"/>
    <d v="1899-12-30T20:36:11"/>
    <d v="1899-12-30T22:25:37"/>
    <s v="1 hr 28 min 52s"/>
    <s v="bcx-rdnv-qnb"/>
    <x v="15"/>
    <d v="1899-12-30T01:49:30"/>
    <d v="1899-12-30T02:06:47"/>
    <n v="0"/>
    <n v="0"/>
  </r>
  <r>
    <n v="1"/>
    <x v="0"/>
    <d v="1899-12-30T20:36:28"/>
    <d v="1899-12-30T20:36:31"/>
    <d v="1899-12-30T22:36:09"/>
    <s v="1 hr 38 min 37s"/>
    <s v="evq-epfh-ove"/>
    <x v="16"/>
    <d v="1899-12-30T01:59:41"/>
    <d v="1899-12-30T02:06:48"/>
    <n v="0"/>
    <n v="0"/>
  </r>
  <r>
    <n v="2"/>
    <x v="1"/>
    <d v="1899-12-30T20:36:28"/>
    <d v="1899-12-30T20:46:06"/>
    <d v="1899-12-30T22:36:09"/>
    <s v="6 min 43s"/>
    <s v="evq-epfh-ove"/>
    <x v="16"/>
    <d v="1899-12-30T01:59:41"/>
    <d v="1899-12-30T02:06:48"/>
    <n v="0"/>
    <n v="0"/>
  </r>
  <r>
    <n v="3"/>
    <x v="2"/>
    <d v="1899-12-30T20:36:28"/>
    <d v="1899-12-30T20:36:31"/>
    <d v="1899-12-30T22:36:09"/>
    <s v="1 hr 58 min 36s"/>
    <s v="evq-epfh-ove"/>
    <x v="16"/>
    <d v="1899-12-30T01:59:41"/>
    <d v="1899-12-30T02:06:49"/>
    <n v="0"/>
    <n v="0"/>
  </r>
  <r>
    <n v="4"/>
    <x v="4"/>
    <d v="1899-12-30T20:36:28"/>
    <d v="1899-12-30T20:46:06"/>
    <d v="1899-12-30T22:36:09"/>
    <s v="1 hr 11 min 48s"/>
    <s v="evq-epfh-ove"/>
    <x v="16"/>
    <d v="1899-12-30T01:59:41"/>
    <d v="1899-12-30T02:06:49"/>
    <n v="0"/>
    <n v="0"/>
  </r>
  <r>
    <n v="5"/>
    <x v="31"/>
    <d v="1899-12-30T20:36:28"/>
    <d v="1899-12-30T20:36:31"/>
    <d v="1899-12-30T22:36:09"/>
    <s v="1 hr 1 min 7s"/>
    <s v="evq-epfh-ove"/>
    <x v="16"/>
    <d v="1899-12-30T01:59:41"/>
    <d v="1899-12-30T02:06:50"/>
    <n v="0"/>
    <n v="0"/>
  </r>
  <r>
    <n v="6"/>
    <x v="27"/>
    <d v="1899-12-30T20:36:28"/>
    <d v="1899-12-30T20:36:31"/>
    <d v="1899-12-30T22:36:09"/>
    <s v="26 min 14s"/>
    <s v="evq-epfh-ove"/>
    <x v="16"/>
    <d v="1899-12-30T01:59:41"/>
    <d v="1899-12-30T02:06:50"/>
    <n v="0"/>
    <n v="0"/>
  </r>
  <r>
    <n v="7"/>
    <x v="37"/>
    <d v="1899-12-30T20:36:28"/>
    <d v="1899-12-30T20:46:06"/>
    <d v="1899-12-30T22:36:09"/>
    <s v="1 hr 7 min 1s"/>
    <s v="evq-epfh-ove"/>
    <x v="16"/>
    <d v="1899-12-30T01:59:41"/>
    <d v="1899-12-30T02:06:50"/>
    <n v="0"/>
    <n v="0"/>
  </r>
  <r>
    <n v="8"/>
    <x v="49"/>
    <d v="1899-12-30T20:36:28"/>
    <d v="1899-12-30T20:36:31"/>
    <d v="1899-12-30T22:36:09"/>
    <s v="40 min 28s"/>
    <s v="evq-epfh-ove"/>
    <x v="16"/>
    <d v="1899-12-30T01:59:41"/>
    <d v="1899-12-30T02:06:51"/>
    <n v="0"/>
    <n v="0"/>
  </r>
  <r>
    <n v="9"/>
    <x v="14"/>
    <d v="1899-12-30T20:36:28"/>
    <d v="1899-12-30T20:36:31"/>
    <d v="1899-12-30T22:36:09"/>
    <s v="1 hr 58 min 14s"/>
    <s v="evq-epfh-ove"/>
    <x v="16"/>
    <d v="1899-12-30T01:59:41"/>
    <d v="1899-12-30T02:06:51"/>
    <n v="0"/>
    <n v="0"/>
  </r>
  <r>
    <n v="10"/>
    <x v="56"/>
    <d v="1899-12-30T20:36:28"/>
    <d v="1899-12-30T20:36:31"/>
    <d v="1899-12-30T22:36:09"/>
    <s v="18 min 13s"/>
    <s v="evq-epfh-ove"/>
    <x v="16"/>
    <d v="1899-12-30T01:59:41"/>
    <d v="1899-12-30T02:06:52"/>
    <n v="0"/>
    <n v="0"/>
  </r>
  <r>
    <n v="11"/>
    <x v="5"/>
    <d v="1899-12-30T20:36:28"/>
    <d v="1899-12-30T20:36:31"/>
    <d v="1899-12-30T22:36:09"/>
    <s v="1 hr 59 min 36s"/>
    <s v="evq-epfh-ove"/>
    <x v="16"/>
    <d v="1899-12-30T01:59:41"/>
    <d v="1899-12-30T02:06:52"/>
    <n v="0"/>
    <n v="0"/>
  </r>
  <r>
    <n v="12"/>
    <x v="50"/>
    <d v="1899-12-30T20:36:28"/>
    <d v="1899-12-30T20:36:31"/>
    <d v="1899-12-30T22:36:09"/>
    <s v="1 hr 14 min 20s"/>
    <s v="evq-epfh-ove"/>
    <x v="16"/>
    <d v="1899-12-30T01:59:41"/>
    <d v="1899-12-30T02:06:53"/>
    <n v="0"/>
    <n v="0"/>
  </r>
  <r>
    <n v="13"/>
    <x v="51"/>
    <d v="1899-12-30T20:36:28"/>
    <d v="1899-12-30T20:36:42"/>
    <d v="1899-12-30T22:36:09"/>
    <s v="1 hr 4 min 31s"/>
    <s v="evq-epfh-ove"/>
    <x v="16"/>
    <d v="1899-12-30T01:59:41"/>
    <d v="1899-12-30T02:06:53"/>
    <n v="0"/>
    <n v="0"/>
  </r>
  <r>
    <n v="14"/>
    <x v="68"/>
    <d v="1899-12-30T20:36:28"/>
    <d v="1899-12-30T20:46:06"/>
    <d v="1899-12-30T22:36:09"/>
    <s v="1 hr 50 min 2s"/>
    <s v="evq-epfh-ove"/>
    <x v="16"/>
    <d v="1899-12-30T01:59:41"/>
    <d v="1899-12-30T02:06:54"/>
    <n v="0"/>
    <n v="0"/>
  </r>
  <r>
    <n v="15"/>
    <x v="6"/>
    <d v="1899-12-30T20:36:28"/>
    <d v="1899-12-30T20:36:31"/>
    <d v="1899-12-30T22:36:09"/>
    <s v="1 hr 11 min 31s"/>
    <s v="evq-epfh-ove"/>
    <x v="16"/>
    <d v="1899-12-30T01:59:41"/>
    <d v="1899-12-30T02:06:54"/>
    <n v="0"/>
    <n v="0"/>
  </r>
  <r>
    <n v="16"/>
    <x v="17"/>
    <d v="1899-12-30T20:36:28"/>
    <d v="1899-12-30T20:36:31"/>
    <d v="1899-12-30T22:36:09"/>
    <s v="1 hr 59 min 36s"/>
    <s v="evq-epfh-ove"/>
    <x v="16"/>
    <d v="1899-12-30T01:59:41"/>
    <d v="1899-12-30T02:06:55"/>
    <n v="0"/>
    <n v="0"/>
  </r>
  <r>
    <n v="17"/>
    <x v="28"/>
    <d v="1899-12-30T20:36:28"/>
    <d v="1899-12-30T21:03:46"/>
    <d v="1899-12-30T22:36:09"/>
    <s v="34 min 57s"/>
    <s v="evq-epfh-ove"/>
    <x v="16"/>
    <d v="1899-12-30T01:59:41"/>
    <d v="1899-12-30T02:06:55"/>
    <n v="0"/>
    <n v="0"/>
  </r>
  <r>
    <n v="18"/>
    <x v="7"/>
    <d v="1899-12-30T20:36:28"/>
    <d v="1899-12-30T20:36:31"/>
    <d v="1899-12-30T22:36:09"/>
    <s v="46 min 32s"/>
    <s v="evq-epfh-ove"/>
    <x v="16"/>
    <d v="1899-12-30T01:59:41"/>
    <d v="1899-12-30T02:06:56"/>
    <n v="0"/>
    <n v="0"/>
  </r>
  <r>
    <n v="19"/>
    <x v="19"/>
    <d v="1899-12-30T20:36:28"/>
    <d v="1899-12-30T20:36:31"/>
    <d v="1899-12-30T22:36:09"/>
    <s v="1 hr 59 min 36s"/>
    <s v="evq-epfh-ove"/>
    <x v="16"/>
    <d v="1899-12-30T01:59:41"/>
    <d v="1899-12-30T02:06:56"/>
    <n v="0"/>
    <n v="0"/>
  </r>
  <r>
    <n v="20"/>
    <x v="8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1"/>
    <x v="20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2"/>
    <x v="9"/>
    <d v="1899-12-30T20:36:28"/>
    <d v="1899-12-30T20:36:31"/>
    <d v="1899-12-30T22:36:09"/>
    <s v="1 hr 58 min 28s"/>
    <s v="evq-epfh-ove"/>
    <x v="16"/>
    <d v="1899-12-30T01:59:41"/>
    <d v="1899-12-30T02:06:58"/>
    <n v="0"/>
    <n v="0"/>
  </r>
  <r>
    <n v="23"/>
    <x v="32"/>
    <d v="1899-12-30T20:36:28"/>
    <d v="1899-12-30T20:36:31"/>
    <d v="1899-12-30T22:36:09"/>
    <s v="1 hr 1 min 57s"/>
    <s v="evq-epfh-ove"/>
    <x v="16"/>
    <d v="1899-12-30T01:59:41"/>
    <d v="1899-12-30T02:06:58"/>
    <n v="0"/>
    <n v="0"/>
  </r>
  <r>
    <n v="24"/>
    <x v="10"/>
    <d v="1899-12-30T20:36:28"/>
    <d v="1899-12-30T20:36:31"/>
    <d v="1899-12-30T22:36:09"/>
    <s v="23 min 59s"/>
    <s v="evq-epfh-ove"/>
    <x v="16"/>
    <d v="1899-12-30T01:59:41"/>
    <d v="1899-12-30T02:06:59"/>
    <n v="0"/>
    <n v="0"/>
  </r>
  <r>
    <n v="25"/>
    <x v="30"/>
    <d v="1899-12-30T20:36:28"/>
    <d v="1899-12-30T20:36:31"/>
    <d v="1899-12-30T22:36:09"/>
    <s v="1 hr 58 min 15s"/>
    <s v="evq-epfh-ove"/>
    <x v="16"/>
    <d v="1899-12-30T01:59:41"/>
    <d v="1899-12-30T02:06:59"/>
    <n v="0"/>
    <n v="0"/>
  </r>
  <r>
    <n v="26"/>
    <x v="33"/>
    <d v="1899-12-30T20:36:28"/>
    <d v="1899-12-30T20:46:06"/>
    <d v="1899-12-30T22:36:09"/>
    <s v="13 min 45s"/>
    <s v="evq-epfh-ove"/>
    <x v="16"/>
    <d v="1899-12-30T01:59:41"/>
    <d v="1899-12-30T02:06:59"/>
    <n v="0"/>
    <n v="0"/>
  </r>
  <r>
    <n v="27"/>
    <x v="34"/>
    <d v="1899-12-30T20:36:28"/>
    <d v="1899-12-30T20:46:06"/>
    <d v="1899-12-30T22:36:09"/>
    <s v="1 hr 10 min 59s"/>
    <s v="evq-epfh-ove"/>
    <x v="16"/>
    <d v="1899-12-30T01:59:41"/>
    <d v="1899-12-30T02:07:00"/>
    <n v="0"/>
    <n v="0"/>
  </r>
  <r>
    <n v="28"/>
    <x v="61"/>
    <d v="1899-12-30T20:36:28"/>
    <d v="1899-12-30T20:36:31"/>
    <d v="1899-12-30T22:36:09"/>
    <s v="9 min 34s"/>
    <s v="evq-epfh-ove"/>
    <x v="16"/>
    <d v="1899-12-30T01:59:41"/>
    <d v="1899-12-30T02:07:00"/>
    <n v="0"/>
    <n v="0"/>
  </r>
  <r>
    <n v="29"/>
    <x v="35"/>
    <d v="1899-12-30T20:36:28"/>
    <d v="1899-12-30T20:36:31"/>
    <d v="1899-12-30T22:36:09"/>
    <s v="1 hr 59 min 15s"/>
    <s v="evq-epfh-ove"/>
    <x v="16"/>
    <d v="1899-12-30T01:59:41"/>
    <d v="1899-12-30T02:07:01"/>
    <n v="0"/>
    <n v="0"/>
  </r>
  <r>
    <n v="30"/>
    <x v="40"/>
    <d v="1899-12-30T20:36:28"/>
    <d v="1899-12-30T20:36:31"/>
    <d v="1899-12-30T22:36:09"/>
    <s v="22 min 17s"/>
    <s v="evq-epfh-ove"/>
    <x v="16"/>
    <d v="1899-12-30T01:59:41"/>
    <d v="1899-12-30T02:07:01"/>
    <n v="0"/>
    <n v="0"/>
  </r>
  <r>
    <n v="31"/>
    <x v="24"/>
    <d v="1899-12-30T20:36:28"/>
    <d v="1899-12-30T20:36:31"/>
    <d v="1899-12-30T22:36:09"/>
    <s v="1 hr 50 min 20s"/>
    <s v="evq-epfh-ove"/>
    <x v="16"/>
    <d v="1899-12-30T01:59:41"/>
    <d v="1899-12-30T02:07:02"/>
    <n v="0"/>
    <n v="0"/>
  </r>
  <r>
    <n v="32"/>
    <x v="69"/>
    <d v="1899-12-30T20:36:28"/>
    <d v="1899-12-30T20:49:09"/>
    <d v="1899-12-30T22:36:09"/>
    <s v="1 min 51s"/>
    <s v="evq-epfh-ove"/>
    <x v="16"/>
    <d v="1899-12-30T01:59:41"/>
    <d v="1899-12-30T02:07:02"/>
    <n v="0"/>
    <n v="0"/>
  </r>
  <r>
    <n v="33"/>
    <x v="67"/>
    <d v="1899-12-30T20:36:28"/>
    <d v="1899-12-30T20:36:31"/>
    <d v="1899-12-30T22:36:09"/>
    <s v="54 min 6s"/>
    <s v="evq-epfh-ove"/>
    <x v="16"/>
    <d v="1899-12-30T01:59:41"/>
    <d v="1899-12-30T02:07:03"/>
    <n v="0"/>
    <n v="0"/>
  </r>
  <r>
    <n v="34"/>
    <x v="11"/>
    <d v="1899-12-30T20:36:28"/>
    <d v="1899-12-30T20:36:31"/>
    <d v="1899-12-30T22:36:09"/>
    <s v="1 hr 59 min 36s"/>
    <s v="evq-epfh-ove"/>
    <x v="16"/>
    <d v="1899-12-30T01:59:41"/>
    <d v="1899-12-30T02:07:03"/>
    <n v="0"/>
    <n v="0"/>
  </r>
  <r>
    <n v="1"/>
    <x v="0"/>
    <d v="1899-12-30T20:37:07"/>
    <d v="1899-12-30T20:37:11"/>
    <d v="1899-12-30T22:39:34"/>
    <s v="2 hr 2 min 23s"/>
    <s v="icw-azvu-nzm"/>
    <x v="17"/>
    <d v="1899-12-30T02:02:27"/>
    <d v="1899-12-30T02:07:04"/>
    <n v="0"/>
    <n v="0"/>
  </r>
  <r>
    <n v="2"/>
    <x v="2"/>
    <d v="1899-12-30T20:37:07"/>
    <d v="1899-12-30T20:37:11"/>
    <d v="1899-12-30T22:39:34"/>
    <s v="2 hr 2 min 0s"/>
    <s v="icw-azvu-nzm"/>
    <x v="17"/>
    <d v="1899-12-30T02:02:27"/>
    <d v="1899-12-30T02:07:04"/>
    <n v="0"/>
    <n v="0"/>
  </r>
  <r>
    <n v="3"/>
    <x v="13"/>
    <d v="1899-12-30T20:37:07"/>
    <d v="1899-12-30T20:37:11"/>
    <d v="1899-12-30T22:39:34"/>
    <s v="2 hr 2 min 4s"/>
    <s v="icw-azvu-nzm"/>
    <x v="17"/>
    <d v="1899-12-30T02:02:27"/>
    <d v="1899-12-30T02:07:04"/>
    <n v="0"/>
    <n v="0"/>
  </r>
  <r>
    <n v="4"/>
    <x v="4"/>
    <d v="1899-12-30T20:37:07"/>
    <d v="1899-12-30T20:37:11"/>
    <d v="1899-12-30T22:39:34"/>
    <s v="1 hr 3 min 54s"/>
    <s v="icw-azvu-nzm"/>
    <x v="17"/>
    <d v="1899-12-30T02:02:27"/>
    <d v="1899-12-30T02:07:05"/>
    <n v="0"/>
    <n v="0"/>
  </r>
  <r>
    <n v="5"/>
    <x v="31"/>
    <d v="1899-12-30T20:37:07"/>
    <d v="1899-12-30T20:37:11"/>
    <d v="1899-12-30T22:39:34"/>
    <s v="1 hr 42 min 23s"/>
    <s v="icw-azvu-nzm"/>
    <x v="17"/>
    <d v="1899-12-30T02:02:27"/>
    <d v="1899-12-30T02:07:05"/>
    <n v="0"/>
    <n v="0"/>
  </r>
  <r>
    <n v="6"/>
    <x v="27"/>
    <d v="1899-12-30T20:37:07"/>
    <d v="1899-12-30T20:37:11"/>
    <d v="1899-12-30T22:39:34"/>
    <s v="1 hr 31 min 16s"/>
    <s v="icw-azvu-nzm"/>
    <x v="17"/>
    <d v="1899-12-30T02:02:27"/>
    <d v="1899-12-30T02:07:05"/>
    <n v="0"/>
    <n v="0"/>
  </r>
  <r>
    <n v="7"/>
    <x v="37"/>
    <d v="1899-12-30T20:37:07"/>
    <d v="1899-12-30T20:37:11"/>
    <d v="1899-12-30T22:39:34"/>
    <s v="1 hr 31 min 16s"/>
    <s v="icw-azvu-nzm"/>
    <x v="17"/>
    <d v="1899-12-30T02:02:27"/>
    <d v="1899-12-30T02:07:06"/>
    <n v="0"/>
    <n v="0"/>
  </r>
  <r>
    <n v="8"/>
    <x v="49"/>
    <d v="1899-12-30T20:37:07"/>
    <d v="1899-12-30T20:37:11"/>
    <d v="1899-12-30T22:39:34"/>
    <s v="1 hr 3 min 54s"/>
    <s v="icw-azvu-nzm"/>
    <x v="17"/>
    <d v="1899-12-30T02:02:27"/>
    <d v="1899-12-30T02:07:06"/>
    <n v="0"/>
    <n v="0"/>
  </r>
  <r>
    <n v="9"/>
    <x v="70"/>
    <d v="1899-12-30T20:37:07"/>
    <d v="1899-12-30T21:41:06"/>
    <d v="1899-12-30T22:39:34"/>
    <s v="27 min 22s"/>
    <s v="icw-azvu-nzm"/>
    <x v="17"/>
    <d v="1899-12-30T02:02:27"/>
    <d v="1899-12-30T02:07:06"/>
    <n v="0"/>
    <n v="0"/>
  </r>
  <r>
    <n v="10"/>
    <x v="14"/>
    <d v="1899-12-30T20:37:07"/>
    <d v="1899-12-30T20:37:11"/>
    <d v="1899-12-30T22:39:34"/>
    <s v="1 hr 31 min 16s"/>
    <s v="icw-azvu-nzm"/>
    <x v="17"/>
    <d v="1899-12-30T02:02:27"/>
    <d v="1899-12-30T02:07:07"/>
    <n v="0"/>
    <n v="0"/>
  </r>
  <r>
    <n v="11"/>
    <x v="56"/>
    <d v="1899-12-30T20:37:07"/>
    <d v="1899-12-30T20:39:18"/>
    <d v="1899-12-30T22:39:34"/>
    <s v="1 hr 29 min 9s"/>
    <s v="icw-azvu-nzm"/>
    <x v="17"/>
    <d v="1899-12-30T02:02:27"/>
    <d v="1899-12-30T02:07:07"/>
    <n v="0"/>
    <n v="0"/>
  </r>
  <r>
    <n v="12"/>
    <x v="5"/>
    <d v="1899-12-30T20:37:07"/>
    <d v="1899-12-30T20:37:11"/>
    <d v="1899-12-30T22:39:34"/>
    <s v="2 hr 2 min 23s"/>
    <s v="icw-azvu-nzm"/>
    <x v="17"/>
    <d v="1899-12-30T02:02:27"/>
    <d v="1899-12-30T02:07:07"/>
    <n v="0"/>
    <n v="0"/>
  </r>
  <r>
    <n v="13"/>
    <x v="50"/>
    <d v="1899-12-30T20:37:07"/>
    <d v="1899-12-30T20:39:17"/>
    <d v="1899-12-30T22:39:34"/>
    <s v="1 hr 29 min 11s"/>
    <s v="icw-azvu-nzm"/>
    <x v="17"/>
    <d v="1899-12-30T02:02:27"/>
    <d v="1899-12-30T02:07:08"/>
    <n v="0"/>
    <n v="0"/>
  </r>
  <r>
    <n v="14"/>
    <x v="51"/>
    <d v="1899-12-30T20:37:07"/>
    <d v="1899-12-30T20:37:11"/>
    <d v="1899-12-30T22:39:34"/>
    <s v="57 min 12s"/>
    <s v="icw-azvu-nzm"/>
    <x v="17"/>
    <d v="1899-12-30T02:02:27"/>
    <d v="1899-12-30T02:07:08"/>
    <n v="0"/>
    <n v="0"/>
  </r>
  <r>
    <n v="15"/>
    <x v="6"/>
    <d v="1899-12-30T20:37:07"/>
    <d v="1899-12-30T20:37:11"/>
    <d v="1899-12-30T22:39:34"/>
    <s v="2 hr 1 min 53s"/>
    <s v="icw-azvu-nzm"/>
    <x v="17"/>
    <d v="1899-12-30T02:02:27"/>
    <d v="1899-12-30T02:07:08"/>
    <n v="0"/>
    <n v="0"/>
  </r>
  <r>
    <n v="16"/>
    <x v="17"/>
    <d v="1899-12-30T20:37:07"/>
    <d v="1899-12-30T20:37:11"/>
    <d v="1899-12-30T22:39:34"/>
    <s v="2 hr 2 min 23s"/>
    <s v="icw-azvu-nzm"/>
    <x v="17"/>
    <d v="1899-12-30T02:02:27"/>
    <d v="1899-12-30T02:07:09"/>
    <n v="0"/>
    <n v="0"/>
  </r>
  <r>
    <n v="17"/>
    <x v="28"/>
    <d v="1899-12-30T20:37:07"/>
    <d v="1899-12-30T20:37:11"/>
    <d v="1899-12-30T22:39:34"/>
    <s v="1 hr 3 min 54s"/>
    <s v="icw-azvu-nzm"/>
    <x v="17"/>
    <d v="1899-12-30T02:02:27"/>
    <d v="1899-12-30T02:07:09"/>
    <n v="0"/>
    <n v="0"/>
  </r>
  <r>
    <n v="18"/>
    <x v="7"/>
    <d v="1899-12-30T20:37:07"/>
    <d v="1899-12-30T20:37:11"/>
    <d v="1899-12-30T22:39:34"/>
    <s v="1 hr 31 min 16s"/>
    <s v="icw-azvu-nzm"/>
    <x v="17"/>
    <d v="1899-12-30T02:02:27"/>
    <d v="1899-12-30T02:07:09"/>
    <n v="0"/>
    <n v="0"/>
  </r>
  <r>
    <n v="19"/>
    <x v="19"/>
    <d v="1899-12-30T20:37:07"/>
    <d v="1899-12-30T20:37:11"/>
    <d v="1899-12-30T22:39:34"/>
    <s v="1 hr 34 min 38s"/>
    <s v="icw-azvu-nzm"/>
    <x v="17"/>
    <d v="1899-12-30T02:02:27"/>
    <d v="1899-12-30T02:07:10"/>
    <n v="0"/>
    <n v="0"/>
  </r>
  <r>
    <n v="20"/>
    <x v="48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1"/>
    <x v="59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2"/>
    <x v="8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3"/>
    <x v="20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4"/>
    <x v="9"/>
    <d v="1899-12-30T20:37:07"/>
    <d v="1899-12-30T20:37:11"/>
    <d v="1899-12-30T22:39:34"/>
    <s v="1 hr 3 min 54s"/>
    <s v="icw-azvu-nzm"/>
    <x v="17"/>
    <d v="1899-12-30T02:02:27"/>
    <d v="1899-12-30T02:07:11"/>
    <n v="0"/>
    <n v="0"/>
  </r>
  <r>
    <n v="25"/>
    <x v="32"/>
    <d v="1899-12-30T20:37:07"/>
    <d v="1899-12-30T21:41:06"/>
    <d v="1899-12-30T22:39:34"/>
    <s v="27 min 22s"/>
    <s v="icw-azvu-nzm"/>
    <x v="17"/>
    <d v="1899-12-30T02:02:27"/>
    <d v="1899-12-30T02:07:11"/>
    <n v="0"/>
    <n v="0"/>
  </r>
  <r>
    <n v="26"/>
    <x v="64"/>
    <d v="1899-12-30T20:37:07"/>
    <d v="1899-12-30T20:37:11"/>
    <d v="1899-12-30T22:39:34"/>
    <s v="1 hr 36 min 40s"/>
    <s v="icw-azvu-nzm"/>
    <x v="17"/>
    <d v="1899-12-30T02:02:27"/>
    <d v="1899-12-30T02:07:12"/>
    <n v="0"/>
    <n v="0"/>
  </r>
  <r>
    <n v="27"/>
    <x v="53"/>
    <d v="1899-12-30T20:37:07"/>
    <d v="1899-12-30T20:37:11"/>
    <d v="1899-12-30T22:39:34"/>
    <s v="1 hr 53 min 11s"/>
    <s v="icw-azvu-nzm"/>
    <x v="17"/>
    <d v="1899-12-30T02:02:27"/>
    <d v="1899-12-30T02:07:12"/>
    <n v="0"/>
    <n v="0"/>
  </r>
  <r>
    <n v="28"/>
    <x v="10"/>
    <d v="1899-12-30T20:37:07"/>
    <d v="1899-12-30T21:41:06"/>
    <d v="1899-12-30T22:39:34"/>
    <s v="58 min 9s"/>
    <s v="icw-azvu-nzm"/>
    <x v="17"/>
    <d v="1899-12-30T02:02:27"/>
    <d v="1899-12-30T02:07:12"/>
    <n v="0"/>
    <n v="0"/>
  </r>
  <r>
    <n v="29"/>
    <x v="22"/>
    <d v="1899-12-30T20:37:07"/>
    <d v="1899-12-30T20:37:11"/>
    <d v="1899-12-30T22:39:34"/>
    <s v="1 hr 31 min 16s"/>
    <s v="icw-azvu-nzm"/>
    <x v="17"/>
    <d v="1899-12-30T02:02:27"/>
    <d v="1899-12-30T02:07:13"/>
    <n v="0"/>
    <n v="0"/>
  </r>
  <r>
    <n v="30"/>
    <x v="33"/>
    <d v="1899-12-30T20:37:07"/>
    <d v="1899-12-30T20:37:11"/>
    <d v="1899-12-30T22:39:34"/>
    <s v="2 hr 1 min 53s"/>
    <s v="icw-azvu-nzm"/>
    <x v="17"/>
    <d v="1899-12-30T02:02:27"/>
    <d v="1899-12-30T02:07:13"/>
    <n v="0"/>
    <n v="0"/>
  </r>
  <r>
    <n v="31"/>
    <x v="34"/>
    <d v="1899-12-30T20:37:07"/>
    <d v="1899-12-30T20:37:11"/>
    <d v="1899-12-30T22:39:34"/>
    <s v="1 hr 54 min 57s"/>
    <s v="icw-azvu-nzm"/>
    <x v="17"/>
    <d v="1899-12-30T02:02:27"/>
    <d v="1899-12-30T02:07:13"/>
    <n v="0"/>
    <n v="0"/>
  </r>
  <r>
    <n v="32"/>
    <x v="61"/>
    <d v="1899-12-30T20:37:07"/>
    <d v="1899-12-30T20:37:11"/>
    <d v="1899-12-30T22:39:34"/>
    <s v="28 min 36s"/>
    <s v="icw-azvu-nzm"/>
    <x v="17"/>
    <d v="1899-12-30T02:02:27"/>
    <d v="1899-12-30T02:07:14"/>
    <n v="0"/>
    <n v="0"/>
  </r>
  <r>
    <n v="33"/>
    <x v="35"/>
    <d v="1899-12-30T20:37:07"/>
    <d v="1899-12-30T20:37:11"/>
    <d v="1899-12-30T22:39:34"/>
    <s v="2 hr 1 min 55s"/>
    <s v="icw-azvu-nzm"/>
    <x v="17"/>
    <d v="1899-12-30T02:02:27"/>
    <d v="1899-12-30T02:07:14"/>
    <n v="0"/>
    <n v="0"/>
  </r>
  <r>
    <n v="34"/>
    <x v="24"/>
    <d v="1899-12-30T20:37:07"/>
    <d v="1899-12-30T21:41:06"/>
    <d v="1899-12-30T22:39:34"/>
    <s v="27 min 22s"/>
    <s v="icw-azvu-nzm"/>
    <x v="17"/>
    <d v="1899-12-30T02:02:27"/>
    <d v="1899-12-30T02:07:14"/>
    <n v="0"/>
    <n v="0"/>
  </r>
  <r>
    <n v="35"/>
    <x v="36"/>
    <d v="1899-12-30T20:37:07"/>
    <d v="1899-12-30T21:41:06"/>
    <d v="1899-12-30T22:39:34"/>
    <s v="58 min 29s"/>
    <s v="icw-azvu-nzm"/>
    <x v="17"/>
    <d v="1899-12-30T02:02:27"/>
    <d v="1899-12-30T02:07:15"/>
    <n v="0"/>
    <n v="0"/>
  </r>
  <r>
    <n v="1"/>
    <x v="12"/>
    <d v="1899-12-30T20:39:02"/>
    <d v="1899-12-30T20:39:05"/>
    <d v="1899-12-30T22:18:20"/>
    <s v="1 hr 37 min 20s"/>
    <s v="bvd-kjfs-mft"/>
    <x v="18"/>
    <d v="1899-12-30T01:39:18"/>
    <d v="1899-12-30T02:07:15"/>
    <n v="0"/>
    <n v="0"/>
  </r>
  <r>
    <n v="2"/>
    <x v="0"/>
    <d v="1899-12-30T20:39:02"/>
    <d v="1899-12-30T20:39:05"/>
    <d v="1899-12-30T22:18:20"/>
    <s v="1 hr 39 min 9s"/>
    <s v="bvd-kjfs-mft"/>
    <x v="18"/>
    <d v="1899-12-30T01:39:18"/>
    <d v="1899-12-30T02:07:17"/>
    <n v="0"/>
    <n v="0"/>
  </r>
  <r>
    <n v="3"/>
    <x v="1"/>
    <d v="1899-12-30T20:39:02"/>
    <d v="1899-12-30T20:39:05"/>
    <d v="1899-12-30T22:18:20"/>
    <s v="1 hr 37 min 19s"/>
    <s v="bvd-kjfs-mft"/>
    <x v="18"/>
    <d v="1899-12-30T01:39:18"/>
    <d v="1899-12-30T02:07:19"/>
    <n v="0"/>
    <n v="0"/>
  </r>
  <r>
    <n v="4"/>
    <x v="2"/>
    <d v="1899-12-30T20:39:02"/>
    <d v="1899-12-30T22:16:28"/>
    <d v="1899-12-30T22:18:20"/>
    <s v="1 min 51s"/>
    <s v="bvd-kjfs-mft"/>
    <x v="18"/>
    <d v="1899-12-30T01:39:18"/>
    <d v="1899-12-30T02:07:21"/>
    <n v="0"/>
    <n v="0"/>
  </r>
  <r>
    <n v="5"/>
    <x v="13"/>
    <d v="1899-12-30T20:39:02"/>
    <d v="1899-12-30T20:39:05"/>
    <d v="1899-12-30T22:18:20"/>
    <s v="1 hr 39 min 10s"/>
    <s v="bvd-kjfs-mft"/>
    <x v="18"/>
    <d v="1899-12-30T01:39:18"/>
    <d v="1899-12-30T02:07:23"/>
    <n v="0"/>
    <n v="0"/>
  </r>
  <r>
    <n v="6"/>
    <x v="71"/>
    <d v="1899-12-30T20:39:02"/>
    <d v="1899-12-30T20:39:05"/>
    <d v="1899-12-30T22:18:20"/>
    <s v="1 hr 39 min 10s"/>
    <s v="bvd-kjfs-mft"/>
    <x v="18"/>
    <d v="1899-12-30T01:39:18"/>
    <d v="1899-12-30T02:07:25"/>
    <n v="0"/>
    <n v="0"/>
  </r>
  <r>
    <n v="7"/>
    <x v="31"/>
    <d v="1899-12-30T20:39:02"/>
    <d v="1899-12-30T20:39:05"/>
    <d v="1899-12-30T22:18:20"/>
    <s v="1 hr 37 min 19s"/>
    <s v="bvd-kjfs-mft"/>
    <x v="18"/>
    <d v="1899-12-30T01:39:18"/>
    <d v="1899-12-30T02:07:27"/>
    <n v="0"/>
    <n v="0"/>
  </r>
  <r>
    <n v="8"/>
    <x v="27"/>
    <d v="1899-12-30T20:39:02"/>
    <d v="1899-12-30T20:39:05"/>
    <d v="1899-12-30T22:18:20"/>
    <s v="1 hr 37 min 19s"/>
    <s v="bvd-kjfs-mft"/>
    <x v="18"/>
    <d v="1899-12-30T01:39:18"/>
    <d v="1899-12-30T02:07:29"/>
    <n v="0"/>
    <n v="0"/>
  </r>
  <r>
    <n v="9"/>
    <x v="72"/>
    <d v="1899-12-30T20:39:02"/>
    <d v="1899-12-30T20:39:05"/>
    <d v="1899-12-30T22:18:20"/>
    <s v="1 hr 37 min 19s"/>
    <s v="bvd-kjfs-mft"/>
    <x v="18"/>
    <d v="1899-12-30T01:39:18"/>
    <d v="1899-12-30T02:07:31"/>
    <n v="0"/>
    <n v="0"/>
  </r>
  <r>
    <n v="10"/>
    <x v="49"/>
    <d v="1899-12-30T20:39:02"/>
    <d v="1899-12-30T20:39:05"/>
    <d v="1899-12-30T22:18:20"/>
    <s v="1 hr 37 min 33s"/>
    <s v="bvd-kjfs-mft"/>
    <x v="18"/>
    <d v="1899-12-30T01:39:18"/>
    <d v="1899-12-30T02:07:33"/>
    <n v="0"/>
    <n v="0"/>
  </r>
  <r>
    <n v="11"/>
    <x v="14"/>
    <d v="1899-12-30T20:39:02"/>
    <d v="1899-12-30T20:39:05"/>
    <d v="1899-12-30T22:18:20"/>
    <s v="1 hr 37 min 19s"/>
    <s v="bvd-kjfs-mft"/>
    <x v="18"/>
    <d v="1899-12-30T01:39:18"/>
    <d v="1899-12-30T02:07:35"/>
    <n v="0"/>
    <n v="0"/>
  </r>
  <r>
    <n v="12"/>
    <x v="56"/>
    <d v="1899-12-30T20:39:02"/>
    <d v="1899-12-30T20:39:05"/>
    <d v="1899-12-30T22:18:20"/>
    <s v="1 hr 37 min 19s"/>
    <s v="bvd-kjfs-mft"/>
    <x v="18"/>
    <d v="1899-12-30T01:39:18"/>
    <d v="1899-12-30T02:07:37"/>
    <n v="0"/>
    <n v="0"/>
  </r>
  <r>
    <n v="13"/>
    <x v="15"/>
    <d v="1899-12-30T20:39:02"/>
    <d v="1899-12-30T20:39:05"/>
    <d v="1899-12-30T22:18:20"/>
    <s v="1 hr 39 min 10s"/>
    <s v="bvd-kjfs-mft"/>
    <x v="18"/>
    <d v="1899-12-30T01:39:18"/>
    <d v="1899-12-30T02:07:39"/>
    <n v="0"/>
    <n v="0"/>
  </r>
  <r>
    <n v="14"/>
    <x v="5"/>
    <d v="1899-12-30T20:39:02"/>
    <d v="1899-12-30T20:39:05"/>
    <d v="1899-12-30T22:18:20"/>
    <s v="1 hr 39 min 10s"/>
    <s v="bvd-kjfs-mft"/>
    <x v="18"/>
    <d v="1899-12-30T01:39:18"/>
    <d v="1899-12-30T02:07:41"/>
    <n v="0"/>
    <n v="0"/>
  </r>
  <r>
    <n v="15"/>
    <x v="42"/>
    <d v="1899-12-30T20:39:02"/>
    <d v="1899-12-30T20:39:05"/>
    <d v="1899-12-30T22:18:20"/>
    <s v="1 hr 37 min 19s"/>
    <s v="bvd-kjfs-mft"/>
    <x v="18"/>
    <d v="1899-12-30T01:39:18"/>
    <d v="1899-12-30T02:07:43"/>
    <n v="0"/>
    <n v="0"/>
  </r>
  <r>
    <n v="16"/>
    <x v="6"/>
    <d v="1899-12-30T20:39:02"/>
    <d v="1899-12-30T20:39:05"/>
    <d v="1899-12-30T22:18:20"/>
    <s v="1 hr 39 min 6s"/>
    <s v="bvd-kjfs-mft"/>
    <x v="18"/>
    <d v="1899-12-30T01:39:18"/>
    <d v="1899-12-30T02:07:45"/>
    <n v="0"/>
    <n v="0"/>
  </r>
  <r>
    <n v="17"/>
    <x v="17"/>
    <d v="1899-12-30T20:39:02"/>
    <d v="1899-12-30T20:39:05"/>
    <d v="1899-12-30T22:18:20"/>
    <s v="1 hr 39 min 10s"/>
    <s v="bvd-kjfs-mft"/>
    <x v="18"/>
    <d v="1899-12-30T01:39:18"/>
    <d v="1899-12-30T02:07:47"/>
    <n v="0"/>
    <n v="0"/>
  </r>
  <r>
    <n v="18"/>
    <x v="73"/>
    <d v="1899-12-30T20:39:02"/>
    <d v="1899-12-30T20:39:05"/>
    <d v="1899-12-30T22:18:20"/>
    <s v="1 hr 37 min 19s"/>
    <s v="bvd-kjfs-mft"/>
    <x v="18"/>
    <d v="1899-12-30T01:39:18"/>
    <d v="1899-12-30T02:07:49"/>
    <n v="0"/>
    <n v="0"/>
  </r>
  <r>
    <n v="19"/>
    <x v="28"/>
    <d v="1899-12-30T20:39:02"/>
    <d v="1899-12-30T20:39:05"/>
    <d v="1899-12-30T22:18:20"/>
    <s v="1 hr 37 min 19s"/>
    <s v="bvd-kjfs-mft"/>
    <x v="18"/>
    <d v="1899-12-30T01:39:18"/>
    <d v="1899-12-30T02:07:51"/>
    <n v="0"/>
    <n v="0"/>
  </r>
  <r>
    <n v="20"/>
    <x v="7"/>
    <d v="1899-12-30T20:39:02"/>
    <d v="1899-12-30T20:39:05"/>
    <d v="1899-12-30T22:18:20"/>
    <s v="1 hr 39 min 10s"/>
    <s v="bvd-kjfs-mft"/>
    <x v="18"/>
    <d v="1899-12-30T01:39:18"/>
    <d v="1899-12-30T02:07:53"/>
    <n v="0"/>
    <n v="0"/>
  </r>
  <r>
    <n v="21"/>
    <x v="18"/>
    <d v="1899-12-30T20:39:02"/>
    <d v="1899-12-30T20:39:05"/>
    <d v="1899-12-30T22:18:20"/>
    <s v="1 hr 37 min 19s"/>
    <s v="bvd-kjfs-mft"/>
    <x v="18"/>
    <d v="1899-12-30T01:39:18"/>
    <d v="1899-12-30T02:07:55"/>
    <n v="0"/>
    <n v="0"/>
  </r>
  <r>
    <n v="22"/>
    <x v="74"/>
    <d v="1899-12-30T20:39:02"/>
    <d v="1899-12-30T22:16:28"/>
    <d v="1899-12-30T22:18:20"/>
    <s v="1 min 51s"/>
    <s v="bvd-kjfs-mft"/>
    <x v="18"/>
    <d v="1899-12-30T01:39:18"/>
    <d v="1899-12-30T02:07:57"/>
    <n v="0"/>
    <n v="0"/>
  </r>
  <r>
    <n v="23"/>
    <x v="59"/>
    <d v="1899-12-30T20:39:02"/>
    <d v="1899-12-30T20:39:05"/>
    <d v="1899-12-30T22:18:20"/>
    <s v="1 hr 37 min 19s"/>
    <s v="bvd-kjfs-mft"/>
    <x v="18"/>
    <d v="1899-12-30T01:39:18"/>
    <d v="1899-12-30T02:07:59"/>
    <n v="0"/>
    <n v="0"/>
  </r>
  <r>
    <n v="24"/>
    <x v="8"/>
    <d v="1899-12-30T20:39:02"/>
    <d v="1899-12-30T22:16:28"/>
    <d v="1899-12-30T22:18:20"/>
    <s v="1 min 51s"/>
    <s v="bvd-kjfs-mft"/>
    <x v="18"/>
    <d v="1899-12-30T01:39:18"/>
    <d v="1899-12-30T02:08:01"/>
    <n v="0"/>
    <n v="0"/>
  </r>
  <r>
    <n v="25"/>
    <x v="29"/>
    <d v="1899-12-30T20:39:02"/>
    <d v="1899-12-30T20:39:05"/>
    <d v="1899-12-30T22:18:20"/>
    <s v="1 hr 37 min 19s"/>
    <s v="bvd-kjfs-mft"/>
    <x v="18"/>
    <d v="1899-12-30T01:39:18"/>
    <d v="1899-12-30T02:08:03"/>
    <n v="0"/>
    <n v="0"/>
  </r>
  <r>
    <n v="26"/>
    <x v="20"/>
    <d v="1899-12-30T20:39:02"/>
    <d v="1899-12-30T20:39:05"/>
    <d v="1899-12-30T22:18:20"/>
    <s v="1 hr 39 min 10s"/>
    <s v="bvd-kjfs-mft"/>
    <x v="18"/>
    <d v="1899-12-30T01:39:18"/>
    <d v="1899-12-30T02:08:05"/>
    <n v="0"/>
    <n v="0"/>
  </r>
  <r>
    <n v="27"/>
    <x v="9"/>
    <d v="1899-12-30T20:39:02"/>
    <d v="1899-12-30T20:39:05"/>
    <d v="1899-12-30T22:18:20"/>
    <s v="1 hr 39 min 4s"/>
    <s v="bvd-kjfs-mft"/>
    <x v="18"/>
    <d v="1899-12-30T01:39:18"/>
    <d v="1899-12-30T02:08:07"/>
    <n v="0"/>
    <n v="0"/>
  </r>
  <r>
    <n v="28"/>
    <x v="64"/>
    <d v="1899-12-30T20:39:02"/>
    <d v="1899-12-30T20:39:05"/>
    <d v="1899-12-30T22:18:20"/>
    <s v="1 hr 37 min 19s"/>
    <s v="bvd-kjfs-mft"/>
    <x v="18"/>
    <d v="1899-12-30T01:39:18"/>
    <d v="1899-12-30T02:08:09"/>
    <n v="0"/>
    <n v="0"/>
  </r>
  <r>
    <n v="29"/>
    <x v="53"/>
    <d v="1899-12-30T20:39:02"/>
    <d v="1899-12-30T20:39:05"/>
    <d v="1899-12-30T22:18:20"/>
    <s v="1 hr 37 min 19s"/>
    <s v="bvd-kjfs-mft"/>
    <x v="18"/>
    <d v="1899-12-30T01:39:18"/>
    <d v="1899-12-30T02:08:11"/>
    <n v="0"/>
    <n v="0"/>
  </r>
  <r>
    <n v="30"/>
    <x v="10"/>
    <d v="1899-12-30T20:39:02"/>
    <d v="1899-12-30T20:39:05"/>
    <d v="1899-12-30T22:18:20"/>
    <s v="1 hr 39 min 10s"/>
    <s v="bvd-kjfs-mft"/>
    <x v="18"/>
    <d v="1899-12-30T01:39:18"/>
    <d v="1899-12-30T02:08:14"/>
    <n v="0"/>
    <n v="0"/>
  </r>
  <r>
    <n v="31"/>
    <x v="22"/>
    <d v="1899-12-30T20:39:02"/>
    <d v="1899-12-30T20:39:05"/>
    <d v="1899-12-30T22:18:20"/>
    <s v="1 hr 37 min 19s"/>
    <s v="bvd-kjfs-mft"/>
    <x v="18"/>
    <d v="1899-12-30T01:39:18"/>
    <d v="1899-12-30T02:08:16"/>
    <n v="0"/>
    <n v="0"/>
  </r>
  <r>
    <n v="32"/>
    <x v="30"/>
    <d v="1899-12-30T20:39:02"/>
    <d v="1899-12-30T20:39:05"/>
    <d v="1899-12-30T22:18:20"/>
    <s v="1 hr 39 min 10s"/>
    <s v="bvd-kjfs-mft"/>
    <x v="18"/>
    <d v="1899-12-30T01:39:18"/>
    <d v="1899-12-30T02:08:18"/>
    <n v="0"/>
    <n v="0"/>
  </r>
  <r>
    <n v="33"/>
    <x v="23"/>
    <d v="1899-12-30T20:39:02"/>
    <d v="1899-12-30T20:39:05"/>
    <d v="1899-12-30T22:18:20"/>
    <s v="1 hr 37 min 34s"/>
    <s v="bvd-kjfs-mft"/>
    <x v="18"/>
    <d v="1899-12-30T01:39:18"/>
    <d v="1899-12-30T02:08:20"/>
    <n v="0"/>
    <n v="0"/>
  </r>
  <r>
    <n v="34"/>
    <x v="34"/>
    <d v="1899-12-30T20:39:02"/>
    <d v="1899-12-30T20:39:05"/>
    <d v="1899-12-30T22:18:20"/>
    <s v="1 hr 37 min 19s"/>
    <s v="bvd-kjfs-mft"/>
    <x v="18"/>
    <d v="1899-12-30T01:39:18"/>
    <d v="1899-12-30T02:08:22"/>
    <n v="0"/>
    <n v="0"/>
  </r>
  <r>
    <n v="35"/>
    <x v="61"/>
    <d v="1899-12-30T20:39:02"/>
    <d v="1899-12-30T20:39:05"/>
    <d v="1899-12-30T22:18:20"/>
    <s v="1 hr 37 min 23s"/>
    <s v="bvd-kjfs-mft"/>
    <x v="18"/>
    <d v="1899-12-30T01:39:18"/>
    <d v="1899-12-30T02:08:24"/>
    <n v="0"/>
    <n v="0"/>
  </r>
  <r>
    <n v="36"/>
    <x v="35"/>
    <d v="1899-12-30T20:39:02"/>
    <d v="1899-12-30T20:39:05"/>
    <d v="1899-12-30T22:18:20"/>
    <s v="1 hr 39 min 4s"/>
    <s v="bvd-kjfs-mft"/>
    <x v="18"/>
    <d v="1899-12-30T01:39:18"/>
    <d v="1899-12-30T02:08:26"/>
    <n v="0"/>
    <n v="0"/>
  </r>
  <r>
    <n v="37"/>
    <x v="24"/>
    <d v="1899-12-30T20:39:02"/>
    <d v="1899-12-30T20:39:05"/>
    <d v="1899-12-30T22:18:20"/>
    <s v="1 hr 39 min 10s"/>
    <s v="bvd-kjfs-mft"/>
    <x v="18"/>
    <d v="1899-12-30T01:39:18"/>
    <d v="1899-12-30T02:08:28"/>
    <n v="0"/>
    <n v="0"/>
  </r>
  <r>
    <n v="38"/>
    <x v="67"/>
    <d v="1899-12-30T20:39:02"/>
    <d v="1899-12-30T20:39:05"/>
    <d v="1899-12-30T22:18:20"/>
    <s v="1 hr 37 min 19s"/>
    <s v="bvd-kjfs-mft"/>
    <x v="18"/>
    <d v="1899-12-30T01:39:18"/>
    <d v="1899-12-30T02:08:30"/>
    <n v="0"/>
    <n v="0"/>
  </r>
  <r>
    <n v="39"/>
    <x v="11"/>
    <d v="1899-12-30T20:39:02"/>
    <d v="1899-12-30T20:39:05"/>
    <d v="1899-12-30T22:18:20"/>
    <s v="1 hr 37 min 19s"/>
    <s v="bvd-kjfs-mft"/>
    <x v="18"/>
    <d v="1899-12-30T01:39:18"/>
    <d v="1899-12-30T02:08:32"/>
    <n v="0"/>
    <n v="0"/>
  </r>
  <r>
    <n v="1"/>
    <x v="12"/>
    <d v="1899-12-30T20:36:18"/>
    <d v="1899-12-30T22:20:01"/>
    <d v="1899-12-30T22:20:03"/>
    <s v="0 min 2s"/>
    <s v="efd-qhwb-ejp"/>
    <x v="19"/>
    <d v="1899-12-30T01:43:45"/>
    <d v="1899-12-30T02:08:35"/>
    <n v="0"/>
    <n v="0"/>
  </r>
  <r>
    <n v="2"/>
    <x v="0"/>
    <d v="1899-12-30T20:36:18"/>
    <d v="1899-12-30T20:36:23"/>
    <d v="1899-12-30T22:20:03"/>
    <s v="1 hr 43 min 37s"/>
    <s v="efd-qhwb-ejp"/>
    <x v="19"/>
    <d v="1899-12-30T01:43:45"/>
    <d v="1899-12-30T02:08:36"/>
    <n v="0"/>
    <n v="0"/>
  </r>
  <r>
    <n v="3"/>
    <x v="1"/>
    <d v="1899-12-30T20:36:18"/>
    <d v="1899-12-30T20:36:23"/>
    <d v="1899-12-30T22:20:03"/>
    <s v="1 hr 43 min 38s"/>
    <s v="efd-qhwb-ejp"/>
    <x v="19"/>
    <d v="1899-12-30T01:43:45"/>
    <d v="1899-12-30T02:08:38"/>
    <n v="0"/>
    <n v="0"/>
  </r>
  <r>
    <n v="4"/>
    <x v="2"/>
    <d v="1899-12-30T20:36:18"/>
    <d v="1899-12-30T20:36:23"/>
    <d v="1899-12-30T22:20:03"/>
    <s v="1 hr 43 min 38s"/>
    <s v="efd-qhwb-ejp"/>
    <x v="19"/>
    <d v="1899-12-30T01:43:45"/>
    <d v="1899-12-30T02:08:40"/>
    <n v="0"/>
    <n v="0"/>
  </r>
  <r>
    <n v="5"/>
    <x v="65"/>
    <d v="1899-12-30T20:36:18"/>
    <d v="1899-12-30T20:36:23"/>
    <d v="1899-12-30T22:20:03"/>
    <s v="0 min 20s"/>
    <s v="efd-qhwb-ejp"/>
    <x v="19"/>
    <d v="1899-12-30T01:43:45"/>
    <d v="1899-12-30T02:08:42"/>
    <n v="0"/>
    <n v="0"/>
  </r>
  <r>
    <n v="6"/>
    <x v="13"/>
    <d v="1899-12-30T20:36:18"/>
    <d v="1899-12-30T20:36:23"/>
    <d v="1899-12-30T22:20:03"/>
    <s v="1 hr 43 min 38s"/>
    <s v="efd-qhwb-ejp"/>
    <x v="19"/>
    <d v="1899-12-30T01:43:45"/>
    <d v="1899-12-30T02:08:44"/>
    <n v="0"/>
    <n v="0"/>
  </r>
  <r>
    <n v="7"/>
    <x v="31"/>
    <d v="1899-12-30T20:36:18"/>
    <d v="1899-12-30T20:36:23"/>
    <d v="1899-12-30T22:20:03"/>
    <s v="1 hr 43 min 36s"/>
    <s v="efd-qhwb-ejp"/>
    <x v="19"/>
    <d v="1899-12-30T01:43:45"/>
    <d v="1899-12-30T02:08:46"/>
    <n v="0"/>
    <n v="0"/>
  </r>
  <r>
    <n v="8"/>
    <x v="75"/>
    <d v="1899-12-30T20:36:18"/>
    <d v="1899-12-30T20:36:23"/>
    <d v="1899-12-30T22:20:03"/>
    <s v="1 hr 43 min 36s"/>
    <s v="efd-qhwb-ejp"/>
    <x v="19"/>
    <d v="1899-12-30T01:43:45"/>
    <d v="1899-12-30T02:08:47"/>
    <n v="0"/>
    <n v="0"/>
  </r>
  <r>
    <n v="9"/>
    <x v="72"/>
    <d v="1899-12-30T20:36:18"/>
    <d v="1899-12-30T22:20:01"/>
    <d v="1899-12-30T22:20:03"/>
    <s v="0 min 2s"/>
    <s v="efd-qhwb-ejp"/>
    <x v="19"/>
    <d v="1899-12-30T01:43:45"/>
    <d v="1899-12-30T02:08:49"/>
    <n v="0"/>
    <n v="0"/>
  </r>
  <r>
    <n v="10"/>
    <x v="49"/>
    <d v="1899-12-30T20:36:18"/>
    <d v="1899-12-30T20:36:23"/>
    <d v="1899-12-30T22:20:03"/>
    <s v="1 hr 43 min 36s"/>
    <s v="efd-qhwb-ejp"/>
    <x v="19"/>
    <d v="1899-12-30T01:43:45"/>
    <d v="1899-12-30T02:08:51"/>
    <n v="0"/>
    <n v="0"/>
  </r>
  <r>
    <n v="11"/>
    <x v="14"/>
    <d v="1899-12-30T20:36:18"/>
    <d v="1899-12-30T20:36:23"/>
    <d v="1899-12-30T22:20:03"/>
    <s v="1 hr 43 min 38s"/>
    <s v="efd-qhwb-ejp"/>
    <x v="19"/>
    <d v="1899-12-30T01:43:45"/>
    <d v="1899-12-30T02:08:53"/>
    <n v="0"/>
    <n v="0"/>
  </r>
  <r>
    <n v="12"/>
    <x v="54"/>
    <d v="1899-12-30T20:36:18"/>
    <d v="1899-12-30T20:36:23"/>
    <d v="1899-12-30T22:20:03"/>
    <s v="1 hr 43 min 36s"/>
    <s v="efd-qhwb-ejp"/>
    <x v="19"/>
    <d v="1899-12-30T01:43:45"/>
    <d v="1899-12-30T02:08:55"/>
    <n v="0"/>
    <n v="0"/>
  </r>
  <r>
    <n v="13"/>
    <x v="15"/>
    <d v="1899-12-30T20:36:18"/>
    <d v="1899-12-30T20:36:23"/>
    <d v="1899-12-30T22:20:03"/>
    <s v="1 hr 43 min 38s"/>
    <s v="efd-qhwb-ejp"/>
    <x v="19"/>
    <d v="1899-12-30T01:43:45"/>
    <d v="1899-12-30T02:08:57"/>
    <n v="0"/>
    <n v="0"/>
  </r>
  <r>
    <n v="14"/>
    <x v="5"/>
    <d v="1899-12-30T20:36:18"/>
    <d v="1899-12-30T20:36:23"/>
    <d v="1899-12-30T22:20:03"/>
    <s v="1 hr 43 min 38s"/>
    <s v="efd-qhwb-ejp"/>
    <x v="19"/>
    <d v="1899-12-30T01:43:45"/>
    <d v="1899-12-30T02:08:58"/>
    <n v="0"/>
    <n v="0"/>
  </r>
  <r>
    <n v="15"/>
    <x v="51"/>
    <d v="1899-12-30T20:36:18"/>
    <d v="1899-12-30T20:36:23"/>
    <d v="1899-12-30T22:20:03"/>
    <s v="1 hr 43 min 38s"/>
    <s v="efd-qhwb-ejp"/>
    <x v="19"/>
    <d v="1899-12-30T01:43:45"/>
    <d v="1899-12-30T02:09:00"/>
    <n v="0"/>
    <n v="0"/>
  </r>
  <r>
    <n v="16"/>
    <x v="42"/>
    <d v="1899-12-30T20:36:18"/>
    <d v="1899-12-30T20:36:23"/>
    <d v="1899-12-30T22:20:03"/>
    <s v="1 hr 43 min 36s"/>
    <s v="efd-qhwb-ejp"/>
    <x v="19"/>
    <d v="1899-12-30T01:43:45"/>
    <d v="1899-12-30T02:09:02"/>
    <n v="0"/>
    <n v="0"/>
  </r>
  <r>
    <n v="17"/>
    <x v="68"/>
    <d v="1899-12-30T20:36:18"/>
    <d v="1899-12-30T20:36:23"/>
    <d v="1899-12-30T22:20:03"/>
    <s v="1 hr 43 min 38s"/>
    <s v="efd-qhwb-ejp"/>
    <x v="19"/>
    <d v="1899-12-30T01:43:45"/>
    <d v="1899-12-30T02:09:04"/>
    <n v="0"/>
    <n v="0"/>
  </r>
  <r>
    <n v="18"/>
    <x v="6"/>
    <d v="1899-12-30T20:36:18"/>
    <d v="1899-12-30T22:20:01"/>
    <d v="1899-12-30T22:20:03"/>
    <s v="0 min 2s"/>
    <s v="efd-qhwb-ejp"/>
    <x v="19"/>
    <d v="1899-12-30T01:43:45"/>
    <d v="1899-12-30T02:09:06"/>
    <n v="0"/>
    <n v="0"/>
  </r>
  <r>
    <n v="19"/>
    <x v="17"/>
    <d v="1899-12-30T20:36:18"/>
    <d v="1899-12-30T20:36:23"/>
    <d v="1899-12-30T22:20:03"/>
    <s v="1 hr 43 min 38s"/>
    <s v="efd-qhwb-ejp"/>
    <x v="19"/>
    <d v="1899-12-30T01:43:45"/>
    <d v="1899-12-30T02:09:08"/>
    <n v="0"/>
    <n v="0"/>
  </r>
  <r>
    <n v="20"/>
    <x v="43"/>
    <d v="1899-12-30T20:36:18"/>
    <d v="1899-12-30T20:36:34"/>
    <d v="1899-12-30T22:20:03"/>
    <s v="1 hr 43 min 27s"/>
    <s v="efd-qhwb-ejp"/>
    <x v="19"/>
    <d v="1899-12-30T01:43:45"/>
    <d v="1899-12-30T02:09:10"/>
    <n v="0"/>
    <n v="0"/>
  </r>
  <r>
    <n v="21"/>
    <x v="7"/>
    <d v="1899-12-30T20:36:18"/>
    <d v="1899-12-30T20:36:23"/>
    <d v="1899-12-30T22:20:03"/>
    <s v="1 hr 43 min 38s"/>
    <s v="efd-qhwb-ejp"/>
    <x v="19"/>
    <d v="1899-12-30T01:43:45"/>
    <d v="1899-12-30T02:09:12"/>
    <n v="0"/>
    <n v="0"/>
  </r>
  <r>
    <n v="22"/>
    <x v="18"/>
    <d v="1899-12-30T20:36:18"/>
    <d v="1899-12-30T20:36:23"/>
    <d v="1899-12-30T22:20:03"/>
    <s v="1 hr 43 min 36s"/>
    <s v="efd-qhwb-ejp"/>
    <x v="19"/>
    <d v="1899-12-30T01:43:45"/>
    <d v="1899-12-30T02:09:14"/>
    <n v="0"/>
    <n v="0"/>
  </r>
  <r>
    <n v="23"/>
    <x v="38"/>
    <d v="1899-12-30T20:36:18"/>
    <d v="1899-12-30T22:20:01"/>
    <d v="1899-12-30T22:20:03"/>
    <s v="0 min 2s"/>
    <s v="efd-qhwb-ejp"/>
    <x v="19"/>
    <d v="1899-12-30T01:43:45"/>
    <d v="1899-12-30T02:09:16"/>
    <n v="0"/>
    <n v="0"/>
  </r>
  <r>
    <n v="24"/>
    <x v="48"/>
    <d v="1899-12-30T20:36:18"/>
    <d v="1899-12-30T20:36:23"/>
    <d v="1899-12-30T22:20:03"/>
    <s v="0 min 36s"/>
    <s v="efd-qhwb-ejp"/>
    <x v="19"/>
    <d v="1899-12-30T01:43:45"/>
    <d v="1899-12-30T02:09:17"/>
    <n v="0"/>
    <n v="0"/>
  </r>
  <r>
    <n v="25"/>
    <x v="59"/>
    <d v="1899-12-30T20:36:18"/>
    <d v="1899-12-30T20:36:23"/>
    <d v="1899-12-30T22:20:03"/>
    <s v="1 hr 43 min 36s"/>
    <s v="efd-qhwb-ejp"/>
    <x v="19"/>
    <d v="1899-12-30T01:43:45"/>
    <d v="1899-12-30T02:09:19"/>
    <n v="0"/>
    <n v="0"/>
  </r>
  <r>
    <n v="26"/>
    <x v="20"/>
    <d v="1899-12-30T20:36:18"/>
    <d v="1899-12-30T20:36:23"/>
    <d v="1899-12-30T22:20:03"/>
    <s v="1 hr 43 min 38s"/>
    <s v="efd-qhwb-ejp"/>
    <x v="19"/>
    <d v="1899-12-30T01:43:45"/>
    <d v="1899-12-30T02:09:21"/>
    <n v="0"/>
    <n v="0"/>
  </r>
  <r>
    <n v="27"/>
    <x v="39"/>
    <d v="1899-12-30T20:36:18"/>
    <d v="1899-12-30T22:20:01"/>
    <d v="1899-12-30T22:20:03"/>
    <s v="0 min 2s"/>
    <s v="efd-qhwb-ejp"/>
    <x v="19"/>
    <d v="1899-12-30T01:43:45"/>
    <d v="1899-12-30T02:09:23"/>
    <n v="0"/>
    <n v="0"/>
  </r>
  <r>
    <n v="28"/>
    <x v="9"/>
    <d v="1899-12-30T20:36:18"/>
    <d v="1899-12-30T20:36:23"/>
    <d v="1899-12-30T22:20:03"/>
    <s v="1 hr 43 min 36s"/>
    <s v="efd-qhwb-ejp"/>
    <x v="19"/>
    <d v="1899-12-30T01:43:45"/>
    <d v="1899-12-30T02:09:25"/>
    <n v="0"/>
    <n v="0"/>
  </r>
  <r>
    <n v="29"/>
    <x v="21"/>
    <d v="1899-12-30T20:36:18"/>
    <d v="1899-12-30T20:36:23"/>
    <d v="1899-12-30T22:20:03"/>
    <s v="1 hr 43 min 36s"/>
    <s v="efd-qhwb-ejp"/>
    <x v="19"/>
    <d v="1899-12-30T01:43:45"/>
    <d v="1899-12-30T02:09:27"/>
    <n v="0"/>
    <n v="0"/>
  </r>
  <r>
    <n v="30"/>
    <x v="64"/>
    <d v="1899-12-30T20:36:18"/>
    <d v="1899-12-30T20:36:23"/>
    <d v="1899-12-30T22:20:03"/>
    <s v="1 hr 43 min 36s"/>
    <s v="efd-qhwb-ejp"/>
    <x v="19"/>
    <d v="1899-12-30T01:43:45"/>
    <d v="1899-12-30T02:09:29"/>
    <n v="0"/>
    <n v="0"/>
  </r>
  <r>
    <n v="31"/>
    <x v="10"/>
    <d v="1899-12-30T20:36:18"/>
    <d v="1899-12-30T20:36:23"/>
    <d v="1899-12-30T22:20:03"/>
    <s v="1 hr 43 min 38s"/>
    <s v="efd-qhwb-ejp"/>
    <x v="19"/>
    <d v="1899-12-30T01:43:45"/>
    <d v="1899-12-30T02:09:31"/>
    <n v="0"/>
    <n v="0"/>
  </r>
  <r>
    <n v="32"/>
    <x v="52"/>
    <d v="1899-12-30T20:36:18"/>
    <d v="1899-12-30T20:36:23"/>
    <d v="1899-12-30T22:20:03"/>
    <s v="1 hr 43 min 36s"/>
    <s v="efd-qhwb-ejp"/>
    <x v="19"/>
    <d v="1899-12-30T01:43:45"/>
    <d v="1899-12-30T02:09:33"/>
    <n v="0"/>
    <n v="0"/>
  </r>
  <r>
    <n v="33"/>
    <x v="30"/>
    <d v="1899-12-30T20:36:18"/>
    <d v="1899-12-30T20:36:23"/>
    <d v="1899-12-30T22:20:03"/>
    <s v="1 hr 43 min 38s"/>
    <s v="efd-qhwb-ejp"/>
    <x v="19"/>
    <d v="1899-12-30T01:43:45"/>
    <d v="1899-12-30T02:09:35"/>
    <n v="0"/>
    <n v="0"/>
  </r>
  <r>
    <n v="34"/>
    <x v="23"/>
    <d v="1899-12-30T20:36:18"/>
    <d v="1899-12-30T20:36:23"/>
    <d v="1899-12-30T22:20:03"/>
    <s v="1 hr 43 min 36s"/>
    <s v="efd-qhwb-ejp"/>
    <x v="19"/>
    <d v="1899-12-30T01:43:45"/>
    <d v="1899-12-30T02:09:37"/>
    <n v="0"/>
    <n v="0"/>
  </r>
  <r>
    <n v="35"/>
    <x v="34"/>
    <d v="1899-12-30T20:36:18"/>
    <d v="1899-12-30T20:36:23"/>
    <d v="1899-12-30T22:20:03"/>
    <s v="1 hr 43 min 36s"/>
    <s v="efd-qhwb-ejp"/>
    <x v="19"/>
    <d v="1899-12-30T01:43:45"/>
    <d v="1899-12-30T02:09:39"/>
    <n v="0"/>
    <n v="0"/>
  </r>
  <r>
    <n v="36"/>
    <x v="61"/>
    <d v="1899-12-30T20:36:18"/>
    <d v="1899-12-30T20:36:23"/>
    <d v="1899-12-30T22:20:03"/>
    <s v="1 hr 43 min 38s"/>
    <s v="efd-qhwb-ejp"/>
    <x v="19"/>
    <d v="1899-12-30T01:43:45"/>
    <d v="1899-12-30T02:09:41"/>
    <n v="0"/>
    <n v="0"/>
  </r>
  <r>
    <n v="37"/>
    <x v="35"/>
    <d v="1899-12-30T20:36:18"/>
    <d v="1899-12-30T20:36:23"/>
    <d v="1899-12-30T22:20:03"/>
    <s v="1 hr 43 min 36s"/>
    <s v="efd-qhwb-ejp"/>
    <x v="19"/>
    <d v="1899-12-30T01:43:45"/>
    <d v="1899-12-30T02:09:43"/>
    <n v="0"/>
    <n v="0"/>
  </r>
  <r>
    <n v="38"/>
    <x v="40"/>
    <d v="1899-12-30T20:36:18"/>
    <d v="1899-12-30T20:36:23"/>
    <d v="1899-12-30T22:20:03"/>
    <s v="1 hr 43 min 36s"/>
    <s v="efd-qhwb-ejp"/>
    <x v="19"/>
    <d v="1899-12-30T01:43:45"/>
    <d v="1899-12-30T02:09:45"/>
    <n v="0"/>
    <n v="0"/>
  </r>
  <r>
    <n v="39"/>
    <x v="24"/>
    <d v="1899-12-30T20:36:18"/>
    <d v="1899-12-30T20:36:23"/>
    <d v="1899-12-30T22:20:03"/>
    <s v="1 hr 43 min 38s"/>
    <s v="efd-qhwb-ejp"/>
    <x v="19"/>
    <d v="1899-12-30T01:43:45"/>
    <d v="1899-12-30T02:09:47"/>
    <n v="0"/>
    <n v="0"/>
  </r>
  <r>
    <n v="40"/>
    <x v="76"/>
    <d v="1899-12-30T20:36:18"/>
    <d v="1899-12-30T20:36:27"/>
    <d v="1899-12-30T22:20:03"/>
    <s v="1 hr 43 min 32s"/>
    <s v="efd-qhwb-ejp"/>
    <x v="19"/>
    <d v="1899-12-30T01:43:45"/>
    <d v="1899-12-30T02:09:49"/>
    <n v="0"/>
    <n v="0"/>
  </r>
  <r>
    <n v="41"/>
    <x v="36"/>
    <d v="1899-12-30T20:36:18"/>
    <d v="1899-12-30T22:20:01"/>
    <d v="1899-12-30T22:20:03"/>
    <s v="0 min 2s"/>
    <s v="efd-qhwb-ejp"/>
    <x v="19"/>
    <d v="1899-12-30T01:43:45"/>
    <d v="1899-12-30T02:09:51"/>
    <n v="0"/>
    <n v="0"/>
  </r>
  <r>
    <n v="42"/>
    <x v="69"/>
    <d v="1899-12-30T20:36:18"/>
    <d v="1899-12-30T20:36:23"/>
    <d v="1899-12-30T22:20:03"/>
    <s v="1 hr 43 min 36s"/>
    <s v="efd-qhwb-ejp"/>
    <x v="19"/>
    <d v="1899-12-30T01:43:45"/>
    <d v="1899-12-30T02:09:53"/>
    <n v="0"/>
    <n v="0"/>
  </r>
  <r>
    <n v="43"/>
    <x v="67"/>
    <d v="1899-12-30T20:36:18"/>
    <d v="1899-12-30T20:36:46"/>
    <d v="1899-12-30T22:20:03"/>
    <s v="1 hr 43 min 13s"/>
    <s v="efd-qhwb-ejp"/>
    <x v="19"/>
    <d v="1899-12-30T01:43:45"/>
    <d v="1899-12-30T02:09:55"/>
    <n v="0"/>
    <n v="0"/>
  </r>
  <r>
    <n v="1"/>
    <x v="12"/>
    <d v="1899-12-30T20:38:07"/>
    <d v="1899-12-30T22:32:12"/>
    <d v="1899-12-30T22:32:20"/>
    <s v="0 min 8s"/>
    <s v="pou-vdvr-wih"/>
    <x v="20"/>
    <d v="1899-12-30T01:54:13"/>
    <d v="1899-12-30T02:09:57"/>
    <n v="0"/>
    <n v="0"/>
  </r>
  <r>
    <n v="2"/>
    <x v="0"/>
    <d v="1899-12-30T20:38:07"/>
    <d v="1899-12-30T20:38:10"/>
    <d v="1899-12-30T22:32:20"/>
    <s v="1 hr 54 min 2s"/>
    <s v="pou-vdvr-wih"/>
    <x v="20"/>
    <d v="1899-12-30T01:54:13"/>
    <d v="1899-12-30T02:09:58"/>
    <n v="0"/>
    <n v="0"/>
  </r>
  <r>
    <n v="3"/>
    <x v="1"/>
    <d v="1899-12-30T20:38:07"/>
    <d v="1899-12-30T20:38:10"/>
    <d v="1899-12-30T22:32:20"/>
    <s v="1 hr 54 min 8s"/>
    <s v="pou-vdvr-wih"/>
    <x v="20"/>
    <d v="1899-12-30T01:54:13"/>
    <d v="1899-12-30T02:09:59"/>
    <n v="0"/>
    <n v="0"/>
  </r>
  <r>
    <n v="4"/>
    <x v="2"/>
    <d v="1899-12-30T20:38:07"/>
    <d v="1899-12-30T20:38:10"/>
    <d v="1899-12-30T22:32:20"/>
    <s v="1 hr 54 min 6s"/>
    <s v="pou-vdvr-wih"/>
    <x v="20"/>
    <d v="1899-12-30T01:54:13"/>
    <d v="1899-12-30T02:10:00"/>
    <n v="0"/>
    <n v="0"/>
  </r>
  <r>
    <n v="5"/>
    <x v="65"/>
    <d v="1899-12-30T20:38:07"/>
    <d v="1899-12-30T20:38:10"/>
    <d v="1899-12-30T22:32:20"/>
    <s v="1 hr 54 min 2s"/>
    <s v="pou-vdvr-wih"/>
    <x v="20"/>
    <d v="1899-12-30T01:54:13"/>
    <d v="1899-12-30T02:10:02"/>
    <n v="0"/>
    <n v="0"/>
  </r>
  <r>
    <n v="6"/>
    <x v="13"/>
    <d v="1899-12-30T20:38:07"/>
    <d v="1899-12-30T20:38:10"/>
    <d v="1899-12-30T22:32:20"/>
    <s v="1 hr 54 min 8s"/>
    <s v="pou-vdvr-wih"/>
    <x v="20"/>
    <d v="1899-12-30T01:54:13"/>
    <d v="1899-12-30T02:10:03"/>
    <n v="0"/>
    <n v="0"/>
  </r>
  <r>
    <n v="7"/>
    <x v="4"/>
    <d v="1899-12-30T20:38:07"/>
    <d v="1899-12-30T22:32:12"/>
    <d v="1899-12-30T22:32:20"/>
    <s v="0 min 9s"/>
    <s v="pou-vdvr-wih"/>
    <x v="20"/>
    <d v="1899-12-30T01:54:13"/>
    <d v="1899-12-30T02:10:04"/>
    <n v="0"/>
    <n v="0"/>
  </r>
  <r>
    <n v="8"/>
    <x v="31"/>
    <d v="1899-12-30T20:38:07"/>
    <d v="1899-12-30T20:38:10"/>
    <d v="1899-12-30T22:32:20"/>
    <s v="1 hr 53 min 59s"/>
    <s v="pou-vdvr-wih"/>
    <x v="20"/>
    <d v="1899-12-30T01:54:13"/>
    <d v="1899-12-30T02:10:05"/>
    <n v="0"/>
    <n v="0"/>
  </r>
  <r>
    <n v="9"/>
    <x v="27"/>
    <d v="1899-12-30T20:38:07"/>
    <d v="1899-12-30T20:38:10"/>
    <d v="1899-12-30T22:32:20"/>
    <s v="1 hr 53 min 59s"/>
    <s v="pou-vdvr-wih"/>
    <x v="20"/>
    <d v="1899-12-30T01:54:13"/>
    <d v="1899-12-30T02:10:06"/>
    <n v="0"/>
    <n v="0"/>
  </r>
  <r>
    <n v="10"/>
    <x v="72"/>
    <d v="1899-12-30T20:38:07"/>
    <d v="1899-12-30T20:38:10"/>
    <d v="1899-12-30T22:32:20"/>
    <s v="1 hr 53 min 59s"/>
    <s v="pou-vdvr-wih"/>
    <x v="20"/>
    <d v="1899-12-30T01:54:13"/>
    <d v="1899-12-30T02:10:08"/>
    <n v="0"/>
    <n v="0"/>
  </r>
  <r>
    <n v="11"/>
    <x v="77"/>
    <d v="1899-12-30T20:38:07"/>
    <d v="1899-12-30T20:38:10"/>
    <d v="1899-12-30T22:32:20"/>
    <s v="1 min 15s"/>
    <s v="pou-vdvr-wih"/>
    <x v="20"/>
    <d v="1899-12-30T01:54:13"/>
    <d v="1899-12-30T02:10:09"/>
    <n v="0"/>
    <n v="0"/>
  </r>
  <r>
    <n v="12"/>
    <x v="49"/>
    <d v="1899-12-30T20:38:07"/>
    <d v="1899-12-30T20:38:10"/>
    <d v="1899-12-30T22:32:20"/>
    <s v="1 hr 53 min 59s"/>
    <s v="pou-vdvr-wih"/>
    <x v="20"/>
    <d v="1899-12-30T01:54:13"/>
    <d v="1899-12-30T02:10:10"/>
    <n v="0"/>
    <n v="0"/>
  </r>
  <r>
    <n v="13"/>
    <x v="14"/>
    <d v="1899-12-30T20:38:07"/>
    <d v="1899-12-30T20:38:10"/>
    <d v="1899-12-30T22:32:20"/>
    <s v="1 hr 53 min 59s"/>
    <s v="pou-vdvr-wih"/>
    <x v="20"/>
    <d v="1899-12-30T01:54:13"/>
    <d v="1899-12-30T02:10:11"/>
    <n v="0"/>
    <n v="0"/>
  </r>
  <r>
    <n v="14"/>
    <x v="54"/>
    <d v="1899-12-30T20:38:07"/>
    <d v="1899-12-30T20:38:10"/>
    <d v="1899-12-30T22:32:20"/>
    <s v="1 hr 53 min 59s"/>
    <s v="pou-vdvr-wih"/>
    <x v="20"/>
    <d v="1899-12-30T01:54:13"/>
    <d v="1899-12-30T02:10:13"/>
    <n v="0"/>
    <n v="0"/>
  </r>
  <r>
    <n v="15"/>
    <x v="15"/>
    <d v="1899-12-30T20:38:07"/>
    <d v="1899-12-30T20:38:10"/>
    <d v="1899-12-30T22:32:20"/>
    <s v="1 hr 53 min 59s"/>
    <s v="pou-vdvr-wih"/>
    <x v="20"/>
    <d v="1899-12-30T01:54:13"/>
    <d v="1899-12-30T02:10:14"/>
    <n v="0"/>
    <n v="0"/>
  </r>
  <r>
    <n v="16"/>
    <x v="5"/>
    <d v="1899-12-30T20:38:07"/>
    <d v="1899-12-30T20:38:10"/>
    <d v="1899-12-30T22:32:20"/>
    <s v="1 hr 54 min 8s"/>
    <s v="pou-vdvr-wih"/>
    <x v="20"/>
    <d v="1899-12-30T01:54:13"/>
    <d v="1899-12-30T02:10:15"/>
    <n v="0"/>
    <n v="0"/>
  </r>
  <r>
    <n v="17"/>
    <x v="51"/>
    <d v="1899-12-30T20:38:07"/>
    <d v="1899-12-30T20:38:10"/>
    <d v="1899-12-30T22:32:20"/>
    <s v="1 hr 54 min 8s"/>
    <s v="pou-vdvr-wih"/>
    <x v="20"/>
    <d v="1899-12-30T01:54:13"/>
    <d v="1899-12-30T02:10:16"/>
    <n v="0"/>
    <n v="0"/>
  </r>
  <r>
    <n v="18"/>
    <x v="78"/>
    <d v="1899-12-30T20:38:07"/>
    <d v="1899-12-30T20:38:10"/>
    <d v="1899-12-30T22:32:20"/>
    <s v="1 hr 53 min 59s"/>
    <s v="pou-vdvr-wih"/>
    <x v="20"/>
    <d v="1899-12-30T01:54:13"/>
    <d v="1899-12-30T02:10:18"/>
    <n v="0"/>
    <n v="0"/>
  </r>
  <r>
    <n v="19"/>
    <x v="42"/>
    <d v="1899-12-30T20:38:07"/>
    <d v="1899-12-30T20:38:10"/>
    <d v="1899-12-30T22:32:20"/>
    <s v="1 hr 53 min 59s"/>
    <s v="pou-vdvr-wih"/>
    <x v="20"/>
    <d v="1899-12-30T01:54:13"/>
    <d v="1899-12-30T02:10:19"/>
    <n v="0"/>
    <n v="0"/>
  </r>
  <r>
    <n v="20"/>
    <x v="79"/>
    <d v="1899-12-30T20:38:07"/>
    <d v="1899-12-30T20:38:10"/>
    <d v="1899-12-30T22:32:20"/>
    <s v="1 hr 54 min 8s"/>
    <s v="pou-vdvr-wih"/>
    <x v="20"/>
    <d v="1899-12-30T01:54:13"/>
    <d v="1899-12-30T02:10:20"/>
    <n v="0"/>
    <n v="0"/>
  </r>
  <r>
    <n v="21"/>
    <x v="68"/>
    <d v="1899-12-30T20:38:07"/>
    <d v="1899-12-30T22:32:12"/>
    <d v="1899-12-30T22:32:20"/>
    <s v="0 min 9s"/>
    <s v="pou-vdvr-wih"/>
    <x v="20"/>
    <d v="1899-12-30T01:54:13"/>
    <d v="1899-12-30T02:10:22"/>
    <n v="0"/>
    <n v="0"/>
  </r>
  <r>
    <n v="22"/>
    <x v="6"/>
    <d v="1899-12-30T20:38:07"/>
    <d v="1899-12-30T20:38:10"/>
    <d v="1899-12-30T22:32:20"/>
    <s v="1 hr 53 min 59s"/>
    <s v="pou-vdvr-wih"/>
    <x v="20"/>
    <d v="1899-12-30T01:54:13"/>
    <d v="1899-12-30T02:10:23"/>
    <n v="0"/>
    <n v="0"/>
  </r>
  <r>
    <n v="23"/>
    <x v="17"/>
    <d v="1899-12-30T20:38:07"/>
    <d v="1899-12-30T20:38:10"/>
    <d v="1899-12-30T22:32:20"/>
    <s v="1 hr 54 min 8s"/>
    <s v="pou-vdvr-wih"/>
    <x v="20"/>
    <d v="1899-12-30T01:54:13"/>
    <d v="1899-12-30T02:10:24"/>
    <n v="0"/>
    <n v="0"/>
  </r>
  <r>
    <n v="24"/>
    <x v="63"/>
    <d v="1899-12-30T20:38:07"/>
    <d v="1899-12-30T22:32:12"/>
    <d v="1899-12-30T22:32:20"/>
    <s v="0 min 9s"/>
    <s v="pou-vdvr-wih"/>
    <x v="20"/>
    <d v="1899-12-30T01:54:13"/>
    <d v="1899-12-30T02:10:25"/>
    <n v="0"/>
    <n v="0"/>
  </r>
  <r>
    <n v="25"/>
    <x v="43"/>
    <d v="1899-12-30T20:38:07"/>
    <d v="1899-12-30T20:38:10"/>
    <d v="1899-12-30T22:32:20"/>
    <s v="1 hr 54 min 8s"/>
    <s v="pou-vdvr-wih"/>
    <x v="20"/>
    <d v="1899-12-30T01:54:13"/>
    <d v="1899-12-30T02:10:27"/>
    <n v="0"/>
    <n v="0"/>
  </r>
  <r>
    <n v="26"/>
    <x v="73"/>
    <d v="1899-12-30T20:38:07"/>
    <d v="1899-12-30T20:38:10"/>
    <d v="1899-12-30T22:32:20"/>
    <s v="1 hr 53 min 59s"/>
    <s v="pou-vdvr-wih"/>
    <x v="20"/>
    <d v="1899-12-30T01:54:13"/>
    <d v="1899-12-30T02:10:28"/>
    <n v="0"/>
    <n v="0"/>
  </r>
  <r>
    <n v="27"/>
    <x v="7"/>
    <d v="1899-12-30T20:38:07"/>
    <d v="1899-12-30T20:38:10"/>
    <d v="1899-12-30T22:32:20"/>
    <s v="1 hr 54 min 8s"/>
    <s v="pou-vdvr-wih"/>
    <x v="20"/>
    <d v="1899-12-30T01:54:13"/>
    <d v="1899-12-30T02:10:29"/>
    <n v="0"/>
    <n v="0"/>
  </r>
  <r>
    <n v="28"/>
    <x v="18"/>
    <d v="1899-12-30T20:38:07"/>
    <d v="1899-12-30T20:38:10"/>
    <d v="1899-12-30T22:32:20"/>
    <s v="1 hr 53 min 59s"/>
    <s v="pou-vdvr-wih"/>
    <x v="20"/>
    <d v="1899-12-30T01:54:13"/>
    <d v="1899-12-30T02:10:31"/>
    <n v="0"/>
    <n v="0"/>
  </r>
  <r>
    <n v="29"/>
    <x v="19"/>
    <d v="1899-12-30T20:38:07"/>
    <d v="1899-12-30T20:38:10"/>
    <d v="1899-12-30T22:32:20"/>
    <s v="1 hr 53 min 59s"/>
    <s v="pou-vdvr-wih"/>
    <x v="20"/>
    <d v="1899-12-30T01:54:13"/>
    <d v="1899-12-30T02:10:32"/>
    <n v="0"/>
    <n v="0"/>
  </r>
  <r>
    <n v="30"/>
    <x v="38"/>
    <d v="1899-12-30T20:38:07"/>
    <d v="1899-12-30T20:38:10"/>
    <d v="1899-12-30T22:32:20"/>
    <s v="1 hr 54 min 8s"/>
    <s v="pou-vdvr-wih"/>
    <x v="20"/>
    <d v="1899-12-30T01:54:13"/>
    <d v="1899-12-30T02:10:33"/>
    <n v="0"/>
    <n v="0"/>
  </r>
  <r>
    <n v="31"/>
    <x v="48"/>
    <d v="1899-12-30T20:38:07"/>
    <d v="1899-12-30T20:38:10"/>
    <d v="1899-12-30T22:32:20"/>
    <s v="1 hr 53 min 59s"/>
    <s v="pou-vdvr-wih"/>
    <x v="20"/>
    <d v="1899-12-30T01:54:13"/>
    <d v="1899-12-30T02:10:34"/>
    <n v="0"/>
    <n v="0"/>
  </r>
  <r>
    <n v="32"/>
    <x v="59"/>
    <d v="1899-12-30T20:38:07"/>
    <d v="1899-12-30T20:38:10"/>
    <d v="1899-12-30T22:32:20"/>
    <s v="1 hr 54 min 8s"/>
    <s v="pou-vdvr-wih"/>
    <x v="20"/>
    <d v="1899-12-30T01:54:13"/>
    <d v="1899-12-30T02:10:36"/>
    <n v="0"/>
    <n v="0"/>
  </r>
  <r>
    <n v="33"/>
    <x v="8"/>
    <d v="1899-12-30T20:38:07"/>
    <d v="1899-12-30T20:38:10"/>
    <d v="1899-12-30T22:32:20"/>
    <s v="1 hr 54 min 8s"/>
    <s v="pou-vdvr-wih"/>
    <x v="20"/>
    <d v="1899-12-30T01:54:13"/>
    <d v="1899-12-30T02:10:37"/>
    <n v="0"/>
    <n v="0"/>
  </r>
  <r>
    <n v="34"/>
    <x v="29"/>
    <d v="1899-12-30T20:38:07"/>
    <d v="1899-12-30T22:32:12"/>
    <d v="1899-12-30T22:32:20"/>
    <s v="0 min 1s"/>
    <s v="pou-vdvr-wih"/>
    <x v="20"/>
    <d v="1899-12-30T01:54:13"/>
    <d v="1899-12-30T02:10:38"/>
    <n v="0"/>
    <n v="0"/>
  </r>
  <r>
    <n v="35"/>
    <x v="80"/>
    <d v="1899-12-30T20:38:07"/>
    <d v="1899-12-30T22:32:12"/>
    <d v="1899-12-30T22:32:20"/>
    <s v="0 min 9s"/>
    <s v="pou-vdvr-wih"/>
    <x v="20"/>
    <d v="1899-12-30T01:54:13"/>
    <d v="1899-12-30T02:10:40"/>
    <n v="0"/>
    <n v="0"/>
  </r>
  <r>
    <n v="36"/>
    <x v="39"/>
    <d v="1899-12-30T20:38:07"/>
    <d v="1899-12-30T20:38:10"/>
    <d v="1899-12-30T22:32:20"/>
    <s v="1 min 9s"/>
    <s v="pou-vdvr-wih"/>
    <x v="20"/>
    <d v="1899-12-30T01:54:13"/>
    <d v="1899-12-30T02:10:41"/>
    <n v="0"/>
    <n v="0"/>
  </r>
  <r>
    <n v="37"/>
    <x v="9"/>
    <d v="1899-12-30T20:38:07"/>
    <d v="1899-12-30T20:38:10"/>
    <d v="1899-12-30T22:32:20"/>
    <s v="1 hr 53 min 59s"/>
    <s v="pou-vdvr-wih"/>
    <x v="20"/>
    <d v="1899-12-30T01:54:13"/>
    <d v="1899-12-30T02:10:42"/>
    <n v="0"/>
    <n v="0"/>
  </r>
  <r>
    <n v="38"/>
    <x v="21"/>
    <d v="1899-12-30T20:38:07"/>
    <d v="1899-12-30T20:38:10"/>
    <d v="1899-12-30T22:32:20"/>
    <s v="1 hr 53 min 59s"/>
    <s v="pou-vdvr-wih"/>
    <x v="20"/>
    <d v="1899-12-30T01:54:13"/>
    <d v="1899-12-30T02:10:44"/>
    <n v="0"/>
    <n v="0"/>
  </r>
  <r>
    <n v="39"/>
    <x v="10"/>
    <d v="1899-12-30T20:38:07"/>
    <d v="1899-12-30T20:38:10"/>
    <d v="1899-12-30T22:32:20"/>
    <s v="1 hr 54 min 8s"/>
    <s v="pou-vdvr-wih"/>
    <x v="20"/>
    <d v="1899-12-30T01:54:13"/>
    <d v="1899-12-30T02:10:45"/>
    <n v="0"/>
    <n v="0"/>
  </r>
  <r>
    <n v="40"/>
    <x v="52"/>
    <d v="1899-12-30T20:38:07"/>
    <d v="1899-12-30T20:38:10"/>
    <d v="1899-12-30T22:32:20"/>
    <s v="1 hr 54 min 8s"/>
    <s v="pou-vdvr-wih"/>
    <x v="20"/>
    <d v="1899-12-30T01:54:13"/>
    <d v="1899-12-30T02:10:46"/>
    <n v="0"/>
    <n v="0"/>
  </r>
  <r>
    <n v="41"/>
    <x v="55"/>
    <d v="1899-12-30T20:38:07"/>
    <d v="1899-12-30T20:38:10"/>
    <d v="1899-12-30T22:32:20"/>
    <s v="1 hr 53 min 59s"/>
    <s v="pou-vdvr-wih"/>
    <x v="20"/>
    <d v="1899-12-30T01:54:13"/>
    <d v="1899-12-30T02:10:48"/>
    <n v="0"/>
    <n v="0"/>
  </r>
  <r>
    <n v="42"/>
    <x v="22"/>
    <d v="1899-12-30T20:38:07"/>
    <d v="1899-12-30T20:38:10"/>
    <d v="1899-12-30T22:32:20"/>
    <s v="1 hr 54 min 8s"/>
    <s v="pou-vdvr-wih"/>
    <x v="20"/>
    <d v="1899-12-30T01:54:13"/>
    <d v="1899-12-30T02:10:49"/>
    <n v="0"/>
    <n v="0"/>
  </r>
  <r>
    <n v="43"/>
    <x v="30"/>
    <d v="1899-12-30T20:38:07"/>
    <d v="1899-12-30T20:38:10"/>
    <d v="1899-12-30T22:32:20"/>
    <s v="1 hr 53 min 59s"/>
    <s v="pou-vdvr-wih"/>
    <x v="20"/>
    <d v="1899-12-30T01:54:13"/>
    <d v="1899-12-30T02:10:50"/>
    <n v="0"/>
    <n v="0"/>
  </r>
  <r>
    <n v="44"/>
    <x v="23"/>
    <d v="1899-12-30T20:38:07"/>
    <d v="1899-12-30T20:38:10"/>
    <d v="1899-12-30T22:32:20"/>
    <s v="1 hr 53 min 59s"/>
    <s v="pou-vdvr-wih"/>
    <x v="20"/>
    <d v="1899-12-30T01:54:13"/>
    <d v="1899-12-30T02:10:52"/>
    <n v="0"/>
    <n v="0"/>
  </r>
  <r>
    <n v="45"/>
    <x v="34"/>
    <d v="1899-12-30T20:38:07"/>
    <d v="1899-12-30T20:38:10"/>
    <d v="1899-12-30T22:32:20"/>
    <s v="1 hr 53 min 59s"/>
    <s v="pou-vdvr-wih"/>
    <x v="20"/>
    <d v="1899-12-30T01:54:13"/>
    <d v="1899-12-30T02:10:53"/>
    <n v="0"/>
    <n v="0"/>
  </r>
  <r>
    <n v="46"/>
    <x v="61"/>
    <d v="1899-12-30T20:38:07"/>
    <d v="1899-12-30T20:38:10"/>
    <d v="1899-12-30T22:32:20"/>
    <s v="1 hr 54 min 8s"/>
    <s v="pou-vdvr-wih"/>
    <x v="20"/>
    <d v="1899-12-30T01:54:13"/>
    <d v="1899-12-30T02:10:54"/>
    <n v="0"/>
    <n v="0"/>
  </r>
  <r>
    <n v="47"/>
    <x v="35"/>
    <d v="1899-12-30T20:38:07"/>
    <d v="1899-12-30T20:38:10"/>
    <d v="1899-12-30T22:32:20"/>
    <s v="1 hr 54 min 8s"/>
    <s v="pou-vdvr-wih"/>
    <x v="20"/>
    <d v="1899-12-30T01:54:13"/>
    <d v="1899-12-30T02:10:56"/>
    <n v="0"/>
    <n v="0"/>
  </r>
  <r>
    <n v="48"/>
    <x v="24"/>
    <d v="1899-12-30T20:38:07"/>
    <d v="1899-12-30T20:38:10"/>
    <d v="1899-12-30T22:32:20"/>
    <s v="1 hr 53 min 59s"/>
    <s v="pou-vdvr-wih"/>
    <x v="20"/>
    <d v="1899-12-30T01:54:13"/>
    <d v="1899-12-30T02:10:57"/>
    <n v="0"/>
    <n v="0"/>
  </r>
  <r>
    <n v="49"/>
    <x v="62"/>
    <d v="1899-12-30T20:38:07"/>
    <d v="1899-12-30T20:38:10"/>
    <d v="1899-12-30T22:32:20"/>
    <s v="1 hr 53 min 59s"/>
    <s v="pou-vdvr-wih"/>
    <x v="20"/>
    <d v="1899-12-30T01:54:13"/>
    <d v="1899-12-30T02:10:59"/>
    <n v="0"/>
    <n v="0"/>
  </r>
  <r>
    <n v="50"/>
    <x v="36"/>
    <d v="1899-12-30T20:38:07"/>
    <d v="1899-12-30T22:32:12"/>
    <d v="1899-12-30T22:32:20"/>
    <s v="0 min 9s"/>
    <s v="pou-vdvr-wih"/>
    <x v="20"/>
    <d v="1899-12-30T01:54:13"/>
    <d v="1899-12-30T02:11:00"/>
    <n v="0"/>
    <n v="0"/>
  </r>
  <r>
    <n v="51"/>
    <x v="69"/>
    <d v="1899-12-30T20:38:07"/>
    <d v="1899-12-30T20:38:10"/>
    <d v="1899-12-30T22:32:20"/>
    <s v="1 hr 53 min 59s"/>
    <s v="pou-vdvr-wih"/>
    <x v="20"/>
    <d v="1899-12-30T01:54:13"/>
    <d v="1899-12-30T02:11:01"/>
    <n v="0"/>
    <n v="0"/>
  </r>
  <r>
    <n v="52"/>
    <x v="67"/>
    <d v="1899-12-30T20:38:07"/>
    <d v="1899-12-30T20:38:10"/>
    <d v="1899-12-30T22:32:20"/>
    <s v="1 hr 53 min 59s"/>
    <s v="pou-vdvr-wih"/>
    <x v="20"/>
    <d v="1899-12-30T01:54:13"/>
    <d v="1899-12-30T02:11:03"/>
    <n v="0"/>
    <n v="0"/>
  </r>
  <r>
    <n v="53"/>
    <x v="11"/>
    <d v="1899-12-30T20:38:07"/>
    <d v="1899-12-30T20:38:10"/>
    <d v="1899-12-30T22:32:20"/>
    <s v="1 hr 54 min 8s"/>
    <s v="pou-vdvr-wih"/>
    <x v="20"/>
    <d v="1899-12-30T01:54:13"/>
    <d v="1899-12-30T02:11:04"/>
    <n v="0"/>
    <n v="0"/>
  </r>
  <r>
    <n v="1"/>
    <x v="0"/>
    <d v="1899-12-30T20:37:01"/>
    <d v="1899-12-30T20:37:02"/>
    <d v="1899-12-30T23:14:25"/>
    <s v="2 hr 36 min 39s"/>
    <s v="vum-zrrm-fqa"/>
    <x v="21"/>
    <d v="1899-12-30T02:37:24"/>
    <d v="1899-12-30T02:11:06"/>
    <n v="0"/>
    <n v="0"/>
  </r>
  <r>
    <n v="2"/>
    <x v="2"/>
    <d v="1899-12-30T20:37:01"/>
    <d v="1899-12-30T20:37:02"/>
    <d v="1899-12-30T23:14:25"/>
    <s v="2 hr 37 min 15s"/>
    <s v="vum-zrrm-fqa"/>
    <x v="21"/>
    <d v="1899-12-30T02:37:24"/>
    <d v="1899-12-30T02:11:03"/>
    <n v="0"/>
    <n v="0"/>
  </r>
  <r>
    <n v="3"/>
    <x v="65"/>
    <d v="1899-12-30T20:37:01"/>
    <d v="1899-12-30T22:33:37"/>
    <d v="1899-12-30T23:14:25"/>
    <s v="32 min 1s"/>
    <s v="vum-zrrm-fqa"/>
    <x v="21"/>
    <d v="1899-12-30T02:37:24"/>
    <d v="1899-12-30T02:11:01"/>
    <n v="0"/>
    <n v="0"/>
  </r>
  <r>
    <n v="4"/>
    <x v="13"/>
    <d v="1899-12-30T20:37:01"/>
    <d v="1899-12-30T20:37:02"/>
    <d v="1899-12-30T23:14:25"/>
    <s v="1 hr 56 min 29s"/>
    <s v="vum-zrrm-fqa"/>
    <x v="21"/>
    <d v="1899-12-30T02:37:24"/>
    <d v="1899-12-30T02:10:59"/>
    <n v="0"/>
    <n v="0"/>
  </r>
  <r>
    <n v="5"/>
    <x v="31"/>
    <d v="1899-12-30T20:37:01"/>
    <d v="1899-12-30T20:37:02"/>
    <d v="1899-12-30T23:14:25"/>
    <s v="1 hr 56 min 29s"/>
    <s v="vum-zrrm-fqa"/>
    <x v="21"/>
    <d v="1899-12-30T02:37:24"/>
    <d v="1899-12-30T02:10:57"/>
    <n v="0"/>
    <n v="0"/>
  </r>
  <r>
    <n v="6"/>
    <x v="27"/>
    <d v="1899-12-30T20:37:01"/>
    <d v="1899-12-30T20:37:02"/>
    <d v="1899-12-30T23:14:25"/>
    <s v="2 hr 5 min 33s"/>
    <s v="vum-zrrm-fqa"/>
    <x v="21"/>
    <d v="1899-12-30T02:37:24"/>
    <d v="1899-12-30T02:10:55"/>
    <n v="0"/>
    <n v="0"/>
  </r>
  <r>
    <n v="7"/>
    <x v="37"/>
    <d v="1899-12-30T20:37:01"/>
    <d v="1899-12-30T22:33:37"/>
    <d v="1899-12-30T23:14:25"/>
    <s v="22 min 28s"/>
    <s v="vum-zrrm-fqa"/>
    <x v="21"/>
    <d v="1899-12-30T02:37:24"/>
    <d v="1899-12-30T02:10:52"/>
    <n v="0"/>
    <n v="0"/>
  </r>
  <r>
    <n v="8"/>
    <x v="72"/>
    <d v="1899-12-30T20:37:01"/>
    <d v="1899-12-30T20:37:02"/>
    <d v="1899-12-30T23:14:25"/>
    <s v="1 hr 56 min 29s"/>
    <s v="vum-zrrm-fqa"/>
    <x v="21"/>
    <d v="1899-12-30T02:37:24"/>
    <d v="1899-12-30T02:10:50"/>
    <n v="0"/>
    <n v="0"/>
  </r>
  <r>
    <n v="9"/>
    <x v="49"/>
    <d v="1899-12-30T20:37:01"/>
    <d v="1899-12-30T20:37:02"/>
    <d v="1899-12-30T23:14:25"/>
    <s v="2 hr 37 min 12s"/>
    <s v="vum-zrrm-fqa"/>
    <x v="21"/>
    <d v="1899-12-30T02:37:24"/>
    <d v="1899-12-30T02:10:48"/>
    <n v="0"/>
    <n v="0"/>
  </r>
  <r>
    <n v="10"/>
    <x v="14"/>
    <d v="1899-12-30T20:37:01"/>
    <d v="1899-12-30T20:37:02"/>
    <d v="1899-12-30T23:14:25"/>
    <s v="1 hr 59 min 44s"/>
    <s v="vum-zrrm-fqa"/>
    <x v="21"/>
    <d v="1899-12-30T02:37:24"/>
    <d v="1899-12-30T02:10:46"/>
    <n v="0"/>
    <n v="0"/>
  </r>
  <r>
    <n v="11"/>
    <x v="54"/>
    <d v="1899-12-30T20:37:01"/>
    <d v="1899-12-30T20:37:02"/>
    <d v="1899-12-30T23:14:25"/>
    <s v="1 hr 56 min 29s"/>
    <s v="vum-zrrm-fqa"/>
    <x v="21"/>
    <d v="1899-12-30T02:37:24"/>
    <d v="1899-12-30T02:10:43"/>
    <n v="0"/>
    <n v="0"/>
  </r>
  <r>
    <n v="12"/>
    <x v="56"/>
    <d v="1899-12-30T20:37:01"/>
    <d v="1899-12-30T22:33:37"/>
    <d v="1899-12-30T23:14:25"/>
    <s v="11 min 49s"/>
    <s v="vum-zrrm-fqa"/>
    <x v="21"/>
    <d v="1899-12-30T02:37:24"/>
    <d v="1899-12-30T02:10:41"/>
    <n v="0"/>
    <n v="0"/>
  </r>
  <r>
    <n v="13"/>
    <x v="5"/>
    <d v="1899-12-30T20:37:01"/>
    <d v="1899-12-30T20:37:02"/>
    <d v="1899-12-30T23:14:25"/>
    <s v="2 hr 37 min 15s"/>
    <s v="vum-zrrm-fqa"/>
    <x v="21"/>
    <d v="1899-12-30T02:37:24"/>
    <d v="1899-12-30T02:10:39"/>
    <n v="0"/>
    <n v="0"/>
  </r>
  <r>
    <n v="14"/>
    <x v="50"/>
    <d v="1899-12-30T20:37:01"/>
    <d v="1899-12-30T20:37:02"/>
    <d v="1899-12-30T23:14:25"/>
    <s v="2 hr 24 min 29s"/>
    <s v="vum-zrrm-fqa"/>
    <x v="21"/>
    <d v="1899-12-30T02:37:24"/>
    <d v="1899-12-30T02:10:37"/>
    <n v="0"/>
    <n v="0"/>
  </r>
  <r>
    <n v="15"/>
    <x v="51"/>
    <d v="1899-12-30T20:37:01"/>
    <d v="1899-12-30T20:37:02"/>
    <d v="1899-12-30T23:14:25"/>
    <s v="2 hr 19 min 59s"/>
    <s v="vum-zrrm-fqa"/>
    <x v="21"/>
    <d v="1899-12-30T02:37:24"/>
    <d v="1899-12-30T02:10:35"/>
    <n v="0"/>
    <n v="0"/>
  </r>
  <r>
    <n v="16"/>
    <x v="78"/>
    <d v="1899-12-30T20:37:01"/>
    <d v="1899-12-30T20:37:02"/>
    <d v="1899-12-30T23:14:25"/>
    <s v="1 hr 56 min 29s"/>
    <s v="vum-zrrm-fqa"/>
    <x v="21"/>
    <d v="1899-12-30T02:37:24"/>
    <d v="1899-12-30T02:10:32"/>
    <n v="0"/>
    <n v="0"/>
  </r>
  <r>
    <n v="17"/>
    <x v="42"/>
    <d v="1899-12-30T20:37:01"/>
    <d v="1899-12-30T20:37:02"/>
    <d v="1899-12-30T23:14:25"/>
    <s v="1 hr 56 min 29s"/>
    <s v="vum-zrrm-fqa"/>
    <x v="21"/>
    <d v="1899-12-30T02:37:24"/>
    <d v="1899-12-30T02:10:30"/>
    <n v="0"/>
    <n v="0"/>
  </r>
  <r>
    <n v="18"/>
    <x v="68"/>
    <d v="1899-12-30T20:37:01"/>
    <d v="1899-12-30T20:37:02"/>
    <d v="1899-12-30T23:14:25"/>
    <s v="1 hr 56 min 29s"/>
    <s v="vum-zrrm-fqa"/>
    <x v="21"/>
    <d v="1899-12-30T02:37:24"/>
    <d v="1899-12-30T02:10:28"/>
    <n v="0"/>
    <n v="0"/>
  </r>
  <r>
    <n v="19"/>
    <x v="17"/>
    <d v="1899-12-30T20:37:01"/>
    <d v="1899-12-30T22:33:37"/>
    <d v="1899-12-30T23:14:25"/>
    <s v="40 min 46s"/>
    <s v="vum-zrrm-fqa"/>
    <x v="21"/>
    <d v="1899-12-30T02:37:24"/>
    <d v="1899-12-30T02:10:25"/>
    <n v="0"/>
    <n v="0"/>
  </r>
  <r>
    <n v="20"/>
    <x v="63"/>
    <d v="1899-12-30T20:37:01"/>
    <d v="1899-12-30T22:33:37"/>
    <d v="1899-12-30T23:14:25"/>
    <s v="40 min 46s"/>
    <s v="vum-zrrm-fqa"/>
    <x v="21"/>
    <d v="1899-12-30T02:37:24"/>
    <d v="1899-12-30T02:10:23"/>
    <n v="0"/>
    <n v="0"/>
  </r>
  <r>
    <n v="21"/>
    <x v="43"/>
    <d v="1899-12-30T20:37:01"/>
    <d v="1899-12-30T20:37:02"/>
    <d v="1899-12-30T23:14:25"/>
    <s v="1 hr 56 min 29s"/>
    <s v="vum-zrrm-fqa"/>
    <x v="21"/>
    <d v="1899-12-30T02:37:24"/>
    <d v="1899-12-30T02:10:21"/>
    <n v="0"/>
    <n v="0"/>
  </r>
  <r>
    <n v="22"/>
    <x v="73"/>
    <d v="1899-12-30T20:37:01"/>
    <d v="1899-12-30T20:37:02"/>
    <d v="1899-12-30T23:14:25"/>
    <s v="2 hr 12 min 43s"/>
    <s v="vum-zrrm-fqa"/>
    <x v="21"/>
    <d v="1899-12-30T02:37:24"/>
    <d v="1899-12-30T02:10:19"/>
    <n v="0"/>
    <n v="0"/>
  </r>
  <r>
    <n v="23"/>
    <x v="28"/>
    <d v="1899-12-30T20:37:01"/>
    <d v="1899-12-30T20:37:02"/>
    <d v="1899-12-30T23:14:25"/>
    <s v="2 hr 5 min 1s"/>
    <s v="vum-zrrm-fqa"/>
    <x v="21"/>
    <d v="1899-12-30T02:37:24"/>
    <d v="1899-12-30T02:10:16"/>
    <n v="0"/>
    <n v="0"/>
  </r>
  <r>
    <n v="24"/>
    <x v="7"/>
    <d v="1899-12-30T20:37:01"/>
    <d v="1899-12-30T20:37:02"/>
    <d v="1899-12-30T23:14:25"/>
    <s v="2 hr 37 min 15s"/>
    <s v="vum-zrrm-fqa"/>
    <x v="21"/>
    <d v="1899-12-30T02:37:24"/>
    <d v="1899-12-30T02:10:14"/>
    <n v="0"/>
    <n v="0"/>
  </r>
  <r>
    <n v="25"/>
    <x v="18"/>
    <d v="1899-12-30T20:37:01"/>
    <d v="1899-12-30T20:37:02"/>
    <d v="1899-12-30T23:14:25"/>
    <s v="1 hr 56 min 29s"/>
    <s v="vum-zrrm-fqa"/>
    <x v="21"/>
    <d v="1899-12-30T02:37:24"/>
    <d v="1899-12-30T02:10:12"/>
    <n v="0"/>
    <n v="0"/>
  </r>
  <r>
    <n v="26"/>
    <x v="19"/>
    <d v="1899-12-30T20:37:01"/>
    <d v="1899-12-30T22:33:37"/>
    <d v="1899-12-30T23:14:25"/>
    <s v="18 min 16s"/>
    <s v="vum-zrrm-fqa"/>
    <x v="21"/>
    <d v="1899-12-30T02:37:24"/>
    <d v="1899-12-30T02:10:09"/>
    <n v="0"/>
    <n v="0"/>
  </r>
  <r>
    <n v="27"/>
    <x v="38"/>
    <d v="1899-12-30T20:37:01"/>
    <d v="1899-12-30T20:37:02"/>
    <d v="1899-12-30T23:14:25"/>
    <s v="2 hr 5 min 1s"/>
    <s v="vum-zrrm-fqa"/>
    <x v="21"/>
    <d v="1899-12-30T02:37:24"/>
    <d v="1899-12-30T02:10:07"/>
    <n v="0"/>
    <n v="0"/>
  </r>
  <r>
    <n v="28"/>
    <x v="59"/>
    <d v="1899-12-30T20:37:01"/>
    <d v="1899-12-30T20:37:02"/>
    <d v="1899-12-30T23:14:25"/>
    <s v="1 hr 56 min 29s"/>
    <s v="vum-zrrm-fqa"/>
    <x v="21"/>
    <d v="1899-12-30T02:37:24"/>
    <d v="1899-12-30T02:10:05"/>
    <n v="0"/>
    <n v="0"/>
  </r>
  <r>
    <n v="29"/>
    <x v="8"/>
    <d v="1899-12-30T20:37:01"/>
    <d v="1899-12-30T22:33:37"/>
    <d v="1899-12-30T23:14:25"/>
    <s v="40 min 46s"/>
    <s v="vum-zrrm-fqa"/>
    <x v="21"/>
    <d v="1899-12-30T02:37:24"/>
    <d v="1899-12-30T02:10:02"/>
    <n v="0"/>
    <n v="0"/>
  </r>
  <r>
    <n v="30"/>
    <x v="20"/>
    <d v="1899-12-30T20:37:01"/>
    <d v="1899-12-30T22:33:37"/>
    <d v="1899-12-30T23:14:25"/>
    <s v="40 min 46s"/>
    <s v="vum-zrrm-fqa"/>
    <x v="21"/>
    <d v="1899-12-30T02:37:24"/>
    <d v="1899-12-30T02:10:00"/>
    <n v="0"/>
    <n v="0"/>
  </r>
  <r>
    <n v="31"/>
    <x v="39"/>
    <d v="1899-12-30T20:37:01"/>
    <d v="1899-12-30T20:37:02"/>
    <d v="1899-12-30T23:14:25"/>
    <s v="1 hr 56 min 45s"/>
    <s v="vum-zrrm-fqa"/>
    <x v="21"/>
    <d v="1899-12-30T02:37:24"/>
    <d v="1899-12-30T02:09:58"/>
    <n v="0"/>
    <n v="0"/>
  </r>
  <r>
    <n v="32"/>
    <x v="9"/>
    <d v="1899-12-30T20:37:01"/>
    <d v="1899-12-30T20:37:02"/>
    <d v="1899-12-30T23:14:25"/>
    <s v="2 hr 31 min 59s"/>
    <s v="vum-zrrm-fqa"/>
    <x v="21"/>
    <d v="1899-12-30T02:37:24"/>
    <d v="1899-12-30T02:09:55"/>
    <n v="0"/>
    <n v="0"/>
  </r>
  <r>
    <n v="33"/>
    <x v="10"/>
    <d v="1899-12-30T20:37:01"/>
    <d v="1899-12-30T20:37:02"/>
    <d v="1899-12-30T23:14:25"/>
    <s v="2 hr 37 min 15s"/>
    <s v="vum-zrrm-fqa"/>
    <x v="21"/>
    <d v="1899-12-30T02:37:24"/>
    <d v="1899-12-30T02:09:53"/>
    <n v="0"/>
    <n v="0"/>
  </r>
  <r>
    <n v="34"/>
    <x v="52"/>
    <d v="1899-12-30T20:37:01"/>
    <d v="1899-12-30T22:33:37"/>
    <d v="1899-12-30T23:14:25"/>
    <s v="14 min 8s"/>
    <s v="vum-zrrm-fqa"/>
    <x v="21"/>
    <d v="1899-12-30T02:37:24"/>
    <d v="1899-12-30T02:09:50"/>
    <n v="0"/>
    <n v="0"/>
  </r>
  <r>
    <n v="35"/>
    <x v="55"/>
    <d v="1899-12-30T20:37:01"/>
    <d v="1899-12-30T20:37:02"/>
    <d v="1899-12-30T23:14:25"/>
    <s v="2 hr 9 min 54s"/>
    <s v="vum-zrrm-fqa"/>
    <x v="21"/>
    <d v="1899-12-30T02:37:24"/>
    <d v="1899-12-30T02:09:48"/>
    <n v="0"/>
    <n v="0"/>
  </r>
  <r>
    <n v="36"/>
    <x v="22"/>
    <d v="1899-12-30T20:37:01"/>
    <d v="1899-12-30T20:37:02"/>
    <d v="1899-12-30T23:14:25"/>
    <s v="2 hr 12 min 11s"/>
    <s v="vum-zrrm-fqa"/>
    <x v="21"/>
    <d v="1899-12-30T02:37:24"/>
    <d v="1899-12-30T02:09:46"/>
    <n v="0"/>
    <n v="0"/>
  </r>
  <r>
    <n v="37"/>
    <x v="30"/>
    <d v="1899-12-30T20:37:01"/>
    <d v="1899-12-30T20:37:02"/>
    <d v="1899-12-30T23:14:25"/>
    <s v="2 hr 30 min 40s"/>
    <s v="vum-zrrm-fqa"/>
    <x v="21"/>
    <d v="1899-12-30T02:37:24"/>
    <d v="1899-12-30T02:09:43"/>
    <n v="0"/>
    <n v="0"/>
  </r>
  <r>
    <n v="38"/>
    <x v="23"/>
    <d v="1899-12-30T20:37:01"/>
    <d v="1899-12-30T22:33:37"/>
    <d v="1899-12-30T23:14:25"/>
    <s v="24 min 7s"/>
    <s v="vum-zrrm-fqa"/>
    <x v="21"/>
    <d v="1899-12-30T02:37:24"/>
    <d v="1899-12-30T02:09:41"/>
    <n v="0"/>
    <n v="0"/>
  </r>
  <r>
    <n v="39"/>
    <x v="34"/>
    <d v="1899-12-30T20:37:01"/>
    <d v="1899-12-30T20:37:02"/>
    <d v="1899-12-30T23:14:25"/>
    <s v="2 hr 8 min 15s"/>
    <s v="vum-zrrm-fqa"/>
    <x v="21"/>
    <d v="1899-12-30T02:37:24"/>
    <d v="1899-12-30T02:09:38"/>
    <n v="0"/>
    <n v="0"/>
  </r>
  <r>
    <n v="40"/>
    <x v="40"/>
    <d v="1899-12-30T20:37:01"/>
    <d v="1899-12-30T20:37:02"/>
    <d v="1899-12-30T23:14:25"/>
    <s v="1 hr 56 min 29s"/>
    <s v="vum-zrrm-fqa"/>
    <x v="21"/>
    <d v="1899-12-30T02:37:24"/>
    <d v="1899-12-30T02:09:36"/>
    <n v="0"/>
    <n v="0"/>
  </r>
  <r>
    <n v="41"/>
    <x v="24"/>
    <d v="1899-12-30T20:37:01"/>
    <d v="1899-12-30T22:33:37"/>
    <d v="1899-12-30T23:14:25"/>
    <s v="37 min 26s"/>
    <s v="vum-zrrm-fqa"/>
    <x v="21"/>
    <d v="1899-12-30T02:37:24"/>
    <d v="1899-12-30T02:09:34"/>
    <n v="0"/>
    <n v="0"/>
  </r>
  <r>
    <n v="42"/>
    <x v="62"/>
    <d v="1899-12-30T20:37:01"/>
    <d v="1899-12-30T20:37:02"/>
    <d v="1899-12-30T23:14:25"/>
    <s v="2 hr 17 min 41s"/>
    <s v="vum-zrrm-fqa"/>
    <x v="21"/>
    <d v="1899-12-30T02:37:24"/>
    <d v="1899-12-30T02:09:31"/>
    <n v="0"/>
    <n v="0"/>
  </r>
  <r>
    <n v="43"/>
    <x v="36"/>
    <d v="1899-12-30T20:37:01"/>
    <d v="1899-12-30T20:37:02"/>
    <d v="1899-12-30T23:14:25"/>
    <s v="2 hr 37 min 15s"/>
    <s v="vum-zrrm-fqa"/>
    <x v="21"/>
    <d v="1899-12-30T02:37:24"/>
    <d v="1899-12-30T02:09:29"/>
    <n v="0"/>
    <n v="0"/>
  </r>
  <r>
    <n v="44"/>
    <x v="47"/>
    <d v="1899-12-30T20:37:01"/>
    <d v="1899-12-30T20:37:02"/>
    <d v="1899-12-30T23:14:25"/>
    <s v="1 hr 56 min 29s"/>
    <s v="vum-zrrm-fqa"/>
    <x v="21"/>
    <d v="1899-12-30T02:37:24"/>
    <d v="1899-12-30T02:09:26"/>
    <n v="0"/>
    <n v="0"/>
  </r>
  <r>
    <n v="45"/>
    <x v="69"/>
    <d v="1899-12-30T20:37:01"/>
    <d v="1899-12-30T20:37:02"/>
    <d v="1899-12-30T23:14:25"/>
    <s v="1 hr 56 min 29s"/>
    <s v="vum-zrrm-fqa"/>
    <x v="21"/>
    <d v="1899-12-30T02:37:24"/>
    <d v="1899-12-30T02:09:24"/>
    <n v="0"/>
    <n v="0"/>
  </r>
  <r>
    <n v="46"/>
    <x v="67"/>
    <d v="1899-12-30T20:37:01"/>
    <d v="1899-12-30T22:33:37"/>
    <d v="1899-12-30T23:14:25"/>
    <s v="8 min 58s"/>
    <s v="vum-zrrm-fqa"/>
    <x v="21"/>
    <d v="1899-12-30T02:37:24"/>
    <d v="1899-12-30T02:09:21"/>
    <n v="0"/>
    <n v="0"/>
  </r>
  <r>
    <n v="47"/>
    <x v="11"/>
    <d v="1899-12-30T20:37:01"/>
    <d v="1899-12-30T20:37:02"/>
    <d v="1899-12-30T23:14:25"/>
    <s v="1 hr 56 min 29s"/>
    <s v="vum-zrrm-fqa"/>
    <x v="21"/>
    <d v="1899-12-30T02:37:24"/>
    <d v="1899-12-30T02:09:19"/>
    <n v="0"/>
    <n v="0"/>
  </r>
  <r>
    <n v="48"/>
    <x v="26"/>
    <d v="1899-12-30T20:37:01"/>
    <d v="1899-12-30T20:37:02"/>
    <d v="1899-12-30T23:14:25"/>
    <s v="2 hr 23 min 26s"/>
    <s v="vum-zrrm-fqa"/>
    <x v="21"/>
    <d v="1899-12-30T02:37:24"/>
    <d v="1899-12-30T02:09:16"/>
    <n v="0"/>
    <n v="0"/>
  </r>
  <r>
    <n v="1"/>
    <x v="12"/>
    <d v="1899-12-30T20:36:06"/>
    <d v="1899-12-30T22:08:40"/>
    <d v="1899-12-30T22:51:09"/>
    <s v="13 min 30s"/>
    <s v="cap-fywb-wck"/>
    <x v="22"/>
    <d v="1899-12-30T02:15:03"/>
    <d v="1899-12-30T02:09:14"/>
    <n v="0"/>
    <n v="0"/>
  </r>
  <r>
    <n v="2"/>
    <x v="0"/>
    <d v="1899-12-30T20:36:06"/>
    <d v="1899-12-30T20:36:07"/>
    <d v="1899-12-30T22:51:09"/>
    <s v="2 hr 14 min 33s"/>
    <s v="cap-fywb-wck"/>
    <x v="22"/>
    <d v="1899-12-30T02:15:03"/>
    <d v="1899-12-30T02:09:13"/>
    <n v="0"/>
    <n v="0"/>
  </r>
  <r>
    <n v="3"/>
    <x v="1"/>
    <d v="1899-12-30T20:36:06"/>
    <d v="1899-12-30T20:36:07"/>
    <d v="1899-12-30T22:51:09"/>
    <s v="1 hr 32 min 30s"/>
    <s v="cap-fywb-wck"/>
    <x v="22"/>
    <d v="1899-12-30T02:15:03"/>
    <d v="1899-12-30T02:09:13"/>
    <n v="0"/>
    <n v="0"/>
  </r>
  <r>
    <n v="4"/>
    <x v="2"/>
    <d v="1899-12-30T20:36:06"/>
    <d v="1899-12-30T20:36:07"/>
    <d v="1899-12-30T22:51:09"/>
    <s v="2 hr 14 min 17s"/>
    <s v="cap-fywb-wck"/>
    <x v="22"/>
    <d v="1899-12-30T02:15:03"/>
    <d v="1899-12-30T02:09:12"/>
    <n v="0"/>
    <n v="0"/>
  </r>
  <r>
    <n v="5"/>
    <x v="13"/>
    <d v="1899-12-30T20:36:06"/>
    <d v="1899-12-30T20:36:07"/>
    <d v="1899-12-30T22:51:09"/>
    <s v="1 hr 59 min 29s"/>
    <s v="cap-fywb-wck"/>
    <x v="22"/>
    <d v="1899-12-30T02:15:03"/>
    <d v="1899-12-30T02:09:12"/>
    <n v="0"/>
    <n v="0"/>
  </r>
  <r>
    <n v="6"/>
    <x v="31"/>
    <d v="1899-12-30T20:36:06"/>
    <d v="1899-12-30T20:36:07"/>
    <d v="1899-12-30T22:51:09"/>
    <s v="1 hr 32 min 30s"/>
    <s v="cap-fywb-wck"/>
    <x v="22"/>
    <d v="1899-12-30T02:15:03"/>
    <d v="1899-12-30T02:09:11"/>
    <n v="0"/>
    <n v="0"/>
  </r>
  <r>
    <n v="7"/>
    <x v="27"/>
    <d v="1899-12-30T20:36:06"/>
    <d v="1899-12-30T20:36:07"/>
    <d v="1899-12-30T22:51:09"/>
    <s v="2 hr 5 min 16s"/>
    <s v="cap-fywb-wck"/>
    <x v="22"/>
    <d v="1899-12-30T02:15:03"/>
    <d v="1899-12-30T02:09:11"/>
    <n v="0"/>
    <n v="0"/>
  </r>
  <r>
    <n v="8"/>
    <x v="37"/>
    <d v="1899-12-30T20:36:06"/>
    <d v="1899-12-30T22:08:40"/>
    <d v="1899-12-30T22:51:09"/>
    <s v="42 min 29s"/>
    <s v="cap-fywb-wck"/>
    <x v="22"/>
    <d v="1899-12-30T02:15:03"/>
    <d v="1899-12-30T02:09:10"/>
    <n v="0"/>
    <n v="0"/>
  </r>
  <r>
    <n v="9"/>
    <x v="77"/>
    <d v="1899-12-30T20:36:06"/>
    <d v="1899-12-30T20:36:07"/>
    <d v="1899-12-30T22:51:09"/>
    <s v="2 hr 14 min 16s"/>
    <s v="cap-fywb-wck"/>
    <x v="22"/>
    <d v="1899-12-30T02:15:03"/>
    <d v="1899-12-30T02:09:10"/>
    <n v="0"/>
    <n v="0"/>
  </r>
  <r>
    <n v="10"/>
    <x v="70"/>
    <d v="1899-12-30T20:36:06"/>
    <d v="1899-12-30T20:36:07"/>
    <d v="1899-12-30T22:51:09"/>
    <s v="1 hr 32 min 30s"/>
    <s v="cap-fywb-wck"/>
    <x v="22"/>
    <d v="1899-12-30T02:15:03"/>
    <d v="1899-12-30T02:09:09"/>
    <n v="0"/>
    <n v="0"/>
  </r>
  <r>
    <n v="11"/>
    <x v="14"/>
    <d v="1899-12-30T20:36:06"/>
    <d v="1899-12-30T20:36:07"/>
    <d v="1899-12-30T22:51:09"/>
    <s v="1 hr 33 min 45s"/>
    <s v="cap-fywb-wck"/>
    <x v="22"/>
    <d v="1899-12-30T02:15:03"/>
    <d v="1899-12-30T02:09:09"/>
    <n v="0"/>
    <n v="0"/>
  </r>
  <r>
    <n v="12"/>
    <x v="15"/>
    <d v="1899-12-30T20:36:06"/>
    <d v="1899-12-30T20:36:07"/>
    <d v="1899-12-30T22:51:09"/>
    <s v="1 hr 44 min 30s"/>
    <s v="cap-fywb-wck"/>
    <x v="22"/>
    <d v="1899-12-30T02:15:03"/>
    <d v="1899-12-30T02:09:08"/>
    <n v="0"/>
    <n v="0"/>
  </r>
  <r>
    <n v="13"/>
    <x v="5"/>
    <d v="1899-12-30T20:36:06"/>
    <d v="1899-12-30T20:36:07"/>
    <d v="1899-12-30T22:51:09"/>
    <s v="2 hr 14 min 59s"/>
    <s v="cap-fywb-wck"/>
    <x v="22"/>
    <d v="1899-12-30T02:15:03"/>
    <d v="1899-12-30T02:09:08"/>
    <n v="0"/>
    <n v="0"/>
  </r>
  <r>
    <n v="14"/>
    <x v="51"/>
    <d v="1899-12-30T20:36:06"/>
    <d v="1899-12-30T20:39:09"/>
    <d v="1899-12-30T22:51:09"/>
    <s v="1 hr 47 min 50s"/>
    <s v="cap-fywb-wck"/>
    <x v="22"/>
    <d v="1899-12-30T02:15:03"/>
    <d v="1899-12-30T02:09:07"/>
    <n v="0"/>
    <n v="0"/>
  </r>
  <r>
    <n v="15"/>
    <x v="6"/>
    <d v="1899-12-30T20:36:06"/>
    <d v="1899-12-30T22:08:40"/>
    <d v="1899-12-30T22:51:09"/>
    <s v="34 min 16s"/>
    <s v="cap-fywb-wck"/>
    <x v="22"/>
    <d v="1899-12-30T02:15:03"/>
    <d v="1899-12-30T02:09:07"/>
    <n v="0"/>
    <n v="0"/>
  </r>
  <r>
    <n v="16"/>
    <x v="17"/>
    <d v="1899-12-30T20:36:06"/>
    <d v="1899-12-30T22:08:40"/>
    <d v="1899-12-30T22:51:09"/>
    <s v="42 min 29s"/>
    <s v="cap-fywb-wck"/>
    <x v="22"/>
    <d v="1899-12-30T02:15:03"/>
    <d v="1899-12-30T02:09:06"/>
    <n v="0"/>
    <n v="0"/>
  </r>
  <r>
    <n v="17"/>
    <x v="63"/>
    <d v="1899-12-30T20:36:06"/>
    <d v="1899-12-30T22:13:39"/>
    <d v="1899-12-30T22:51:09"/>
    <s v="37 min 30s"/>
    <s v="cap-fywb-wck"/>
    <x v="22"/>
    <d v="1899-12-30T02:15:03"/>
    <d v="1899-12-30T02:09:05"/>
    <n v="0"/>
    <n v="0"/>
  </r>
  <r>
    <n v="18"/>
    <x v="43"/>
    <d v="1899-12-30T20:36:06"/>
    <d v="1899-12-30T22:08:40"/>
    <d v="1899-12-30T22:51:09"/>
    <s v="41 min 34s"/>
    <s v="cap-fywb-wck"/>
    <x v="22"/>
    <d v="1899-12-30T02:15:03"/>
    <d v="1899-12-30T02:09:05"/>
    <n v="0"/>
    <n v="0"/>
  </r>
  <r>
    <n v="19"/>
    <x v="73"/>
    <d v="1899-12-30T20:36:06"/>
    <d v="1899-12-30T20:36:07"/>
    <d v="1899-12-30T22:51:09"/>
    <s v="2 hr 10 min 59s"/>
    <s v="cap-fywb-wck"/>
    <x v="22"/>
    <d v="1899-12-30T02:15:03"/>
    <d v="1899-12-30T02:09:04"/>
    <n v="0"/>
    <n v="0"/>
  </r>
  <r>
    <n v="20"/>
    <x v="28"/>
    <d v="1899-12-30T20:36:06"/>
    <d v="1899-12-30T20:36:07"/>
    <d v="1899-12-30T22:51:09"/>
    <s v="3 min 2s"/>
    <s v="cap-fywb-wck"/>
    <x v="22"/>
    <d v="1899-12-30T02:15:03"/>
    <d v="1899-12-30T02:09:04"/>
    <n v="0"/>
    <n v="0"/>
  </r>
  <r>
    <n v="21"/>
    <x v="7"/>
    <d v="1899-12-30T20:36:06"/>
    <d v="1899-12-30T20:36:07"/>
    <d v="1899-12-30T22:51:09"/>
    <s v="2 hr 14 min 33s"/>
    <s v="cap-fywb-wck"/>
    <x v="22"/>
    <d v="1899-12-30T02:15:03"/>
    <d v="1899-12-30T02:09:03"/>
    <n v="0"/>
    <n v="0"/>
  </r>
  <r>
    <n v="22"/>
    <x v="18"/>
    <d v="1899-12-30T20:36:06"/>
    <d v="1899-12-30T20:36:07"/>
    <d v="1899-12-30T22:51:09"/>
    <s v="1 hr 32 min 30s"/>
    <s v="cap-fywb-wck"/>
    <x v="22"/>
    <d v="1899-12-30T02:15:03"/>
    <d v="1899-12-30T02:09:03"/>
    <n v="0"/>
    <n v="0"/>
  </r>
  <r>
    <n v="23"/>
    <x v="38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4"/>
    <x v="48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5"/>
    <x v="59"/>
    <d v="1899-12-30T20:36:06"/>
    <d v="1899-12-30T20:36:07"/>
    <d v="1899-12-30T22:51:09"/>
    <s v="1 hr 32 min 30s"/>
    <s v="cap-fywb-wck"/>
    <x v="22"/>
    <d v="1899-12-30T02:15:03"/>
    <d v="1899-12-30T02:09:01"/>
    <n v="0"/>
    <n v="0"/>
  </r>
  <r>
    <n v="26"/>
    <x v="8"/>
    <d v="1899-12-30T20:36:06"/>
    <d v="1899-12-30T20:36:07"/>
    <d v="1899-12-30T22:51:09"/>
    <s v="2 hr 14 min 59s"/>
    <s v="cap-fywb-wck"/>
    <x v="22"/>
    <d v="1899-12-30T02:15:03"/>
    <d v="1899-12-30T02:09:01"/>
    <n v="0"/>
    <n v="0"/>
  </r>
  <r>
    <n v="27"/>
    <x v="20"/>
    <d v="1899-12-30T20:36:06"/>
    <d v="1899-12-30T20:36:07"/>
    <d v="1899-12-30T22:51:09"/>
    <s v="2 hr 14 min 30s"/>
    <s v="cap-fywb-wck"/>
    <x v="22"/>
    <d v="1899-12-30T02:15:03"/>
    <d v="1899-12-30T02:09:00"/>
    <n v="0"/>
    <n v="0"/>
  </r>
  <r>
    <n v="28"/>
    <x v="64"/>
    <d v="1899-12-30T20:36:06"/>
    <d v="1899-12-30T20:36:07"/>
    <d v="1899-12-30T22:51:09"/>
    <s v="1 hr 32 min 30s"/>
    <s v="cap-fywb-wck"/>
    <x v="22"/>
    <d v="1899-12-30T02:15:03"/>
    <d v="1899-12-30T02:08:59"/>
    <n v="0"/>
    <n v="0"/>
  </r>
  <r>
    <n v="29"/>
    <x v="10"/>
    <d v="1899-12-30T20:36:06"/>
    <d v="1899-12-30T20:36:07"/>
    <d v="1899-12-30T22:51:09"/>
    <s v="2 hr 14 min 20s"/>
    <s v="cap-fywb-wck"/>
    <x v="22"/>
    <d v="1899-12-30T02:15:03"/>
    <d v="1899-12-30T02:08:59"/>
    <n v="0"/>
    <n v="0"/>
  </r>
  <r>
    <n v="30"/>
    <x v="52"/>
    <d v="1899-12-30T20:36:06"/>
    <d v="1899-12-30T22:08:40"/>
    <d v="1899-12-30T22:51:09"/>
    <s v="42 min 2s"/>
    <s v="cap-fywb-wck"/>
    <x v="22"/>
    <d v="1899-12-30T02:15:03"/>
    <d v="1899-12-30T02:08:58"/>
    <n v="0"/>
    <n v="0"/>
  </r>
  <r>
    <n v="31"/>
    <x v="55"/>
    <d v="1899-12-30T20:36:06"/>
    <d v="1899-12-30T20:36:07"/>
    <d v="1899-12-30T22:51:09"/>
    <s v="2 hr 14 min 17s"/>
    <s v="cap-fywb-wck"/>
    <x v="22"/>
    <d v="1899-12-30T02:15:03"/>
    <d v="1899-12-30T02:08:58"/>
    <n v="0"/>
    <n v="0"/>
  </r>
  <r>
    <n v="32"/>
    <x v="22"/>
    <d v="1899-12-30T20:36:06"/>
    <d v="1899-12-30T20:36:07"/>
    <d v="1899-12-30T22:51:09"/>
    <s v="1 hr 59 min 52s"/>
    <s v="cap-fywb-wck"/>
    <x v="22"/>
    <d v="1899-12-30T02:15:03"/>
    <d v="1899-12-30T02:08:57"/>
    <n v="0"/>
    <n v="0"/>
  </r>
  <r>
    <n v="33"/>
    <x v="30"/>
    <d v="1899-12-30T20:36:06"/>
    <d v="1899-12-30T20:36:07"/>
    <d v="1899-12-30T22:51:09"/>
    <s v="2 hr 10 min 10s"/>
    <s v="cap-fywb-wck"/>
    <x v="22"/>
    <d v="1899-12-30T02:15:03"/>
    <d v="1899-12-30T02:08:57"/>
    <n v="0"/>
    <n v="0"/>
  </r>
  <r>
    <n v="34"/>
    <x v="23"/>
    <d v="1899-12-30T20:36:06"/>
    <d v="1899-12-30T20:36:07"/>
    <d v="1899-12-30T22:51:09"/>
    <s v="2 hr 14 min 16s"/>
    <s v="cap-fywb-wck"/>
    <x v="22"/>
    <d v="1899-12-30T02:15:03"/>
    <d v="1899-12-30T02:08:56"/>
    <n v="0"/>
    <n v="0"/>
  </r>
  <r>
    <n v="35"/>
    <x v="34"/>
    <d v="1899-12-30T20:36:06"/>
    <d v="1899-12-30T20:36:07"/>
    <d v="1899-12-30T22:51:09"/>
    <s v="2 hr 14 min 22s"/>
    <s v="cap-fywb-wck"/>
    <x v="22"/>
    <d v="1899-12-30T02:15:03"/>
    <d v="1899-12-30T02:08:56"/>
    <n v="0"/>
    <n v="0"/>
  </r>
  <r>
    <n v="36"/>
    <x v="35"/>
    <d v="1899-12-30T20:36:06"/>
    <d v="1899-12-30T22:08:40"/>
    <d v="1899-12-30T22:51:09"/>
    <s v="4 min 33s"/>
    <s v="cap-fywb-wck"/>
    <x v="22"/>
    <d v="1899-12-30T02:15:03"/>
    <d v="1899-12-30T02:08:55"/>
    <n v="0"/>
    <n v="0"/>
  </r>
  <r>
    <n v="37"/>
    <x v="24"/>
    <d v="1899-12-30T20:36:06"/>
    <d v="1899-12-30T20:36:20"/>
    <d v="1899-12-30T22:51:09"/>
    <s v="2 hr 14 min 3s"/>
    <s v="cap-fywb-wck"/>
    <x v="22"/>
    <d v="1899-12-30T02:15:03"/>
    <d v="1899-12-30T02:08:54"/>
    <n v="0"/>
    <n v="0"/>
  </r>
  <r>
    <n v="38"/>
    <x v="62"/>
    <d v="1899-12-30T20:36:06"/>
    <d v="1899-12-30T20:36:07"/>
    <d v="1899-12-30T22:51:09"/>
    <s v="2 hr 14 min 19s"/>
    <s v="cap-fywb-wck"/>
    <x v="22"/>
    <d v="1899-12-30T02:15:03"/>
    <d v="1899-12-30T02:08:54"/>
    <n v="0"/>
    <n v="0"/>
  </r>
  <r>
    <n v="39"/>
    <x v="25"/>
    <d v="1899-12-30T20:36:06"/>
    <d v="1899-12-30T20:39:09"/>
    <d v="1899-12-30T22:51:09"/>
    <s v="1 hr 31 min 58s"/>
    <s v="cap-fywb-wck"/>
    <x v="22"/>
    <d v="1899-12-30T02:15:03"/>
    <d v="1899-12-30T02:08:53"/>
    <n v="0"/>
    <n v="0"/>
  </r>
  <r>
    <n v="40"/>
    <x v="81"/>
    <d v="1899-12-30T20:36:06"/>
    <d v="1899-12-30T20:36:07"/>
    <d v="1899-12-30T22:51:09"/>
    <s v="2 hr 14 min 59s"/>
    <s v="cap-fywb-wck"/>
    <x v="22"/>
    <d v="1899-12-30T02:15:03"/>
    <d v="1899-12-30T02:08:53"/>
    <n v="0"/>
    <n v="0"/>
  </r>
  <r>
    <n v="41"/>
    <x v="76"/>
    <d v="1899-12-30T20:36:06"/>
    <d v="1899-12-30T22:08:40"/>
    <d v="1899-12-30T22:51:09"/>
    <s v="42 min 4s"/>
    <s v="cap-fywb-wck"/>
    <x v="22"/>
    <d v="1899-12-30T02:15:03"/>
    <d v="1899-12-30T02:08:52"/>
    <n v="0"/>
    <n v="0"/>
  </r>
  <r>
    <n v="42"/>
    <x v="36"/>
    <d v="1899-12-30T20:36:06"/>
    <d v="1899-12-30T20:39:09"/>
    <d v="1899-12-30T22:51:09"/>
    <s v="2 hr 11 min 57s"/>
    <s v="cap-fywb-wck"/>
    <x v="22"/>
    <d v="1899-12-30T02:15:03"/>
    <d v="1899-12-30T02:08:51"/>
    <n v="0"/>
    <n v="0"/>
  </r>
  <r>
    <n v="43"/>
    <x v="47"/>
    <d v="1899-12-30T20:36:06"/>
    <d v="1899-12-30T20:36:07"/>
    <d v="1899-12-30T22:51:09"/>
    <s v="1 hr 51 min 10s"/>
    <s v="cap-fywb-wck"/>
    <x v="22"/>
    <d v="1899-12-30T02:15:03"/>
    <d v="1899-12-30T02:08:51"/>
    <n v="0"/>
    <n v="0"/>
  </r>
  <r>
    <n v="44"/>
    <x v="11"/>
    <d v="1899-12-30T20:36:06"/>
    <d v="1899-12-30T22:08:40"/>
    <d v="1899-12-30T22:51:09"/>
    <s v="41 min 54s"/>
    <s v="cap-fywb-wck"/>
    <x v="22"/>
    <d v="1899-12-30T02:15:03"/>
    <d v="1899-12-30T02:08:50"/>
    <n v="0"/>
    <n v="0"/>
  </r>
  <r>
    <n v="1"/>
    <x v="0"/>
    <d v="1899-12-30T20:38:21"/>
    <d v="1899-12-30T20:38:25"/>
    <d v="1899-12-30T23:02:12"/>
    <s v="2 hr 18 min 24s"/>
    <s v="qiv-znga-pbm"/>
    <x v="23"/>
    <d v="1899-12-30T02:23:51"/>
    <d v="1899-12-30T02:08:50"/>
    <n v="0"/>
    <n v="0"/>
  </r>
  <r>
    <n v="2"/>
    <x v="1"/>
    <d v="1899-12-30T20:38:21"/>
    <d v="1899-12-30T20:38:25"/>
    <d v="1899-12-30T23:02:12"/>
    <s v="2 hr 21 min 48s"/>
    <s v="qiv-znga-pbm"/>
    <x v="23"/>
    <d v="1899-12-30T02:23:51"/>
    <d v="1899-12-30T02:08:48"/>
    <n v="0"/>
    <n v="0"/>
  </r>
  <r>
    <n v="3"/>
    <x v="2"/>
    <d v="1899-12-30T20:38:21"/>
    <d v="1899-12-30T20:38:25"/>
    <d v="1899-12-30T23:02:12"/>
    <s v="2 hr 18 min 43s"/>
    <s v="qiv-znga-pbm"/>
    <x v="23"/>
    <d v="1899-12-30T02:23:51"/>
    <d v="1899-12-30T02:08:47"/>
    <n v="0"/>
    <n v="0"/>
  </r>
  <r>
    <n v="4"/>
    <x v="13"/>
    <d v="1899-12-30T20:38:21"/>
    <d v="1899-12-30T20:38:25"/>
    <d v="1899-12-30T23:02:12"/>
    <s v="2 hr 18 min 24s"/>
    <s v="qiv-znga-pbm"/>
    <x v="23"/>
    <d v="1899-12-30T02:23:51"/>
    <d v="1899-12-30T02:08:45"/>
    <n v="0"/>
    <n v="0"/>
  </r>
  <r>
    <n v="5"/>
    <x v="4"/>
    <d v="1899-12-30T20:38:21"/>
    <d v="1899-12-30T20:38:25"/>
    <d v="1899-12-30T23:02:12"/>
    <s v="2 hr 18 min 24s"/>
    <s v="qiv-znga-pbm"/>
    <x v="23"/>
    <d v="1899-12-30T02:23:51"/>
    <d v="1899-12-30T02:08:44"/>
    <n v="0"/>
    <n v="0"/>
  </r>
  <r>
    <n v="6"/>
    <x v="31"/>
    <d v="1899-12-30T20:38:21"/>
    <d v="1899-12-30T20:38:25"/>
    <d v="1899-12-30T23:02:12"/>
    <s v="2 hr 18 min 24s"/>
    <s v="qiv-znga-pbm"/>
    <x v="23"/>
    <d v="1899-12-30T02:23:51"/>
    <d v="1899-12-30T02:08:43"/>
    <n v="0"/>
    <n v="0"/>
  </r>
  <r>
    <n v="7"/>
    <x v="27"/>
    <d v="1899-12-30T20:38:21"/>
    <d v="1899-12-30T20:38:25"/>
    <d v="1899-12-30T23:02:12"/>
    <s v="2 hr 18 min 24s"/>
    <s v="qiv-znga-pbm"/>
    <x v="23"/>
    <d v="1899-12-30T02:23:51"/>
    <d v="1899-12-30T02:08:41"/>
    <n v="0"/>
    <n v="0"/>
  </r>
  <r>
    <n v="8"/>
    <x v="49"/>
    <d v="1899-12-30T20:38:21"/>
    <d v="1899-12-30T20:38:25"/>
    <d v="1899-12-30T23:02:12"/>
    <s v="2 hr 18 min 24s"/>
    <s v="qiv-znga-pbm"/>
    <x v="23"/>
    <d v="1899-12-30T02:23:51"/>
    <d v="1899-12-30T02:08:40"/>
    <n v="0"/>
    <n v="0"/>
  </r>
  <r>
    <n v="9"/>
    <x v="14"/>
    <d v="1899-12-30T20:38:21"/>
    <d v="1899-12-30T20:38:25"/>
    <d v="1899-12-30T23:02:12"/>
    <s v="2 hr 18 min 24s"/>
    <s v="qiv-znga-pbm"/>
    <x v="23"/>
    <d v="1899-12-30T02:23:51"/>
    <d v="1899-12-30T02:08:38"/>
    <n v="0"/>
    <n v="0"/>
  </r>
  <r>
    <n v="10"/>
    <x v="54"/>
    <d v="1899-12-30T20:38:21"/>
    <d v="1899-12-30T20:38:25"/>
    <d v="1899-12-30T23:02:12"/>
    <s v="2 hr 18 min 24s"/>
    <s v="qiv-znga-pbm"/>
    <x v="23"/>
    <d v="1899-12-30T02:23:51"/>
    <d v="1899-12-30T02:08:37"/>
    <n v="0"/>
    <n v="0"/>
  </r>
  <r>
    <n v="11"/>
    <x v="5"/>
    <d v="1899-12-30T20:38:21"/>
    <d v="1899-12-30T20:38:25"/>
    <d v="1899-12-30T23:02:12"/>
    <s v="2 hr 23 min 47s"/>
    <s v="qiv-znga-pbm"/>
    <x v="23"/>
    <d v="1899-12-30T02:23:51"/>
    <d v="1899-12-30T02:08:35"/>
    <n v="0"/>
    <n v="0"/>
  </r>
  <r>
    <n v="12"/>
    <x v="51"/>
    <d v="1899-12-30T20:38:21"/>
    <d v="1899-12-30T20:38:25"/>
    <d v="1899-12-30T23:02:12"/>
    <s v="2 hr 18 min 24s"/>
    <s v="qiv-znga-pbm"/>
    <x v="23"/>
    <d v="1899-12-30T02:23:51"/>
    <d v="1899-12-30T02:08:34"/>
    <n v="0"/>
    <n v="0"/>
  </r>
  <r>
    <n v="13"/>
    <x v="42"/>
    <d v="1899-12-30T20:38:21"/>
    <d v="1899-12-30T20:38:25"/>
    <d v="1899-12-30T23:02:12"/>
    <s v="2 hr 18 min 24s"/>
    <s v="qiv-znga-pbm"/>
    <x v="23"/>
    <d v="1899-12-30T02:23:51"/>
    <d v="1899-12-30T02:08:32"/>
    <n v="0"/>
    <n v="0"/>
  </r>
  <r>
    <n v="14"/>
    <x v="6"/>
    <d v="1899-12-30T20:38:21"/>
    <d v="1899-12-30T20:38:25"/>
    <d v="1899-12-30T23:02:12"/>
    <s v="2 hr 18 min 24s"/>
    <s v="qiv-znga-pbm"/>
    <x v="23"/>
    <d v="1899-12-30T02:23:51"/>
    <d v="1899-12-30T02:08:31"/>
    <n v="0"/>
    <n v="0"/>
  </r>
  <r>
    <n v="15"/>
    <x v="17"/>
    <d v="1899-12-30T20:38:21"/>
    <d v="1899-12-30T20:38:25"/>
    <d v="1899-12-30T23:02:12"/>
    <s v="2 hr 23 min 47s"/>
    <s v="qiv-znga-pbm"/>
    <x v="23"/>
    <d v="1899-12-30T02:23:51"/>
    <d v="1899-12-30T02:08:29"/>
    <n v="0"/>
    <n v="0"/>
  </r>
  <r>
    <n v="16"/>
    <x v="63"/>
    <d v="1899-12-30T20:38:21"/>
    <d v="1899-12-30T20:38:25"/>
    <d v="1899-12-30T23:02:12"/>
    <s v="2 hr 18 min 24s"/>
    <s v="qiv-znga-pbm"/>
    <x v="23"/>
    <d v="1899-12-30T02:23:51"/>
    <d v="1899-12-30T02:08:28"/>
    <n v="0"/>
    <n v="0"/>
  </r>
  <r>
    <n v="17"/>
    <x v="43"/>
    <d v="1899-12-30T20:38:21"/>
    <d v="1899-12-30T20:38:25"/>
    <d v="1899-12-30T23:02:12"/>
    <s v="2 hr 19 min 11s"/>
    <s v="qiv-znga-pbm"/>
    <x v="23"/>
    <d v="1899-12-30T02:23:51"/>
    <d v="1899-12-30T02:08:26"/>
    <n v="0"/>
    <n v="0"/>
  </r>
  <r>
    <n v="18"/>
    <x v="73"/>
    <d v="1899-12-30T20:38:21"/>
    <d v="1899-12-30T20:38:25"/>
    <d v="1899-12-30T23:02:12"/>
    <s v="2 hr 18 min 24s"/>
    <s v="qiv-znga-pbm"/>
    <x v="23"/>
    <d v="1899-12-30T02:23:51"/>
    <d v="1899-12-30T02:08:25"/>
    <n v="0"/>
    <n v="0"/>
  </r>
  <r>
    <n v="19"/>
    <x v="58"/>
    <d v="1899-12-30T20:38:21"/>
    <d v="1899-12-30T20:38:25"/>
    <d v="1899-12-30T23:02:12"/>
    <s v="2 hr 18 min 24s"/>
    <s v="qiv-znga-pbm"/>
    <x v="23"/>
    <d v="1899-12-30T02:23:51"/>
    <d v="1899-12-30T02:08:23"/>
    <n v="0"/>
    <n v="0"/>
  </r>
  <r>
    <n v="20"/>
    <x v="7"/>
    <d v="1899-12-30T20:38:21"/>
    <d v="1899-12-30T20:38:25"/>
    <d v="1899-12-30T23:02:12"/>
    <s v="2 hr 18 min 24s"/>
    <s v="qiv-znga-pbm"/>
    <x v="23"/>
    <d v="1899-12-30T02:23:51"/>
    <d v="1899-12-30T02:08:22"/>
    <n v="0"/>
    <n v="0"/>
  </r>
  <r>
    <n v="21"/>
    <x v="38"/>
    <d v="1899-12-30T20:38:21"/>
    <d v="1899-12-30T20:38:25"/>
    <d v="1899-12-30T23:02:12"/>
    <s v="5 min 47s"/>
    <s v="qiv-znga-pbm"/>
    <x v="23"/>
    <d v="1899-12-30T02:23:51"/>
    <d v="1899-12-30T02:08:20"/>
    <n v="0"/>
    <n v="0"/>
  </r>
  <r>
    <n v="22"/>
    <x v="48"/>
    <d v="1899-12-30T20:38:21"/>
    <d v="1899-12-30T20:38:25"/>
    <d v="1899-12-30T23:02:12"/>
    <s v="2 hr 18 min 24s"/>
    <s v="qiv-znga-pbm"/>
    <x v="23"/>
    <d v="1899-12-30T02:23:51"/>
    <d v="1899-12-30T02:08:19"/>
    <n v="0"/>
    <n v="0"/>
  </r>
  <r>
    <n v="23"/>
    <x v="59"/>
    <d v="1899-12-30T20:38:21"/>
    <d v="1899-12-30T20:38:25"/>
    <d v="1899-12-30T23:02:12"/>
    <s v="2 hr 18 min 24s"/>
    <s v="qiv-znga-pbm"/>
    <x v="23"/>
    <d v="1899-12-30T02:23:51"/>
    <d v="1899-12-30T02:08:17"/>
    <n v="0"/>
    <n v="0"/>
  </r>
  <r>
    <n v="24"/>
    <x v="8"/>
    <d v="1899-12-30T20:38:21"/>
    <d v="1899-12-30T20:38:25"/>
    <d v="1899-12-30T23:02:12"/>
    <s v="2 hr 23 min 47s"/>
    <s v="qiv-znga-pbm"/>
    <x v="23"/>
    <d v="1899-12-30T02:23:51"/>
    <d v="1899-12-30T02:08:16"/>
    <n v="0"/>
    <n v="0"/>
  </r>
  <r>
    <n v="25"/>
    <x v="20"/>
    <d v="1899-12-30T20:38:21"/>
    <d v="1899-12-30T20:38:25"/>
    <d v="1899-12-30T23:02:12"/>
    <s v="2 hr 23 min 47s"/>
    <s v="qiv-znga-pbm"/>
    <x v="23"/>
    <d v="1899-12-30T02:23:51"/>
    <d v="1899-12-30T02:08:14"/>
    <n v="0"/>
    <n v="0"/>
  </r>
  <r>
    <n v="26"/>
    <x v="9"/>
    <d v="1899-12-30T20:38:21"/>
    <d v="1899-12-30T20:38:25"/>
    <d v="1899-12-30T23:02:12"/>
    <s v="2 hr 18 min 24s"/>
    <s v="qiv-znga-pbm"/>
    <x v="23"/>
    <d v="1899-12-30T02:23:51"/>
    <d v="1899-12-30T02:08:13"/>
    <n v="0"/>
    <n v="0"/>
  </r>
  <r>
    <n v="27"/>
    <x v="10"/>
    <d v="1899-12-30T20:38:21"/>
    <d v="1899-12-30T20:38:25"/>
    <d v="1899-12-30T23:02:12"/>
    <s v="2 hr 18 min 24s"/>
    <s v="qiv-znga-pbm"/>
    <x v="23"/>
    <d v="1899-12-30T02:23:51"/>
    <d v="1899-12-30T02:08:11"/>
    <n v="0"/>
    <n v="0"/>
  </r>
  <r>
    <n v="28"/>
    <x v="22"/>
    <d v="1899-12-30T20:38:21"/>
    <d v="1899-12-30T20:38:25"/>
    <d v="1899-12-30T23:02:12"/>
    <s v="2 hr 18 min 24s"/>
    <s v="qiv-znga-pbm"/>
    <x v="23"/>
    <d v="1899-12-30T02:23:51"/>
    <d v="1899-12-30T02:08:10"/>
    <n v="0"/>
    <n v="0"/>
  </r>
  <r>
    <n v="29"/>
    <x v="30"/>
    <d v="1899-12-30T20:38:21"/>
    <d v="1899-12-30T20:38:25"/>
    <d v="1899-12-30T23:02:12"/>
    <s v="2 hr 18 min 24s"/>
    <s v="qiv-znga-pbm"/>
    <x v="23"/>
    <d v="1899-12-30T02:23:51"/>
    <d v="1899-12-30T02:08:08"/>
    <n v="0"/>
    <n v="0"/>
  </r>
  <r>
    <n v="30"/>
    <x v="82"/>
    <d v="1899-12-30T20:38:21"/>
    <d v="1899-12-30T22:58:55"/>
    <d v="1899-12-30T23:02:12"/>
    <s v="3 min 18s"/>
    <s v="qiv-znga-pbm"/>
    <x v="23"/>
    <d v="1899-12-30T02:23:51"/>
    <d v="1899-12-30T02:08:07"/>
    <n v="0"/>
    <n v="0"/>
  </r>
  <r>
    <n v="31"/>
    <x v="23"/>
    <d v="1899-12-30T20:38:21"/>
    <d v="1899-12-30T20:38:25"/>
    <d v="1899-12-30T23:02:12"/>
    <s v="2 hr 18 min 24s"/>
    <s v="qiv-znga-pbm"/>
    <x v="23"/>
    <d v="1899-12-30T02:23:51"/>
    <d v="1899-12-30T02:08:05"/>
    <n v="0"/>
    <n v="0"/>
  </r>
  <r>
    <n v="32"/>
    <x v="34"/>
    <d v="1899-12-30T20:38:21"/>
    <d v="1899-12-30T20:38:25"/>
    <d v="1899-12-30T23:02:12"/>
    <s v="2 hr 18 min 24s"/>
    <s v="qiv-znga-pbm"/>
    <x v="23"/>
    <d v="1899-12-30T02:23:51"/>
    <d v="1899-12-30T02:08:03"/>
    <n v="0"/>
    <n v="0"/>
  </r>
  <r>
    <n v="33"/>
    <x v="35"/>
    <d v="1899-12-30T20:38:21"/>
    <d v="1899-12-30T20:38:25"/>
    <d v="1899-12-30T23:02:12"/>
    <s v="2 hr 18 min 39s"/>
    <s v="qiv-znga-pbm"/>
    <x v="23"/>
    <d v="1899-12-30T02:23:51"/>
    <d v="1899-12-30T02:08:02"/>
    <n v="0"/>
    <n v="0"/>
  </r>
  <r>
    <n v="34"/>
    <x v="24"/>
    <d v="1899-12-30T20:38:21"/>
    <d v="1899-12-30T20:38:25"/>
    <d v="1899-12-30T23:02:12"/>
    <s v="2 hr 23 min 47s"/>
    <s v="qiv-znga-pbm"/>
    <x v="23"/>
    <d v="1899-12-30T02:23:51"/>
    <d v="1899-12-30T02:08:00"/>
    <n v="0"/>
    <n v="0"/>
  </r>
  <r>
    <n v="35"/>
    <x v="81"/>
    <d v="1899-12-30T20:38:21"/>
    <d v="1899-12-30T20:38:25"/>
    <d v="1899-12-30T23:02:12"/>
    <s v="2 hr 18 min 24s"/>
    <s v="qiv-znga-pbm"/>
    <x v="23"/>
    <d v="1899-12-30T02:23:51"/>
    <d v="1899-12-30T02:07:59"/>
    <n v="0"/>
    <n v="0"/>
  </r>
  <r>
    <n v="36"/>
    <x v="76"/>
    <d v="1899-12-30T20:38:21"/>
    <d v="1899-12-30T20:38:25"/>
    <d v="1899-12-30T23:02:12"/>
    <s v="2 hr 18 min 24s"/>
    <s v="qiv-znga-pbm"/>
    <x v="23"/>
    <d v="1899-12-30T02:23:51"/>
    <d v="1899-12-30T02:07:57"/>
    <n v="0"/>
    <n v="0"/>
  </r>
  <r>
    <n v="37"/>
    <x v="83"/>
    <d v="1899-12-30T20:38:21"/>
    <d v="1899-12-30T20:38:25"/>
    <d v="1899-12-30T23:02:12"/>
    <s v="2 hr 18 min 24s"/>
    <s v="qiv-znga-pbm"/>
    <x v="23"/>
    <d v="1899-12-30T02:23:51"/>
    <d v="1899-12-30T02:07:56"/>
    <n v="0"/>
    <n v="0"/>
  </r>
  <r>
    <n v="38"/>
    <x v="36"/>
    <d v="1899-12-30T20:38:21"/>
    <d v="1899-12-30T20:38:25"/>
    <d v="1899-12-30T23:02:12"/>
    <s v="2 hr 23 min 47s"/>
    <s v="qiv-znga-pbm"/>
    <x v="23"/>
    <d v="1899-12-30T02:23:51"/>
    <d v="1899-12-30T02:07:54"/>
    <n v="0"/>
    <n v="0"/>
  </r>
  <r>
    <n v="39"/>
    <x v="47"/>
    <d v="1899-12-30T20:38:21"/>
    <d v="1899-12-30T20:38:25"/>
    <d v="1899-12-30T23:02:12"/>
    <s v="0 min 32s"/>
    <s v="qiv-znga-pbm"/>
    <x v="23"/>
    <d v="1899-12-30T02:23:51"/>
    <d v="1899-12-30T02:07:52"/>
    <n v="0"/>
    <n v="0"/>
  </r>
  <r>
    <n v="40"/>
    <x v="69"/>
    <d v="1899-12-30T20:38:21"/>
    <d v="1899-12-30T20:38:41"/>
    <d v="1899-12-30T23:02:12"/>
    <s v="2 hr 18 min 7s"/>
    <s v="qiv-znga-pbm"/>
    <x v="23"/>
    <d v="1899-12-30T02:23:51"/>
    <d v="1899-12-30T02:07:51"/>
    <n v="0"/>
    <n v="0"/>
  </r>
  <r>
    <n v="1"/>
    <x v="12"/>
    <d v="1899-12-30T20:37:17"/>
    <d v="1899-12-30T21:39:32"/>
    <d v="1899-12-30T23:10:04"/>
    <s v="59 min 23s"/>
    <s v="pip-nwdr-msi"/>
    <x v="24"/>
    <d v="1899-12-30T02:32:47"/>
    <d v="1899-12-30T02:07:49"/>
    <n v="0"/>
    <n v="0"/>
  </r>
  <r>
    <n v="2"/>
    <x v="0"/>
    <d v="1899-12-30T20:37:17"/>
    <d v="1899-12-30T20:37:21"/>
    <d v="1899-12-30T23:10:04"/>
    <s v="2 hr 17 min 47s"/>
    <s v="pip-nwdr-msi"/>
    <x v="24"/>
    <d v="1899-12-30T02:32:47"/>
    <d v="1899-12-30T02:07:47"/>
    <n v="0"/>
    <n v="0"/>
  </r>
  <r>
    <n v="3"/>
    <x v="1"/>
    <d v="1899-12-30T20:37:17"/>
    <d v="1899-12-30T20:37:21"/>
    <d v="1899-12-30T23:10:04"/>
    <s v="2 hr 32 min 12s"/>
    <s v="pip-nwdr-msi"/>
    <x v="24"/>
    <d v="1899-12-30T02:32:47"/>
    <d v="1899-12-30T02:07:44"/>
    <n v="0"/>
    <n v="0"/>
  </r>
  <r>
    <n v="4"/>
    <x v="2"/>
    <d v="1899-12-30T20:37:17"/>
    <d v="1899-12-30T20:37:21"/>
    <d v="1899-12-30T23:10:04"/>
    <s v="2 hr 28 min 5s"/>
    <s v="pip-nwdr-msi"/>
    <x v="24"/>
    <d v="1899-12-30T02:32:47"/>
    <d v="1899-12-30T02:07:42"/>
    <n v="0"/>
    <n v="0"/>
  </r>
  <r>
    <n v="5"/>
    <x v="65"/>
    <d v="1899-12-30T20:37:17"/>
    <d v="1899-12-30T20:37:21"/>
    <d v="1899-12-30T23:10:04"/>
    <s v="1 hr 43 min 49s"/>
    <s v="pip-nwdr-msi"/>
    <x v="24"/>
    <d v="1899-12-30T02:32:47"/>
    <d v="1899-12-30T02:07:39"/>
    <n v="0"/>
    <n v="0"/>
  </r>
  <r>
    <n v="6"/>
    <x v="13"/>
    <d v="1899-12-30T20:37:17"/>
    <d v="1899-12-30T20:37:21"/>
    <d v="1899-12-30T23:10:04"/>
    <s v="2 hr 32 min 11s"/>
    <s v="pip-nwdr-msi"/>
    <x v="24"/>
    <d v="1899-12-30T02:32:47"/>
    <d v="1899-12-30T02:07:36"/>
    <n v="0"/>
    <n v="0"/>
  </r>
  <r>
    <n v="7"/>
    <x v="31"/>
    <d v="1899-12-30T20:37:17"/>
    <d v="1899-12-30T20:37:21"/>
    <d v="1899-12-30T23:10:04"/>
    <s v="1 hr 43 min 49s"/>
    <s v="pip-nwdr-msi"/>
    <x v="24"/>
    <d v="1899-12-30T02:32:47"/>
    <d v="1899-12-30T02:07:34"/>
    <n v="0"/>
    <n v="0"/>
  </r>
  <r>
    <n v="8"/>
    <x v="27"/>
    <d v="1899-12-30T20:37:17"/>
    <d v="1899-12-30T20:37:21"/>
    <d v="1899-12-30T23:10:04"/>
    <s v="1 hr 43 min 49s"/>
    <s v="pip-nwdr-msi"/>
    <x v="24"/>
    <d v="1899-12-30T02:32:47"/>
    <d v="1899-12-30T02:07:31"/>
    <n v="0"/>
    <n v="0"/>
  </r>
  <r>
    <n v="9"/>
    <x v="37"/>
    <d v="1899-12-30T20:37:17"/>
    <d v="1899-12-30T20:37:21"/>
    <d v="1899-12-30T23:10:04"/>
    <s v="2 hr 30 min 37s"/>
    <s v="pip-nwdr-msi"/>
    <x v="24"/>
    <d v="1899-12-30T02:32:47"/>
    <d v="1899-12-30T02:07:29"/>
    <n v="0"/>
    <n v="0"/>
  </r>
  <r>
    <n v="10"/>
    <x v="49"/>
    <d v="1899-12-30T20:37:17"/>
    <d v="1899-12-30T20:37:21"/>
    <d v="1899-12-30T23:10:04"/>
    <s v="1 hr 43 min 49s"/>
    <s v="pip-nwdr-msi"/>
    <x v="24"/>
    <d v="1899-12-30T02:32:47"/>
    <d v="1899-12-30T02:07:26"/>
    <n v="0"/>
    <n v="0"/>
  </r>
  <r>
    <n v="11"/>
    <x v="14"/>
    <d v="1899-12-30T20:37:17"/>
    <d v="1899-12-30T20:37:21"/>
    <d v="1899-12-30T23:10:04"/>
    <s v="1 hr 49 min 38s"/>
    <s v="pip-nwdr-msi"/>
    <x v="24"/>
    <d v="1899-12-30T02:32:47"/>
    <d v="1899-12-30T02:07:24"/>
    <n v="0"/>
    <n v="0"/>
  </r>
  <r>
    <n v="12"/>
    <x v="54"/>
    <d v="1899-12-30T20:37:17"/>
    <d v="1899-12-30T20:37:21"/>
    <d v="1899-12-30T23:10:04"/>
    <s v="1 hr 43 min 49s"/>
    <s v="pip-nwdr-msi"/>
    <x v="24"/>
    <d v="1899-12-30T02:32:47"/>
    <d v="1899-12-30T02:07:21"/>
    <n v="0"/>
    <n v="0"/>
  </r>
  <r>
    <n v="13"/>
    <x v="5"/>
    <d v="1899-12-30T20:37:17"/>
    <d v="1899-12-30T20:37:21"/>
    <d v="1899-12-30T23:10:04"/>
    <s v="2 hr 32 min 37s"/>
    <s v="pip-nwdr-msi"/>
    <x v="24"/>
    <d v="1899-12-30T02:32:47"/>
    <d v="1899-12-30T02:07:18"/>
    <n v="0"/>
    <n v="0"/>
  </r>
  <r>
    <n v="14"/>
    <x v="50"/>
    <d v="1899-12-30T20:37:17"/>
    <d v="1899-12-30T20:37:21"/>
    <d v="1899-12-30T23:10:04"/>
    <s v="1 hr 2 min 9s"/>
    <s v="pip-nwdr-msi"/>
    <x v="24"/>
    <d v="1899-12-30T02:32:47"/>
    <d v="1899-12-30T02:07:16"/>
    <n v="0"/>
    <n v="0"/>
  </r>
  <r>
    <n v="15"/>
    <x v="51"/>
    <d v="1899-12-30T20:37:17"/>
    <d v="1899-12-30T21:39:32"/>
    <d v="1899-12-30T23:10:04"/>
    <s v="41 min 40s"/>
    <s v="pip-nwdr-msi"/>
    <x v="24"/>
    <d v="1899-12-30T02:32:47"/>
    <d v="1899-12-30T02:07:13"/>
    <n v="0"/>
    <n v="0"/>
  </r>
  <r>
    <n v="16"/>
    <x v="78"/>
    <d v="1899-12-30T20:37:17"/>
    <d v="1899-12-30T21:39:32"/>
    <d v="1899-12-30T23:10:04"/>
    <s v="1 hr 30 min 28s"/>
    <s v="pip-nwdr-msi"/>
    <x v="24"/>
    <d v="1899-12-30T02:32:47"/>
    <d v="1899-12-30T02:07:10"/>
    <n v="0"/>
    <n v="0"/>
  </r>
  <r>
    <n v="17"/>
    <x v="84"/>
    <d v="1899-12-30T20:37:17"/>
    <d v="1899-12-30T21:39:32"/>
    <d v="1899-12-30T23:10:04"/>
    <s v="1 hr 30 min 25s"/>
    <s v="pip-nwdr-msi"/>
    <x v="24"/>
    <d v="1899-12-30T02:32:47"/>
    <d v="1899-12-30T02:07:08"/>
    <n v="0"/>
    <n v="0"/>
  </r>
  <r>
    <n v="18"/>
    <x v="68"/>
    <d v="1899-12-30T20:37:17"/>
    <d v="1899-12-30T21:39:32"/>
    <d v="1899-12-30T23:10:04"/>
    <s v="41 min 40s"/>
    <s v="pip-nwdr-msi"/>
    <x v="24"/>
    <d v="1899-12-30T02:32:47"/>
    <d v="1899-12-30T02:07:05"/>
    <n v="0"/>
    <n v="0"/>
  </r>
  <r>
    <n v="19"/>
    <x v="6"/>
    <d v="1899-12-30T20:37:17"/>
    <d v="1899-12-30T20:37:21"/>
    <d v="1899-12-30T23:10:04"/>
    <s v="1 hr 53 min 58s"/>
    <s v="pip-nwdr-msi"/>
    <x v="24"/>
    <d v="1899-12-30T02:32:47"/>
    <d v="1899-12-30T02:07:02"/>
    <n v="0"/>
    <n v="0"/>
  </r>
  <r>
    <n v="20"/>
    <x v="17"/>
    <d v="1899-12-30T20:37:17"/>
    <d v="1899-12-30T20:37:21"/>
    <d v="1899-12-30T23:10:04"/>
    <s v="2 hr 32 min 37s"/>
    <s v="pip-nwdr-msi"/>
    <x v="24"/>
    <d v="1899-12-30T02:32:47"/>
    <d v="1899-12-30T02:07:00"/>
    <n v="0"/>
    <n v="0"/>
  </r>
  <r>
    <n v="21"/>
    <x v="85"/>
    <d v="1899-12-30T20:37:17"/>
    <d v="1899-12-30T20:37:21"/>
    <d v="1899-12-30T23:10:04"/>
    <s v="2 hr 23 min 16s"/>
    <s v="pip-nwdr-msi"/>
    <x v="24"/>
    <d v="1899-12-30T02:32:47"/>
    <d v="1899-12-30T02:06:57"/>
    <n v="0"/>
    <n v="0"/>
  </r>
  <r>
    <n v="22"/>
    <x v="43"/>
    <d v="1899-12-30T20:37:17"/>
    <d v="1899-12-30T20:37:21"/>
    <d v="1899-12-30T23:10:04"/>
    <s v="2 hr 2 min 20s"/>
    <s v="pip-nwdr-msi"/>
    <x v="24"/>
    <d v="1899-12-30T02:32:47"/>
    <d v="1899-12-30T02:06:54"/>
    <n v="0"/>
    <n v="0"/>
  </r>
  <r>
    <n v="23"/>
    <x v="28"/>
    <d v="1899-12-30T20:37:17"/>
    <d v="1899-12-30T21:39:32"/>
    <d v="1899-12-30T23:10:04"/>
    <s v="41 min 40s"/>
    <s v="pip-nwdr-msi"/>
    <x v="24"/>
    <d v="1899-12-30T02:32:47"/>
    <d v="1899-12-30T02:06:52"/>
    <n v="0"/>
    <n v="0"/>
  </r>
  <r>
    <n v="24"/>
    <x v="58"/>
    <d v="1899-12-30T20:37:17"/>
    <d v="1899-12-30T22:50:36"/>
    <d v="1899-12-30T23:10:04"/>
    <s v="19 min 25s"/>
    <s v="pip-nwdr-msi"/>
    <x v="24"/>
    <d v="1899-12-30T02:32:47"/>
    <d v="1899-12-30T02:06:49"/>
    <n v="0"/>
    <n v="0"/>
  </r>
  <r>
    <n v="25"/>
    <x v="7"/>
    <d v="1899-12-30T20:37:17"/>
    <d v="1899-12-30T20:37:21"/>
    <d v="1899-12-30T23:10:04"/>
    <s v="2 hr 10 min 33s"/>
    <s v="pip-nwdr-msi"/>
    <x v="24"/>
    <d v="1899-12-30T02:32:47"/>
    <d v="1899-12-30T02:06:46"/>
    <n v="0"/>
    <n v="0"/>
  </r>
  <r>
    <n v="26"/>
    <x v="38"/>
    <d v="1899-12-30T20:37:17"/>
    <d v="1899-12-30T21:39:32"/>
    <d v="1899-12-30T23:10:04"/>
    <s v="1 hr 30 min 25s"/>
    <s v="pip-nwdr-msi"/>
    <x v="24"/>
    <d v="1899-12-30T02:32:47"/>
    <d v="1899-12-30T02:06:43"/>
    <n v="0"/>
    <n v="0"/>
  </r>
  <r>
    <n v="27"/>
    <x v="59"/>
    <d v="1899-12-30T20:37:17"/>
    <d v="1899-12-30T20:37:21"/>
    <d v="1899-12-30T23:10:04"/>
    <s v="1 hr 43 min 49s"/>
    <s v="pip-nwdr-msi"/>
    <x v="24"/>
    <d v="1899-12-30T02:32:47"/>
    <d v="1899-12-30T02:06:41"/>
    <n v="0"/>
    <n v="0"/>
  </r>
  <r>
    <n v="28"/>
    <x v="8"/>
    <d v="1899-12-30T20:37:17"/>
    <d v="1899-12-30T20:37:21"/>
    <d v="1899-12-30T23:10:04"/>
    <s v="2 hr 32 min 37s"/>
    <s v="pip-nwdr-msi"/>
    <x v="24"/>
    <d v="1899-12-30T02:32:47"/>
    <d v="1899-12-30T02:06:38"/>
    <n v="0"/>
    <n v="0"/>
  </r>
  <r>
    <n v="29"/>
    <x v="39"/>
    <d v="1899-12-30T20:37:17"/>
    <d v="1899-12-30T20:37:21"/>
    <d v="1899-12-30T23:10:04"/>
    <s v="1 hr 43 min 49s"/>
    <s v="pip-nwdr-msi"/>
    <x v="24"/>
    <d v="1899-12-30T02:32:47"/>
    <d v="1899-12-30T02:06:35"/>
    <n v="0"/>
    <n v="0"/>
  </r>
  <r>
    <n v="30"/>
    <x v="9"/>
    <d v="1899-12-30T20:37:17"/>
    <d v="1899-12-30T20:37:21"/>
    <d v="1899-12-30T23:10:04"/>
    <s v="2 hr 10 min 33s"/>
    <s v="pip-nwdr-msi"/>
    <x v="24"/>
    <d v="1899-12-30T02:32:47"/>
    <d v="1899-12-30T02:06:32"/>
    <n v="0"/>
    <n v="0"/>
  </r>
  <r>
    <n v="31"/>
    <x v="86"/>
    <d v="1899-12-30T20:37:17"/>
    <d v="1899-12-30T20:37:21"/>
    <d v="1899-12-30T23:10:04"/>
    <s v="2 hr 32 min 34s"/>
    <s v="pip-nwdr-msi"/>
    <x v="24"/>
    <d v="1899-12-30T02:32:47"/>
    <d v="1899-12-30T02:06:30"/>
    <n v="0"/>
    <n v="0"/>
  </r>
  <r>
    <n v="32"/>
    <x v="21"/>
    <d v="1899-12-30T20:37:17"/>
    <d v="1899-12-30T20:37:21"/>
    <d v="1899-12-30T23:10:04"/>
    <s v="1 hr 43 min 49s"/>
    <s v="pip-nwdr-msi"/>
    <x v="24"/>
    <d v="1899-12-30T02:32:47"/>
    <d v="1899-12-30T02:06:27"/>
    <n v="0"/>
    <n v="0"/>
  </r>
  <r>
    <n v="33"/>
    <x v="64"/>
    <d v="1899-12-30T20:37:17"/>
    <d v="1899-12-30T21:39:32"/>
    <d v="1899-12-30T23:10:04"/>
    <s v="1 hr 8 min 24s"/>
    <s v="pip-nwdr-msi"/>
    <x v="24"/>
    <d v="1899-12-30T02:32:47"/>
    <d v="1899-12-30T02:06:24"/>
    <n v="0"/>
    <n v="0"/>
  </r>
  <r>
    <n v="34"/>
    <x v="10"/>
    <d v="1899-12-30T20:37:17"/>
    <d v="1899-12-30T20:37:21"/>
    <d v="1899-12-30T23:10:04"/>
    <s v="2 hr 32 min 36s"/>
    <s v="pip-nwdr-msi"/>
    <x v="24"/>
    <d v="1899-12-30T02:32:47"/>
    <d v="1899-12-30T02:06:21"/>
    <n v="0"/>
    <n v="0"/>
  </r>
  <r>
    <n v="35"/>
    <x v="52"/>
    <d v="1899-12-30T20:37:17"/>
    <d v="1899-12-30T20:37:21"/>
    <d v="1899-12-30T23:10:04"/>
    <s v="1 hr 2 min 9s"/>
    <s v="pip-nwdr-msi"/>
    <x v="24"/>
    <d v="1899-12-30T02:32:47"/>
    <d v="1899-12-30T02:06:18"/>
    <n v="0"/>
    <n v="0"/>
  </r>
  <r>
    <n v="36"/>
    <x v="22"/>
    <d v="1899-12-30T20:37:17"/>
    <d v="1899-12-30T20:37:21"/>
    <d v="1899-12-30T23:10:04"/>
    <s v="1 hr 55 min 31s"/>
    <s v="pip-nwdr-msi"/>
    <x v="24"/>
    <d v="1899-12-30T02:32:47"/>
    <d v="1899-12-30T02:06:16"/>
    <n v="0"/>
    <n v="0"/>
  </r>
  <r>
    <n v="37"/>
    <x v="30"/>
    <d v="1899-12-30T20:37:17"/>
    <d v="1899-12-30T20:37:21"/>
    <d v="1899-12-30T23:10:04"/>
    <s v="2 hr 32 min 34s"/>
    <s v="pip-nwdr-msi"/>
    <x v="24"/>
    <d v="1899-12-30T02:32:47"/>
    <d v="1899-12-30T02:06:13"/>
    <n v="0"/>
    <n v="0"/>
  </r>
  <r>
    <n v="38"/>
    <x v="87"/>
    <d v="1899-12-30T20:37:17"/>
    <d v="1899-12-30T20:37:21"/>
    <d v="1899-12-30T23:10:04"/>
    <s v="1 hr 2 min 9s"/>
    <s v="pip-nwdr-msi"/>
    <x v="24"/>
    <d v="1899-12-30T02:32:47"/>
    <d v="1899-12-30T02:06:10"/>
    <n v="0"/>
    <n v="0"/>
  </r>
  <r>
    <n v="39"/>
    <x v="23"/>
    <d v="1899-12-30T20:37:17"/>
    <d v="1899-12-30T20:37:21"/>
    <d v="1899-12-30T23:10:04"/>
    <s v="2 hr 32 min 34s"/>
    <s v="pip-nwdr-msi"/>
    <x v="24"/>
    <d v="1899-12-30T02:32:47"/>
    <d v="1899-12-30T02:06:07"/>
    <n v="0"/>
    <n v="0"/>
  </r>
  <r>
    <n v="40"/>
    <x v="34"/>
    <d v="1899-12-30T20:37:17"/>
    <d v="1899-12-30T20:37:21"/>
    <d v="1899-12-30T23:10:04"/>
    <s v="2 hr 10 min 27s"/>
    <s v="pip-nwdr-msi"/>
    <x v="24"/>
    <d v="1899-12-30T02:32:47"/>
    <d v="1899-12-30T02:06:04"/>
    <n v="0"/>
    <n v="0"/>
  </r>
  <r>
    <n v="41"/>
    <x v="35"/>
    <d v="1899-12-30T20:37:17"/>
    <d v="1899-12-30T21:39:32"/>
    <d v="1899-12-30T23:10:04"/>
    <s v="41 min 40s"/>
    <s v="pip-nwdr-msi"/>
    <x v="24"/>
    <d v="1899-12-30T02:32:47"/>
    <d v="1899-12-30T02:06:01"/>
    <n v="0"/>
    <n v="0"/>
  </r>
  <r>
    <n v="42"/>
    <x v="24"/>
    <d v="1899-12-30T20:37:17"/>
    <d v="1899-12-30T20:37:21"/>
    <d v="1899-12-30T23:10:04"/>
    <s v="2 hr 32 min 37s"/>
    <s v="pip-nwdr-msi"/>
    <x v="24"/>
    <d v="1899-12-30T02:32:47"/>
    <d v="1899-12-30T02:05:58"/>
    <n v="0"/>
    <n v="0"/>
  </r>
  <r>
    <n v="43"/>
    <x v="62"/>
    <d v="1899-12-30T20:37:17"/>
    <d v="1899-12-30T21:39:32"/>
    <d v="1899-12-30T23:10:04"/>
    <s v="47 min 34s"/>
    <s v="pip-nwdr-msi"/>
    <x v="24"/>
    <d v="1899-12-30T02:32:47"/>
    <d v="1899-12-30T02:05:55"/>
    <n v="0"/>
    <n v="0"/>
  </r>
  <r>
    <n v="44"/>
    <x v="81"/>
    <d v="1899-12-30T20:37:17"/>
    <d v="1899-12-30T21:39:32"/>
    <d v="1899-12-30T23:10:04"/>
    <s v="52 min 36s"/>
    <s v="pip-nwdr-msi"/>
    <x v="24"/>
    <d v="1899-12-30T02:32:47"/>
    <d v="1899-12-30T02:05:52"/>
    <n v="0"/>
    <n v="0"/>
  </r>
  <r>
    <n v="45"/>
    <x v="76"/>
    <d v="1899-12-30T20:37:17"/>
    <d v="1899-12-30T20:37:21"/>
    <d v="1899-12-30T23:10:04"/>
    <s v="1 hr 43 min 49s"/>
    <s v="pip-nwdr-msi"/>
    <x v="24"/>
    <d v="1899-12-30T02:32:47"/>
    <d v="1899-12-30T02:05:50"/>
    <n v="0"/>
    <n v="0"/>
  </r>
  <r>
    <n v="46"/>
    <x v="83"/>
    <d v="1899-12-30T20:37:17"/>
    <d v="1899-12-30T21:39:32"/>
    <d v="1899-12-30T23:10:04"/>
    <s v="41 min 40s"/>
    <s v="pip-nwdr-msi"/>
    <x v="24"/>
    <d v="1899-12-30T02:32:47"/>
    <d v="1899-12-30T02:05:47"/>
    <n v="0"/>
    <n v="0"/>
  </r>
  <r>
    <n v="47"/>
    <x v="36"/>
    <d v="1899-12-30T20:37:17"/>
    <d v="1899-12-30T20:37:21"/>
    <d v="1899-12-30T23:10:04"/>
    <s v="2 hr 32 min 37s"/>
    <s v="pip-nwdr-msi"/>
    <x v="24"/>
    <d v="1899-12-30T02:32:47"/>
    <d v="1899-12-30T02:05:44"/>
    <n v="0"/>
    <n v="0"/>
  </r>
  <r>
    <n v="48"/>
    <x v="47"/>
    <d v="1899-12-30T20:37:17"/>
    <d v="1899-12-30T20:37:21"/>
    <d v="1899-12-30T23:10:04"/>
    <s v="2 hr 7 min 7s"/>
    <s v="pip-nwdr-msi"/>
    <x v="24"/>
    <d v="1899-12-30T02:32:47"/>
    <d v="1899-12-30T02:05:41"/>
    <n v="0"/>
    <n v="0"/>
  </r>
  <r>
    <n v="49"/>
    <x v="69"/>
    <d v="1899-12-30T20:37:17"/>
    <d v="1899-12-30T21:39:32"/>
    <d v="1899-12-30T23:10:04"/>
    <s v="41 min 40s"/>
    <s v="pip-nwdr-msi"/>
    <x v="24"/>
    <d v="1899-12-30T02:32:47"/>
    <d v="1899-12-30T02:05:38"/>
    <n v="0"/>
    <n v="0"/>
  </r>
  <r>
    <n v="50"/>
    <x v="67"/>
    <d v="1899-12-30T20:37:17"/>
    <d v="1899-12-30T21:39:32"/>
    <d v="1899-12-30T23:10:04"/>
    <s v="41 min 40s"/>
    <s v="pip-nwdr-msi"/>
    <x v="24"/>
    <d v="1899-12-30T02:32:47"/>
    <d v="1899-12-30T02:05:35"/>
    <n v="0"/>
    <n v="0"/>
  </r>
  <r>
    <n v="51"/>
    <x v="11"/>
    <d v="1899-12-30T20:37:17"/>
    <d v="1899-12-30T20:37:21"/>
    <d v="1899-12-30T23:10:04"/>
    <s v="2 hr 32 min 34s"/>
    <s v="pip-nwdr-msi"/>
    <x v="24"/>
    <d v="1899-12-30T02:32:47"/>
    <d v="1899-12-30T02:05:32"/>
    <n v="0"/>
    <n v="0"/>
  </r>
  <r>
    <n v="52"/>
    <x v="26"/>
    <d v="1899-12-30T20:37:17"/>
    <d v="1899-12-30T20:37:21"/>
    <d v="1899-12-30T23:10:04"/>
    <s v="1 hr 2 min 9s"/>
    <s v="pip-nwdr-msi"/>
    <x v="24"/>
    <d v="1899-12-30T02:32:47"/>
    <d v="1899-12-30T02:05:29"/>
    <n v="0"/>
    <n v="0"/>
  </r>
  <r>
    <n v="1"/>
    <x v="0"/>
    <d v="1899-12-30T20:37:40"/>
    <d v="1899-12-30T20:37:44"/>
    <d v="1899-12-30T22:48:12"/>
    <s v="2 hr 10 min 7s"/>
    <s v="wkf-aivh-zve"/>
    <x v="25"/>
    <d v="1899-12-30T02:10:32"/>
    <d v="1899-12-30T02:05:26"/>
    <n v="0"/>
    <n v="0"/>
  </r>
  <r>
    <n v="2"/>
    <x v="1"/>
    <d v="1899-12-30T20:37:40"/>
    <d v="1899-12-30T20:37:44"/>
    <d v="1899-12-30T22:48:12"/>
    <s v="2 hr 10 min 7s"/>
    <s v="wkf-aivh-zve"/>
    <x v="25"/>
    <d v="1899-12-30T02:10:32"/>
    <d v="1899-12-30T02:05:25"/>
    <n v="0"/>
    <n v="0"/>
  </r>
  <r>
    <n v="3"/>
    <x v="2"/>
    <d v="1899-12-30T20:37:40"/>
    <d v="1899-12-30T20:37:44"/>
    <d v="1899-12-30T22:48:12"/>
    <s v="2 hr 10 min 20s"/>
    <s v="wkf-aivh-zve"/>
    <x v="25"/>
    <d v="1899-12-30T02:10:32"/>
    <d v="1899-12-30T02:05:25"/>
    <n v="0"/>
    <n v="0"/>
  </r>
  <r>
    <n v="4"/>
    <x v="65"/>
    <d v="1899-12-30T20:37:40"/>
    <d v="1899-12-30T20:37:44"/>
    <d v="1899-12-30T22:48:12"/>
    <s v="2 hr 7 min 57s"/>
    <s v="wkf-aivh-zve"/>
    <x v="25"/>
    <d v="1899-12-30T02:10:32"/>
    <d v="1899-12-30T02:05:24"/>
    <n v="0"/>
    <n v="0"/>
  </r>
  <r>
    <n v="5"/>
    <x v="13"/>
    <d v="1899-12-30T20:37:40"/>
    <d v="1899-12-30T20:37:44"/>
    <d v="1899-12-30T22:48:12"/>
    <s v="2 hr 10 min 20s"/>
    <s v="wkf-aivh-zve"/>
    <x v="25"/>
    <d v="1899-12-30T02:10:32"/>
    <d v="1899-12-30T02:05:23"/>
    <n v="0"/>
    <n v="0"/>
  </r>
  <r>
    <n v="6"/>
    <x v="4"/>
    <d v="1899-12-30T20:37:40"/>
    <d v="1899-12-30T20:55:28"/>
    <d v="1899-12-30T22:48:12"/>
    <s v="1 hr 52 min 37s"/>
    <s v="wkf-aivh-zve"/>
    <x v="25"/>
    <d v="1899-12-30T02:10:32"/>
    <d v="1899-12-30T02:05:23"/>
    <n v="0"/>
    <n v="0"/>
  </r>
  <r>
    <n v="7"/>
    <x v="31"/>
    <d v="1899-12-30T20:37:40"/>
    <d v="1899-12-30T20:37:44"/>
    <d v="1899-12-30T22:48:12"/>
    <s v="1 hr 27 min 13s"/>
    <s v="wkf-aivh-zve"/>
    <x v="25"/>
    <d v="1899-12-30T02:10:32"/>
    <d v="1899-12-30T02:05:22"/>
    <n v="0"/>
    <n v="0"/>
  </r>
  <r>
    <n v="8"/>
    <x v="27"/>
    <d v="1899-12-30T20:37:40"/>
    <d v="1899-12-30T20:37:44"/>
    <d v="1899-12-30T22:48:12"/>
    <s v="17 min 43s"/>
    <s v="wkf-aivh-zve"/>
    <x v="25"/>
    <d v="1899-12-30T02:10:32"/>
    <d v="1899-12-30T02:05:22"/>
    <n v="0"/>
    <n v="0"/>
  </r>
  <r>
    <n v="9"/>
    <x v="49"/>
    <d v="1899-12-30T20:37:40"/>
    <d v="1899-12-30T20:37:44"/>
    <d v="1899-12-30T22:48:12"/>
    <s v="2 hr 10 min 13s"/>
    <s v="wkf-aivh-zve"/>
    <x v="25"/>
    <d v="1899-12-30T02:10:32"/>
    <d v="1899-12-30T02:05:21"/>
    <n v="0"/>
    <n v="0"/>
  </r>
  <r>
    <n v="10"/>
    <x v="14"/>
    <d v="1899-12-30T20:37:40"/>
    <d v="1899-12-30T20:37:44"/>
    <d v="1899-12-30T22:48:12"/>
    <s v="2 hr 10 min 20s"/>
    <s v="wkf-aivh-zve"/>
    <x v="25"/>
    <d v="1899-12-30T02:10:32"/>
    <d v="1899-12-30T02:05:21"/>
    <n v="0"/>
    <n v="0"/>
  </r>
  <r>
    <n v="11"/>
    <x v="88"/>
    <d v="1899-12-30T20:37:40"/>
    <d v="1899-12-30T20:37:44"/>
    <d v="1899-12-30T22:48:12"/>
    <s v="1 hr 19 min 27s"/>
    <s v="wkf-aivh-zve"/>
    <x v="25"/>
    <d v="1899-12-30T02:10:32"/>
    <d v="1899-12-30T02:05:20"/>
    <n v="0"/>
    <n v="0"/>
  </r>
  <r>
    <n v="12"/>
    <x v="15"/>
    <d v="1899-12-30T20:37:40"/>
    <d v="1899-12-30T21:56:30"/>
    <d v="1899-12-30T22:48:12"/>
    <s v="9 min 43s"/>
    <s v="wkf-aivh-zve"/>
    <x v="25"/>
    <d v="1899-12-30T02:10:32"/>
    <d v="1899-12-30T02:05:19"/>
    <n v="0"/>
    <n v="0"/>
  </r>
  <r>
    <n v="13"/>
    <x v="5"/>
    <d v="1899-12-30T20:37:40"/>
    <d v="1899-12-30T20:37:44"/>
    <d v="1899-12-30T22:48:12"/>
    <s v="2 hr 10 min 20s"/>
    <s v="wkf-aivh-zve"/>
    <x v="25"/>
    <d v="1899-12-30T02:10:32"/>
    <d v="1899-12-30T02:05:19"/>
    <n v="0"/>
    <n v="0"/>
  </r>
  <r>
    <n v="14"/>
    <x v="50"/>
    <d v="1899-12-30T20:37:40"/>
    <d v="1899-12-30T20:55:28"/>
    <d v="1899-12-30T22:48:12"/>
    <s v="1 hr 44 min 18s"/>
    <s v="wkf-aivh-zve"/>
    <x v="25"/>
    <d v="1899-12-30T02:10:32"/>
    <d v="1899-12-30T02:05:18"/>
    <n v="0"/>
    <n v="0"/>
  </r>
  <r>
    <n v="15"/>
    <x v="89"/>
    <d v="1899-12-30T20:37:40"/>
    <d v="1899-12-30T20:37:44"/>
    <d v="1899-12-30T22:48:12"/>
    <s v="1 hr 18 min 43s"/>
    <s v="wkf-aivh-zve"/>
    <x v="25"/>
    <d v="1899-12-30T02:10:32"/>
    <d v="1899-12-30T02:05:18"/>
    <n v="0"/>
    <n v="0"/>
  </r>
  <r>
    <n v="16"/>
    <x v="51"/>
    <d v="1899-12-30T20:37:40"/>
    <d v="1899-12-30T20:37:44"/>
    <d v="1899-12-30T22:48:12"/>
    <s v="2 hr 10 min 7s"/>
    <s v="wkf-aivh-zve"/>
    <x v="25"/>
    <d v="1899-12-30T02:10:32"/>
    <d v="1899-12-30T02:05:17"/>
    <n v="0"/>
    <n v="0"/>
  </r>
  <r>
    <n v="17"/>
    <x v="78"/>
    <d v="1899-12-30T20:37:40"/>
    <d v="1899-12-30T20:55:28"/>
    <d v="1899-12-30T22:48:12"/>
    <s v="1 hr 9 min 30s"/>
    <s v="wkf-aivh-zve"/>
    <x v="25"/>
    <d v="1899-12-30T02:10:32"/>
    <d v="1899-12-30T02:05:16"/>
    <n v="0"/>
    <n v="0"/>
  </r>
  <r>
    <n v="18"/>
    <x v="84"/>
    <d v="1899-12-30T20:37:40"/>
    <d v="1899-12-30T21:56:30"/>
    <d v="1899-12-30T22:48:12"/>
    <s v="41 min 38s"/>
    <s v="wkf-aivh-zve"/>
    <x v="25"/>
    <d v="1899-12-30T02:10:32"/>
    <d v="1899-12-30T02:05:16"/>
    <n v="0"/>
    <n v="0"/>
  </r>
  <r>
    <n v="19"/>
    <x v="90"/>
    <d v="1899-12-30T20:37:40"/>
    <d v="1899-12-30T20:37:44"/>
    <d v="1899-12-30T22:48:12"/>
    <s v="1 hr 18 min 43s"/>
    <s v="wkf-aivh-zve"/>
    <x v="25"/>
    <d v="1899-12-30T02:10:32"/>
    <d v="1899-12-30T02:05:15"/>
    <n v="0"/>
    <n v="0"/>
  </r>
  <r>
    <n v="20"/>
    <x v="6"/>
    <d v="1899-12-30T20:37:40"/>
    <d v="1899-12-30T20:37:44"/>
    <d v="1899-12-30T22:48:12"/>
    <s v="2 hr 10 min 20s"/>
    <s v="wkf-aivh-zve"/>
    <x v="25"/>
    <d v="1899-12-30T02:10:32"/>
    <d v="1899-12-30T02:05:15"/>
    <n v="0"/>
    <n v="0"/>
  </r>
  <r>
    <n v="21"/>
    <x v="17"/>
    <d v="1899-12-30T20:37:40"/>
    <d v="1899-12-30T20:55:28"/>
    <d v="1899-12-30T22:48:12"/>
    <s v="1 hr 9 min 30s"/>
    <s v="wkf-aivh-zve"/>
    <x v="25"/>
    <d v="1899-12-30T02:10:32"/>
    <d v="1899-12-30T02:05:14"/>
    <n v="0"/>
    <n v="0"/>
  </r>
  <r>
    <n v="22"/>
    <x v="43"/>
    <d v="1899-12-30T20:37:40"/>
    <d v="1899-12-30T20:37:44"/>
    <d v="1899-12-30T22:48:12"/>
    <s v="1 hr 18 min 43s"/>
    <s v="wkf-aivh-zve"/>
    <x v="25"/>
    <d v="1899-12-30T02:10:32"/>
    <d v="1899-12-30T02:05:13"/>
    <n v="0"/>
    <n v="0"/>
  </r>
  <r>
    <n v="23"/>
    <x v="73"/>
    <d v="1899-12-30T20:37:40"/>
    <d v="1899-12-30T20:37:44"/>
    <d v="1899-12-30T22:48:12"/>
    <s v="2 hr 10 min 20s"/>
    <s v="wkf-aivh-zve"/>
    <x v="25"/>
    <d v="1899-12-30T02:10:32"/>
    <d v="1899-12-30T02:05:13"/>
    <n v="0"/>
    <n v="0"/>
  </r>
  <r>
    <n v="24"/>
    <x v="7"/>
    <d v="1899-12-30T20:37:40"/>
    <d v="1899-12-30T20:55:28"/>
    <d v="1899-12-30T22:48:12"/>
    <s v="1 hr 46 min 46s"/>
    <s v="wkf-aivh-zve"/>
    <x v="25"/>
    <d v="1899-12-30T02:10:32"/>
    <d v="1899-12-30T02:05:12"/>
    <n v="0"/>
    <n v="0"/>
  </r>
  <r>
    <n v="25"/>
    <x v="91"/>
    <d v="1899-12-30T20:37:40"/>
    <d v="1899-12-30T20:37:44"/>
    <d v="1899-12-30T22:48:12"/>
    <s v="2 hr 10 min 15s"/>
    <s v="wkf-aivh-zve"/>
    <x v="25"/>
    <d v="1899-12-30T02:10:32"/>
    <d v="1899-12-30T02:05:12"/>
    <n v="0"/>
    <n v="0"/>
  </r>
  <r>
    <n v="26"/>
    <x v="48"/>
    <d v="1899-12-30T20:37:40"/>
    <d v="1899-12-30T20:37:44"/>
    <d v="1899-12-30T22:48:12"/>
    <s v="1 hr 27 min 13s"/>
    <s v="wkf-aivh-zve"/>
    <x v="25"/>
    <d v="1899-12-30T02:10:32"/>
    <d v="1899-12-30T02:05:11"/>
    <n v="0"/>
    <n v="0"/>
  </r>
  <r>
    <n v="27"/>
    <x v="74"/>
    <d v="1899-12-30T20:37:40"/>
    <d v="1899-12-30T20:55:28"/>
    <d v="1899-12-30T22:48:12"/>
    <s v="1 hr 9 min 30s"/>
    <s v="wkf-aivh-zve"/>
    <x v="25"/>
    <d v="1899-12-30T02:10:32"/>
    <d v="1899-12-30T02:05:10"/>
    <n v="0"/>
    <n v="0"/>
  </r>
  <r>
    <n v="28"/>
    <x v="59"/>
    <d v="1899-12-30T20:37:40"/>
    <d v="1899-12-30T20:37:44"/>
    <d v="1899-12-30T22:48:12"/>
    <s v="2 hr 10 min 7s"/>
    <s v="wkf-aivh-zve"/>
    <x v="25"/>
    <d v="1899-12-30T02:10:32"/>
    <d v="1899-12-30T02:05:10"/>
    <n v="0"/>
    <n v="0"/>
  </r>
  <r>
    <n v="29"/>
    <x v="8"/>
    <d v="1899-12-30T20:37:40"/>
    <d v="1899-12-30T20:37:44"/>
    <d v="1899-12-30T22:48:12"/>
    <s v="2 hr 10 min 20s"/>
    <s v="wkf-aivh-zve"/>
    <x v="25"/>
    <d v="1899-12-30T02:10:32"/>
    <d v="1899-12-30T02:05:09"/>
    <n v="0"/>
    <n v="0"/>
  </r>
  <r>
    <n v="30"/>
    <x v="29"/>
    <d v="1899-12-30T20:37:40"/>
    <d v="1899-12-30T20:55:28"/>
    <d v="1899-12-30T22:48:12"/>
    <s v="1 hr 1 min 0s"/>
    <s v="wkf-aivh-zve"/>
    <x v="25"/>
    <d v="1899-12-30T02:10:32"/>
    <d v="1899-12-30T02:05:08"/>
    <n v="0"/>
    <n v="0"/>
  </r>
  <r>
    <n v="31"/>
    <x v="20"/>
    <d v="1899-12-30T20:37:40"/>
    <d v="1899-12-30T20:38:13"/>
    <d v="1899-12-30T22:48:12"/>
    <s v="2 hr 9 min 50s"/>
    <s v="wkf-aivh-zve"/>
    <x v="25"/>
    <d v="1899-12-30T02:10:32"/>
    <d v="1899-12-30T02:05:08"/>
    <n v="0"/>
    <n v="0"/>
  </r>
  <r>
    <n v="32"/>
    <x v="39"/>
    <d v="1899-12-30T20:37:40"/>
    <d v="1899-12-30T20:37:44"/>
    <d v="1899-12-30T22:48:12"/>
    <s v="1 hr 57 min 59s"/>
    <s v="wkf-aivh-zve"/>
    <x v="25"/>
    <d v="1899-12-30T02:10:32"/>
    <d v="1899-12-30T02:05:07"/>
    <n v="0"/>
    <n v="0"/>
  </r>
  <r>
    <n v="33"/>
    <x v="9"/>
    <d v="1899-12-30T20:37:40"/>
    <d v="1899-12-30T21:56:30"/>
    <d v="1899-12-30T22:48:12"/>
    <s v="51 min 37s"/>
    <s v="wkf-aivh-zve"/>
    <x v="25"/>
    <d v="1899-12-30T02:10:32"/>
    <d v="1899-12-30T02:05:07"/>
    <n v="0"/>
    <n v="0"/>
  </r>
  <r>
    <n v="34"/>
    <x v="86"/>
    <d v="1899-12-30T20:37:40"/>
    <d v="1899-12-30T20:37:44"/>
    <d v="1899-12-30T22:48:12"/>
    <s v="1 hr 18 min 43s"/>
    <s v="wkf-aivh-zve"/>
    <x v="25"/>
    <d v="1899-12-30T02:10:32"/>
    <d v="1899-12-30T02:05:06"/>
    <n v="0"/>
    <n v="0"/>
  </r>
  <r>
    <n v="35"/>
    <x v="64"/>
    <d v="1899-12-30T20:37:40"/>
    <d v="1899-12-30T20:37:44"/>
    <d v="1899-12-30T22:48:12"/>
    <s v="1 hr 18 min 43s"/>
    <s v="wkf-aivh-zve"/>
    <x v="25"/>
    <d v="1899-12-30T02:10:32"/>
    <d v="1899-12-30T02:05:05"/>
    <n v="0"/>
    <n v="0"/>
  </r>
  <r>
    <n v="36"/>
    <x v="10"/>
    <d v="1899-12-30T20:37:40"/>
    <d v="1899-12-30T20:37:44"/>
    <d v="1899-12-30T22:48:12"/>
    <s v="2 hr 10 min 20s"/>
    <s v="wkf-aivh-zve"/>
    <x v="25"/>
    <d v="1899-12-30T02:10:32"/>
    <d v="1899-12-30T02:05:05"/>
    <n v="0"/>
    <n v="0"/>
  </r>
  <r>
    <n v="37"/>
    <x v="92"/>
    <d v="1899-12-30T20:37:40"/>
    <d v="1899-12-30T20:55:28"/>
    <d v="1899-12-30T22:48:12"/>
    <s v="1 hr 1 min 0s"/>
    <s v="wkf-aivh-zve"/>
    <x v="25"/>
    <d v="1899-12-30T02:10:32"/>
    <d v="1899-12-30T02:05:04"/>
    <n v="0"/>
    <n v="0"/>
  </r>
  <r>
    <n v="38"/>
    <x v="52"/>
    <d v="1899-12-30T20:37:40"/>
    <d v="1899-12-30T20:37:44"/>
    <d v="1899-12-30T22:48:12"/>
    <s v="2 hr 4 min 0s"/>
    <s v="wkf-aivh-zve"/>
    <x v="25"/>
    <d v="1899-12-30T02:10:32"/>
    <d v="1899-12-30T02:05:03"/>
    <n v="0"/>
    <n v="0"/>
  </r>
  <r>
    <n v="39"/>
    <x v="22"/>
    <d v="1899-12-30T20:37:40"/>
    <d v="1899-12-30T20:37:44"/>
    <d v="1899-12-30T22:48:12"/>
    <s v="2 hr 10 min 15s"/>
    <s v="wkf-aivh-zve"/>
    <x v="25"/>
    <d v="1899-12-30T02:10:32"/>
    <d v="1899-12-30T02:05:03"/>
    <n v="0"/>
    <n v="0"/>
  </r>
  <r>
    <n v="40"/>
    <x v="30"/>
    <d v="1899-12-30T20:37:40"/>
    <d v="1899-12-30T20:37:44"/>
    <d v="1899-12-30T22:48:12"/>
    <s v="2 hr 10 min 20s"/>
    <s v="wkf-aivh-zve"/>
    <x v="25"/>
    <d v="1899-12-30T02:10:32"/>
    <d v="1899-12-30T02:05:02"/>
    <n v="0"/>
    <n v="0"/>
  </r>
  <r>
    <n v="41"/>
    <x v="23"/>
    <d v="1899-12-30T20:37:40"/>
    <d v="1899-12-30T20:37:44"/>
    <d v="1899-12-30T22:48:12"/>
    <s v="2 hr 10 min 11s"/>
    <s v="wkf-aivh-zve"/>
    <x v="25"/>
    <d v="1899-12-30T02:10:32"/>
    <d v="1899-12-30T02:05:01"/>
    <n v="0"/>
    <n v="0"/>
  </r>
  <r>
    <n v="42"/>
    <x v="34"/>
    <d v="1899-12-30T20:37:40"/>
    <d v="1899-12-30T20:37:44"/>
    <d v="1899-12-30T22:48:12"/>
    <s v="2 hr 10 min 7s"/>
    <s v="wkf-aivh-zve"/>
    <x v="25"/>
    <d v="1899-12-30T02:10:32"/>
    <d v="1899-12-30T02:05:01"/>
    <n v="0"/>
    <n v="0"/>
  </r>
  <r>
    <n v="43"/>
    <x v="93"/>
    <d v="1899-12-30T20:37:40"/>
    <d v="1899-12-30T20:37:44"/>
    <d v="1899-12-30T22:48:12"/>
    <s v="2 hr 10 min 7s"/>
    <s v="wkf-aivh-zve"/>
    <x v="25"/>
    <d v="1899-12-30T02:10:32"/>
    <d v="1899-12-30T02:05:00"/>
    <n v="0"/>
    <n v="0"/>
  </r>
  <r>
    <n v="44"/>
    <x v="24"/>
    <d v="1899-12-30T20:37:40"/>
    <d v="1899-12-30T20:55:28"/>
    <d v="1899-12-30T22:48:12"/>
    <s v="1 hr 11 min 10s"/>
    <s v="wkf-aivh-zve"/>
    <x v="25"/>
    <d v="1899-12-30T02:10:32"/>
    <d v="1899-12-30T02:04:59"/>
    <n v="0"/>
    <n v="0"/>
  </r>
  <r>
    <n v="45"/>
    <x v="25"/>
    <d v="1899-12-30T20:37:40"/>
    <d v="1899-12-30T20:37:44"/>
    <d v="1899-12-30T22:48:12"/>
    <s v="1 hr 27 min 13s"/>
    <s v="wkf-aivh-zve"/>
    <x v="25"/>
    <d v="1899-12-30T02:10:32"/>
    <d v="1899-12-30T02:04:59"/>
    <n v="0"/>
    <n v="0"/>
  </r>
  <r>
    <n v="46"/>
    <x v="81"/>
    <d v="1899-12-30T20:37:40"/>
    <d v="1899-12-30T20:37:44"/>
    <d v="1899-12-30T22:48:12"/>
    <s v="2 hr 10 min 20s"/>
    <s v="wkf-aivh-zve"/>
    <x v="25"/>
    <d v="1899-12-30T02:10:32"/>
    <d v="1899-12-30T02:04:58"/>
    <n v="0"/>
    <n v="0"/>
  </r>
  <r>
    <n v="47"/>
    <x v="76"/>
    <d v="1899-12-30T20:37:40"/>
    <d v="1899-12-30T20:37:44"/>
    <d v="1899-12-30T22:48:12"/>
    <s v="2 hr 10 min 9s"/>
    <s v="wkf-aivh-zve"/>
    <x v="25"/>
    <d v="1899-12-30T02:10:32"/>
    <d v="1899-12-30T02:04:57"/>
    <n v="0"/>
    <n v="0"/>
  </r>
  <r>
    <n v="48"/>
    <x v="36"/>
    <d v="1899-12-30T20:37:40"/>
    <d v="1899-12-30T20:55:28"/>
    <d v="1899-12-30T22:48:12"/>
    <s v="1 hr 52 min 37s"/>
    <s v="wkf-aivh-zve"/>
    <x v="25"/>
    <d v="1899-12-30T02:10:32"/>
    <d v="1899-12-30T02:04:57"/>
    <n v="0"/>
    <n v="0"/>
  </r>
  <r>
    <n v="49"/>
    <x v="67"/>
    <d v="1899-12-30T20:37:40"/>
    <d v="1899-12-30T20:37:44"/>
    <d v="1899-12-30T22:48:12"/>
    <s v="2 hr 10 min 7s"/>
    <s v="wkf-aivh-zve"/>
    <x v="25"/>
    <d v="1899-12-30T02:10:32"/>
    <d v="1899-12-30T02:04:56"/>
    <n v="0"/>
    <n v="0"/>
  </r>
  <r>
    <n v="1"/>
    <x v="12"/>
    <d v="1899-12-30T20:37:17"/>
    <d v="1899-12-30T20:37:20"/>
    <d v="1899-12-30T22:37:50"/>
    <s v="1 hr 26 min 34s"/>
    <s v="ztp-nrxc-seu"/>
    <x v="26"/>
    <d v="1899-12-30T02:00:33"/>
    <d v="1899-12-30T02:04:55"/>
    <n v="0"/>
    <n v="0"/>
  </r>
  <r>
    <n v="2"/>
    <x v="1"/>
    <d v="1899-12-30T20:37:17"/>
    <d v="1899-12-30T20:37:20"/>
    <d v="1899-12-30T22:37:50"/>
    <s v="1 hr 17 min 53s"/>
    <s v="ztp-nrxc-seu"/>
    <x v="26"/>
    <d v="1899-12-30T02:00:33"/>
    <d v="1899-12-30T02:04:56"/>
    <n v="0"/>
    <n v="0"/>
  </r>
  <r>
    <n v="3"/>
    <x v="2"/>
    <d v="1899-12-30T20:37:17"/>
    <d v="1899-12-30T20:37:20"/>
    <d v="1899-12-30T22:37:50"/>
    <s v="1 hr 43 min 38s"/>
    <s v="ztp-nrxc-seu"/>
    <x v="26"/>
    <d v="1899-12-30T02:00:33"/>
    <d v="1899-12-30T02:04:56"/>
    <n v="0"/>
    <n v="0"/>
  </r>
  <r>
    <n v="4"/>
    <x v="65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5"/>
    <x v="13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6"/>
    <x v="31"/>
    <d v="1899-12-30T20:37:17"/>
    <d v="1899-12-30T20:37:20"/>
    <d v="1899-12-30T22:37:50"/>
    <s v="54 min 19s"/>
    <s v="ztp-nrxc-seu"/>
    <x v="26"/>
    <d v="1899-12-30T02:00:33"/>
    <d v="1899-12-30T02:04:58"/>
    <n v="0"/>
    <n v="0"/>
  </r>
  <r>
    <n v="7"/>
    <x v="49"/>
    <d v="1899-12-30T20:37:17"/>
    <d v="1899-12-30T21:48:30"/>
    <d v="1899-12-30T22:37:50"/>
    <s v="49 min 19s"/>
    <s v="ztp-nrxc-seu"/>
    <x v="26"/>
    <d v="1899-12-30T02:00:33"/>
    <d v="1899-12-30T02:04:59"/>
    <n v="0"/>
    <n v="0"/>
  </r>
  <r>
    <n v="8"/>
    <x v="70"/>
    <d v="1899-12-30T20:37:17"/>
    <d v="1899-12-30T20:37:20"/>
    <d v="1899-12-30T22:37:50"/>
    <s v="54 min 19s"/>
    <s v="ztp-nrxc-seu"/>
    <x v="26"/>
    <d v="1899-12-30T02:00:33"/>
    <d v="1899-12-30T02:04:59"/>
    <n v="0"/>
    <n v="0"/>
  </r>
  <r>
    <n v="9"/>
    <x v="14"/>
    <d v="1899-12-30T20:37:17"/>
    <d v="1899-12-30T20:37:20"/>
    <d v="1899-12-30T22:37:50"/>
    <s v="1 hr 43 min 38s"/>
    <s v="ztp-nrxc-seu"/>
    <x v="26"/>
    <d v="1899-12-30T02:00:33"/>
    <d v="1899-12-30T02:05:00"/>
    <n v="0"/>
    <n v="0"/>
  </r>
  <r>
    <n v="10"/>
    <x v="88"/>
    <d v="1899-12-30T20:37:17"/>
    <d v="1899-12-30T21:48:30"/>
    <d v="1899-12-30T22:37:50"/>
    <s v="7 min 23s"/>
    <s v="ztp-nrxc-seu"/>
    <x v="26"/>
    <d v="1899-12-30T02:00:33"/>
    <d v="1899-12-30T02:05:00"/>
    <n v="0"/>
    <n v="0"/>
  </r>
  <r>
    <n v="11"/>
    <x v="54"/>
    <d v="1899-12-30T20:37:17"/>
    <d v="1899-12-30T20:37:20"/>
    <d v="1899-12-30T22:37:50"/>
    <s v="1 hr 43 min 38s"/>
    <s v="ztp-nrxc-seu"/>
    <x v="26"/>
    <d v="1899-12-30T02:00:33"/>
    <d v="1899-12-30T02:05:01"/>
    <n v="0"/>
    <n v="0"/>
  </r>
  <r>
    <n v="12"/>
    <x v="15"/>
    <d v="1899-12-30T20:37:17"/>
    <d v="1899-12-30T20:37:20"/>
    <d v="1899-12-30T22:37:50"/>
    <s v="1 hr 21 min 42s"/>
    <s v="ztp-nrxc-seu"/>
    <x v="26"/>
    <d v="1899-12-30T02:00:33"/>
    <d v="1899-12-30T02:05:01"/>
    <n v="0"/>
    <n v="0"/>
  </r>
  <r>
    <n v="13"/>
    <x v="5"/>
    <d v="1899-12-30T20:37:17"/>
    <d v="1899-12-30T20:37:20"/>
    <d v="1899-12-30T22:37:50"/>
    <s v="1 hr 43 min 38s"/>
    <s v="ztp-nrxc-seu"/>
    <x v="26"/>
    <d v="1899-12-30T02:00:33"/>
    <d v="1899-12-30T02:05:02"/>
    <n v="0"/>
    <n v="0"/>
  </r>
  <r>
    <n v="14"/>
    <x v="50"/>
    <d v="1899-12-30T20:37:17"/>
    <d v="1899-12-30T20:37:20"/>
    <d v="1899-12-30T22:37:50"/>
    <s v="1 hr 25 min 36s"/>
    <s v="ztp-nrxc-seu"/>
    <x v="26"/>
    <d v="1899-12-30T02:00:33"/>
    <d v="1899-12-30T02:05:02"/>
    <n v="0"/>
    <n v="0"/>
  </r>
  <r>
    <n v="15"/>
    <x v="51"/>
    <d v="1899-12-30T20:37:17"/>
    <d v="1899-12-30T21:48:30"/>
    <d v="1899-12-30T22:37:50"/>
    <s v="49 min 19s"/>
    <s v="ztp-nrxc-seu"/>
    <x v="26"/>
    <d v="1899-12-30T02:00:33"/>
    <d v="1899-12-30T02:05:03"/>
    <n v="0"/>
    <n v="0"/>
  </r>
  <r>
    <n v="16"/>
    <x v="78"/>
    <d v="1899-12-30T20:37:17"/>
    <d v="1899-12-30T21:48:30"/>
    <d v="1899-12-30T22:37:50"/>
    <s v="42 min 1s"/>
    <s v="ztp-nrxc-seu"/>
    <x v="26"/>
    <d v="1899-12-30T02:00:33"/>
    <d v="1899-12-30T02:05:04"/>
    <n v="0"/>
    <n v="0"/>
  </r>
  <r>
    <n v="17"/>
    <x v="90"/>
    <d v="1899-12-30T20:37:17"/>
    <d v="1899-12-30T20:37:20"/>
    <d v="1899-12-30T22:37:50"/>
    <s v="54 min 19s"/>
    <s v="ztp-nrxc-seu"/>
    <x v="26"/>
    <d v="1899-12-30T02:00:33"/>
    <d v="1899-12-30T02:05:04"/>
    <n v="0"/>
    <n v="0"/>
  </r>
  <r>
    <n v="18"/>
    <x v="79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19"/>
    <x v="68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20"/>
    <x v="6"/>
    <d v="1899-12-30T20:37:17"/>
    <d v="1899-12-30T21:48:30"/>
    <d v="1899-12-30T22:37:50"/>
    <s v="42 min 46s"/>
    <s v="ztp-nrxc-seu"/>
    <x v="26"/>
    <d v="1899-12-30T02:00:33"/>
    <d v="1899-12-30T02:05:06"/>
    <n v="0"/>
    <n v="0"/>
  </r>
  <r>
    <n v="21"/>
    <x v="17"/>
    <d v="1899-12-30T20:37:17"/>
    <d v="1899-12-30T20:37:20"/>
    <d v="1899-12-30T22:37:50"/>
    <s v="1 hr 43 min 38s"/>
    <s v="ztp-nrxc-seu"/>
    <x v="26"/>
    <d v="1899-12-30T02:00:33"/>
    <d v="1899-12-30T02:05:06"/>
    <n v="0"/>
    <n v="0"/>
  </r>
  <r>
    <n v="22"/>
    <x v="63"/>
    <d v="1899-12-30T20:37:17"/>
    <d v="1899-12-30T20:37:20"/>
    <d v="1899-12-30T22:37:50"/>
    <s v="1 hr 43 min 38s"/>
    <s v="ztp-nrxc-seu"/>
    <x v="26"/>
    <d v="1899-12-30T02:00:33"/>
    <d v="1899-12-30T02:05:07"/>
    <n v="0"/>
    <n v="0"/>
  </r>
  <r>
    <n v="23"/>
    <x v="85"/>
    <d v="1899-12-30T20:37:17"/>
    <d v="1899-12-30T21:48:30"/>
    <d v="1899-12-30T22:37:50"/>
    <s v="49 min 19s"/>
    <s v="ztp-nrxc-seu"/>
    <x v="26"/>
    <d v="1899-12-30T02:00:33"/>
    <d v="1899-12-30T02:05:08"/>
    <n v="0"/>
    <n v="0"/>
  </r>
  <r>
    <n v="24"/>
    <x v="43"/>
    <d v="1899-12-30T20:37:17"/>
    <d v="1899-12-30T20:37:20"/>
    <d v="1899-12-30T22:37:50"/>
    <s v="1 hr 43 min 38s"/>
    <s v="ztp-nrxc-seu"/>
    <x v="26"/>
    <d v="1899-12-30T02:00:33"/>
    <d v="1899-12-30T02:05:08"/>
    <n v="0"/>
    <n v="0"/>
  </r>
  <r>
    <n v="25"/>
    <x v="73"/>
    <d v="1899-12-30T20:37:17"/>
    <d v="1899-12-30T20:37:20"/>
    <d v="1899-12-30T22:37:50"/>
    <s v="1 hr 42 min 40s"/>
    <s v="ztp-nrxc-seu"/>
    <x v="26"/>
    <d v="1899-12-30T02:00:33"/>
    <d v="1899-12-30T02:05:09"/>
    <n v="0"/>
    <n v="0"/>
  </r>
  <r>
    <n v="26"/>
    <x v="28"/>
    <d v="1899-12-30T20:37:17"/>
    <d v="1899-12-30T20:37:20"/>
    <d v="1899-12-30T22:37:50"/>
    <s v="1 hr 1 min 42s"/>
    <s v="ztp-nrxc-seu"/>
    <x v="26"/>
    <d v="1899-12-30T02:00:33"/>
    <d v="1899-12-30T02:05:09"/>
    <n v="0"/>
    <n v="0"/>
  </r>
  <r>
    <n v="27"/>
    <x v="7"/>
    <d v="1899-12-30T20:37:17"/>
    <d v="1899-12-30T20:37:20"/>
    <d v="1899-12-30T22:37:50"/>
    <s v="1 hr 36 min 15s"/>
    <s v="ztp-nrxc-seu"/>
    <x v="26"/>
    <d v="1899-12-30T02:00:33"/>
    <d v="1899-12-30T02:05:10"/>
    <n v="0"/>
    <n v="0"/>
  </r>
  <r>
    <n v="28"/>
    <x v="91"/>
    <d v="1899-12-30T20:37:17"/>
    <d v="1899-12-30T20:37:20"/>
    <d v="1899-12-30T22:37:50"/>
    <s v="1 hr 43 min 38s"/>
    <s v="ztp-nrxc-seu"/>
    <x v="26"/>
    <d v="1899-12-30T02:00:33"/>
    <d v="1899-12-30T02:05:10"/>
    <n v="0"/>
    <n v="0"/>
  </r>
  <r>
    <n v="29"/>
    <x v="48"/>
    <d v="1899-12-30T20:37:17"/>
    <d v="1899-12-30T20:37:20"/>
    <d v="1899-12-30T22:37:50"/>
    <s v="54 min 19s"/>
    <s v="ztp-nrxc-seu"/>
    <x v="26"/>
    <d v="1899-12-30T02:00:33"/>
    <d v="1899-12-30T02:05:11"/>
    <n v="0"/>
    <n v="0"/>
  </r>
  <r>
    <n v="30"/>
    <x v="74"/>
    <d v="1899-12-30T20:37:17"/>
    <d v="1899-12-30T21:48:30"/>
    <d v="1899-12-30T22:37:50"/>
    <s v="49 min 19s"/>
    <s v="ztp-nrxc-seu"/>
    <x v="26"/>
    <d v="1899-12-30T02:00:33"/>
    <d v="1899-12-30T02:05:12"/>
    <n v="0"/>
    <n v="0"/>
  </r>
  <r>
    <n v="31"/>
    <x v="59"/>
    <d v="1899-12-30T20:37:17"/>
    <d v="1899-12-30T20:37:20"/>
    <d v="1899-12-30T22:37:50"/>
    <s v="1 hr 37 min 50s"/>
    <s v="ztp-nrxc-seu"/>
    <x v="26"/>
    <d v="1899-12-30T02:00:33"/>
    <d v="1899-12-30T02:05:12"/>
    <n v="0"/>
    <n v="0"/>
  </r>
  <r>
    <n v="32"/>
    <x v="8"/>
    <d v="1899-12-30T20:37:17"/>
    <d v="1899-12-30T20:37:20"/>
    <d v="1899-12-30T22:37:50"/>
    <s v="1 hr 42 min 25s"/>
    <s v="ztp-nrxc-seu"/>
    <x v="26"/>
    <d v="1899-12-30T02:00:33"/>
    <d v="1899-12-30T02:05:13"/>
    <n v="0"/>
    <n v="0"/>
  </r>
  <r>
    <n v="33"/>
    <x v="29"/>
    <d v="1899-12-30T20:37:17"/>
    <d v="1899-12-30T20:37:20"/>
    <d v="1899-12-30T22:37:50"/>
    <s v="54 min 19s"/>
    <s v="ztp-nrxc-seu"/>
    <x v="26"/>
    <d v="1899-12-30T02:00:33"/>
    <d v="1899-12-30T02:05:13"/>
    <n v="0"/>
    <n v="0"/>
  </r>
  <r>
    <n v="34"/>
    <x v="20"/>
    <d v="1899-12-30T20:37:17"/>
    <d v="1899-12-30T21:48:30"/>
    <d v="1899-12-30T22:37:50"/>
    <s v="48 min 59s"/>
    <s v="ztp-nrxc-seu"/>
    <x v="26"/>
    <d v="1899-12-30T02:00:33"/>
    <d v="1899-12-30T02:05:14"/>
    <n v="0"/>
    <n v="0"/>
  </r>
  <r>
    <n v="35"/>
    <x v="39"/>
    <d v="1899-12-30T20:37:17"/>
    <d v="1899-12-30T20:37:20"/>
    <d v="1899-12-30T22:37:50"/>
    <s v="1 hr 9 min 53s"/>
    <s v="ztp-nrxc-seu"/>
    <x v="26"/>
    <d v="1899-12-30T02:00:33"/>
    <d v="1899-12-30T02:05:15"/>
    <n v="0"/>
    <n v="0"/>
  </r>
  <r>
    <n v="36"/>
    <x v="9"/>
    <d v="1899-12-30T20:37:17"/>
    <d v="1899-12-30T20:37:20"/>
    <d v="1899-12-30T22:37:50"/>
    <s v="1 hr 43 min 38s"/>
    <s v="ztp-nrxc-seu"/>
    <x v="26"/>
    <d v="1899-12-30T02:00:33"/>
    <d v="1899-12-30T02:05:15"/>
    <n v="0"/>
    <n v="0"/>
  </r>
  <r>
    <n v="37"/>
    <x v="86"/>
    <d v="1899-12-30T20:37:17"/>
    <d v="1899-12-30T20:37:20"/>
    <d v="1899-12-30T22:37:50"/>
    <s v="54 min 19s"/>
    <s v="ztp-nrxc-seu"/>
    <x v="26"/>
    <d v="1899-12-30T02:00:33"/>
    <d v="1899-12-30T02:05:16"/>
    <n v="0"/>
    <n v="0"/>
  </r>
  <r>
    <n v="38"/>
    <x v="21"/>
    <d v="1899-12-30T20:37:17"/>
    <d v="1899-12-30T20:37:20"/>
    <d v="1899-12-30T22:37:50"/>
    <s v="54 min 19s"/>
    <s v="ztp-nrxc-seu"/>
    <x v="26"/>
    <d v="1899-12-30T02:00:33"/>
    <d v="1899-12-30T02:05:17"/>
    <n v="0"/>
    <n v="0"/>
  </r>
  <r>
    <n v="39"/>
    <x v="64"/>
    <d v="1899-12-30T20:37:17"/>
    <d v="1899-12-30T20:37:20"/>
    <d v="1899-12-30T22:37:50"/>
    <s v="1 hr 43 min 38s"/>
    <s v="ztp-nrxc-seu"/>
    <x v="26"/>
    <d v="1899-12-30T02:00:33"/>
    <d v="1899-12-30T02:05:17"/>
    <n v="0"/>
    <n v="0"/>
  </r>
  <r>
    <n v="40"/>
    <x v="10"/>
    <d v="1899-12-30T20:37:17"/>
    <d v="1899-12-30T21:48:30"/>
    <d v="1899-12-30T22:37:50"/>
    <s v="49 min 19s"/>
    <s v="ztp-nrxc-seu"/>
    <x v="26"/>
    <d v="1899-12-30T02:00:33"/>
    <d v="1899-12-30T02:05:18"/>
    <n v="0"/>
    <n v="0"/>
  </r>
  <r>
    <n v="41"/>
    <x v="92"/>
    <d v="1899-12-30T20:37:17"/>
    <d v="1899-12-30T20:37:20"/>
    <d v="1899-12-30T22:37:50"/>
    <s v="1 hr 36 min 6s"/>
    <s v="ztp-nrxc-seu"/>
    <x v="26"/>
    <d v="1899-12-30T02:00:33"/>
    <d v="1899-12-30T02:05:18"/>
    <n v="0"/>
    <n v="0"/>
  </r>
  <r>
    <n v="42"/>
    <x v="52"/>
    <d v="1899-12-30T20:37:17"/>
    <d v="1899-12-30T20:37:20"/>
    <d v="1899-12-30T22:37:50"/>
    <s v="1 hr 43 min 38s"/>
    <s v="ztp-nrxc-seu"/>
    <x v="26"/>
    <d v="1899-12-30T02:00:33"/>
    <d v="1899-12-30T02:05:19"/>
    <n v="0"/>
    <n v="0"/>
  </r>
  <r>
    <n v="43"/>
    <x v="55"/>
    <d v="1899-12-30T20:37:17"/>
    <d v="1899-12-30T21:48:30"/>
    <d v="1899-12-30T22:37:50"/>
    <s v="49 min 19s"/>
    <s v="ztp-nrxc-seu"/>
    <x v="26"/>
    <d v="1899-12-30T02:00:33"/>
    <d v="1899-12-30T02:05:20"/>
    <n v="0"/>
    <n v="0"/>
  </r>
  <r>
    <n v="44"/>
    <x v="22"/>
    <d v="1899-12-30T20:37:17"/>
    <d v="1899-12-30T20:37:20"/>
    <d v="1899-12-30T22:37:50"/>
    <s v="1 hr 43 min 38s"/>
    <s v="ztp-nrxc-seu"/>
    <x v="26"/>
    <d v="1899-12-30T02:00:33"/>
    <d v="1899-12-30T02:05:20"/>
    <n v="0"/>
    <n v="0"/>
  </r>
  <r>
    <n v="45"/>
    <x v="94"/>
    <d v="1899-12-30T20:37:17"/>
    <d v="1899-12-30T20:37:20"/>
    <d v="1899-12-30T22:37:50"/>
    <s v="1 hr 43 min 38s"/>
    <s v="ztp-nrxc-seu"/>
    <x v="26"/>
    <d v="1899-12-30T02:00:33"/>
    <d v="1899-12-30T02:05:21"/>
    <n v="0"/>
    <n v="0"/>
  </r>
  <r>
    <n v="46"/>
    <x v="30"/>
    <d v="1899-12-30T20:37:17"/>
    <d v="1899-12-30T20:37:20"/>
    <d v="1899-12-30T22:37:50"/>
    <s v="1 hr 42 min 59s"/>
    <s v="ztp-nrxc-seu"/>
    <x v="26"/>
    <d v="1899-12-30T02:00:33"/>
    <d v="1899-12-30T02:05:22"/>
    <n v="0"/>
    <n v="0"/>
  </r>
  <r>
    <n v="47"/>
    <x v="23"/>
    <d v="1899-12-30T20:37:17"/>
    <d v="1899-12-30T20:37:20"/>
    <d v="1899-12-30T22:37:50"/>
    <s v="1 hr 43 min 38s"/>
    <s v="ztp-nrxc-seu"/>
    <x v="26"/>
    <d v="1899-12-30T02:00:33"/>
    <d v="1899-12-30T02:05:22"/>
    <n v="0"/>
    <n v="0"/>
  </r>
  <r>
    <n v="48"/>
    <x v="34"/>
    <d v="1899-12-30T20:37:17"/>
    <d v="1899-12-30T20:37:20"/>
    <d v="1899-12-30T22:37:50"/>
    <s v="1 hr 43 min 38s"/>
    <s v="ztp-nrxc-seu"/>
    <x v="26"/>
    <d v="1899-12-30T02:00:33"/>
    <d v="1899-12-30T02:05:23"/>
    <n v="0"/>
    <n v="0"/>
  </r>
  <r>
    <n v="49"/>
    <x v="93"/>
    <d v="1899-12-30T20:37:17"/>
    <d v="1899-12-30T20:37:20"/>
    <d v="1899-12-30T22:37:50"/>
    <s v="1 hr 25 min 39s"/>
    <s v="ztp-nrxc-seu"/>
    <x v="26"/>
    <d v="1899-12-30T02:00:33"/>
    <d v="1899-12-30T02:05:24"/>
    <n v="0"/>
    <n v="0"/>
  </r>
  <r>
    <n v="50"/>
    <x v="24"/>
    <d v="1899-12-30T20:37:17"/>
    <d v="1899-12-30T20:37:20"/>
    <d v="1899-12-30T22:37:50"/>
    <s v="1 hr 43 min 38s"/>
    <s v="ztp-nrxc-seu"/>
    <x v="26"/>
    <d v="1899-12-30T02:00:33"/>
    <d v="1899-12-30T02:05:24"/>
    <n v="0"/>
    <n v="0"/>
  </r>
  <r>
    <n v="51"/>
    <x v="25"/>
    <d v="1899-12-30T20:37:17"/>
    <d v="1899-12-30T21:55:53"/>
    <d v="1899-12-30T22:37:50"/>
    <s v="35 min 34s"/>
    <s v="ztp-nrxc-seu"/>
    <x v="26"/>
    <d v="1899-12-30T02:00:33"/>
    <d v="1899-12-30T02:05:25"/>
    <n v="0"/>
    <n v="0"/>
  </r>
  <r>
    <n v="52"/>
    <x v="81"/>
    <d v="1899-12-30T20:37:17"/>
    <d v="1899-12-30T20:37:20"/>
    <d v="1899-12-30T22:37:50"/>
    <s v="1 hr 33 min 32s"/>
    <s v="ztp-nrxc-seu"/>
    <x v="26"/>
    <d v="1899-12-30T02:00:33"/>
    <d v="1899-12-30T02:05:26"/>
    <n v="0"/>
    <n v="0"/>
  </r>
  <r>
    <n v="53"/>
    <x v="76"/>
    <d v="1899-12-30T20:37:17"/>
    <d v="1899-12-30T20:37:20"/>
    <d v="1899-12-30T22:37:50"/>
    <s v="1 hr 43 min 38s"/>
    <s v="ztp-nrxc-seu"/>
    <x v="26"/>
    <d v="1899-12-30T02:00:33"/>
    <d v="1899-12-30T02:05:26"/>
    <n v="0"/>
    <n v="0"/>
  </r>
  <r>
    <n v="54"/>
    <x v="95"/>
    <d v="1899-12-30T20:37:17"/>
    <d v="1899-12-30T22:31:54"/>
    <d v="1899-12-30T22:37:50"/>
    <s v="5 min 55s"/>
    <s v="ztp-nrxc-seu"/>
    <x v="26"/>
    <d v="1899-12-30T02:00:33"/>
    <d v="1899-12-30T02:05:27"/>
    <n v="0"/>
    <n v="0"/>
  </r>
  <r>
    <n v="55"/>
    <x v="36"/>
    <d v="1899-12-30T20:37:17"/>
    <d v="1899-12-30T20:37:20"/>
    <d v="1899-12-30T22:37:50"/>
    <s v="1 hr 43 min 38s"/>
    <s v="ztp-nrxc-seu"/>
    <x v="26"/>
    <d v="1899-12-30T02:00:33"/>
    <d v="1899-12-30T02:05:28"/>
    <n v="0"/>
    <n v="0"/>
  </r>
  <r>
    <n v="56"/>
    <x v="47"/>
    <d v="1899-12-30T20:37:17"/>
    <d v="1899-12-30T21:48:30"/>
    <d v="1899-12-30T22:37:50"/>
    <s v="10 min 50s"/>
    <s v="ztp-nrxc-seu"/>
    <x v="26"/>
    <d v="1899-12-30T02:00:33"/>
    <d v="1899-12-30T02:05:28"/>
    <n v="0"/>
    <n v="0"/>
  </r>
  <r>
    <n v="57"/>
    <x v="69"/>
    <d v="1899-12-30T20:37:17"/>
    <d v="1899-12-30T20:37:20"/>
    <d v="1899-12-30T22:37:50"/>
    <s v="1 hr 8 min 40s"/>
    <s v="ztp-nrxc-seu"/>
    <x v="26"/>
    <d v="1899-12-30T02:00:33"/>
    <d v="1899-12-30T02:05:29"/>
    <n v="0"/>
    <n v="0"/>
  </r>
  <r>
    <n v="58"/>
    <x v="67"/>
    <d v="1899-12-30T20:37:17"/>
    <d v="1899-12-30T20:37:20"/>
    <d v="1899-12-30T22:37:50"/>
    <s v="1 hr 38 min 4s"/>
    <s v="ztp-nrxc-seu"/>
    <x v="26"/>
    <d v="1899-12-30T02:00:33"/>
    <d v="1899-12-30T02:05:30"/>
    <n v="0"/>
    <n v="0"/>
  </r>
  <r>
    <n v="1"/>
    <x v="1"/>
    <d v="1899-12-30T20:36:22"/>
    <d v="1899-12-30T20:36:26"/>
    <d v="1899-12-30T22:11:15"/>
    <s v="1 hr 34 min 3s"/>
    <s v="rhi-fugx-kpy"/>
    <x v="27"/>
    <d v="1899-12-30T01:34:53"/>
    <d v="1899-12-30T02:05:30"/>
    <n v="0"/>
    <n v="0"/>
  </r>
  <r>
    <n v="2"/>
    <x v="2"/>
    <d v="1899-12-30T20:36:22"/>
    <d v="1899-12-30T21:36:18"/>
    <d v="1899-12-30T22:11:15"/>
    <s v="33 min 8s"/>
    <s v="rhi-fugx-kpy"/>
    <x v="27"/>
    <d v="1899-12-30T01:34:53"/>
    <d v="1899-12-30T02:05:34"/>
    <n v="0"/>
    <n v="0"/>
  </r>
  <r>
    <n v="3"/>
    <x v="65"/>
    <d v="1899-12-30T20:36:22"/>
    <d v="1899-12-30T20:36:26"/>
    <d v="1899-12-30T22:11:15"/>
    <s v="1 hr 34 min 3s"/>
    <s v="rhi-fugx-kpy"/>
    <x v="27"/>
    <d v="1899-12-30T01:34:53"/>
    <d v="1899-12-30T02:05:39"/>
    <n v="0"/>
    <n v="0"/>
  </r>
  <r>
    <n v="4"/>
    <x v="13"/>
    <d v="1899-12-30T20:36:22"/>
    <d v="1899-12-30T20:36:26"/>
    <d v="1899-12-30T22:11:15"/>
    <s v="1 hr 33 min 20s"/>
    <s v="rhi-fugx-kpy"/>
    <x v="27"/>
    <d v="1899-12-30T01:34:53"/>
    <d v="1899-12-30T02:05:43"/>
    <n v="0"/>
    <n v="0"/>
  </r>
  <r>
    <n v="5"/>
    <x v="96"/>
    <d v="1899-12-30T20:36:22"/>
    <d v="1899-12-30T21:36:18"/>
    <d v="1899-12-30T22:11:15"/>
    <s v="34 min 16s"/>
    <s v="rhi-fugx-kpy"/>
    <x v="27"/>
    <d v="1899-12-30T01:34:53"/>
    <d v="1899-12-30T02:05:47"/>
    <n v="0"/>
    <n v="0"/>
  </r>
  <r>
    <n v="6"/>
    <x v="4"/>
    <d v="1899-12-30T20:36:22"/>
    <d v="1899-12-30T20:36:26"/>
    <d v="1899-12-30T22:11:15"/>
    <s v="1 hr 34 min 3s"/>
    <s v="rhi-fugx-kpy"/>
    <x v="27"/>
    <d v="1899-12-30T01:34:53"/>
    <d v="1899-12-30T02:05:52"/>
    <n v="0"/>
    <n v="0"/>
  </r>
  <r>
    <n v="7"/>
    <x v="31"/>
    <d v="1899-12-30T20:36:22"/>
    <d v="1899-12-30T21:36:18"/>
    <d v="1899-12-30T22:11:15"/>
    <s v="33 min 39s"/>
    <s v="rhi-fugx-kpy"/>
    <x v="27"/>
    <d v="1899-12-30T01:34:53"/>
    <d v="1899-12-30T02:05:56"/>
    <n v="0"/>
    <n v="0"/>
  </r>
  <r>
    <n v="8"/>
    <x v="72"/>
    <d v="1899-12-30T20:36:22"/>
    <d v="1899-12-30T20:36:26"/>
    <d v="1899-12-30T22:11:15"/>
    <s v="1 hr 34 min 3s"/>
    <s v="rhi-fugx-kpy"/>
    <x v="27"/>
    <d v="1899-12-30T01:34:53"/>
    <d v="1899-12-30T02:06:00"/>
    <n v="0"/>
    <n v="0"/>
  </r>
  <r>
    <n v="9"/>
    <x v="49"/>
    <d v="1899-12-30T20:36:22"/>
    <d v="1899-12-30T20:36:26"/>
    <d v="1899-12-30T22:11:15"/>
    <s v="1 hr 34 min 3s"/>
    <s v="rhi-fugx-kpy"/>
    <x v="27"/>
    <d v="1899-12-30T01:34:53"/>
    <d v="1899-12-30T02:06:05"/>
    <n v="0"/>
    <n v="0"/>
  </r>
  <r>
    <n v="10"/>
    <x v="70"/>
    <d v="1899-12-30T20:36:22"/>
    <d v="1899-12-30T22:04:48"/>
    <d v="1899-12-30T22:11:15"/>
    <s v="0 min 11s"/>
    <s v="rhi-fugx-kpy"/>
    <x v="27"/>
    <d v="1899-12-30T01:34:53"/>
    <d v="1899-12-30T02:06:09"/>
    <n v="0"/>
    <n v="0"/>
  </r>
  <r>
    <n v="11"/>
    <x v="14"/>
    <d v="1899-12-30T20:36:22"/>
    <d v="1899-12-30T21:36:18"/>
    <d v="1899-12-30T22:11:15"/>
    <s v="34 min 16s"/>
    <s v="rhi-fugx-kpy"/>
    <x v="27"/>
    <d v="1899-12-30T01:34:53"/>
    <d v="1899-12-30T02:06:13"/>
    <n v="0"/>
    <n v="0"/>
  </r>
  <r>
    <n v="12"/>
    <x v="97"/>
    <d v="1899-12-30T20:36:22"/>
    <d v="1899-12-30T20:36:26"/>
    <d v="1899-12-30T22:11:15"/>
    <s v="1 hr 34 min 3s"/>
    <s v="rhi-fugx-kpy"/>
    <x v="27"/>
    <d v="1899-12-30T01:34:53"/>
    <d v="1899-12-30T02:06:18"/>
    <n v="0"/>
    <n v="0"/>
  </r>
  <r>
    <n v="13"/>
    <x v="15"/>
    <d v="1899-12-30T20:36:22"/>
    <d v="1899-12-30T21:36:18"/>
    <d v="1899-12-30T22:11:15"/>
    <s v="34 min 16s"/>
    <s v="rhi-fugx-kpy"/>
    <x v="27"/>
    <d v="1899-12-30T01:34:53"/>
    <d v="1899-12-30T02:06:22"/>
    <n v="0"/>
    <n v="0"/>
  </r>
  <r>
    <n v="14"/>
    <x v="5"/>
    <d v="1899-12-30T20:36:22"/>
    <d v="1899-12-30T20:36:26"/>
    <d v="1899-12-30T22:11:15"/>
    <s v="1 hr 34 min 3s"/>
    <s v="rhi-fugx-kpy"/>
    <x v="27"/>
    <d v="1899-12-30T01:34:53"/>
    <d v="1899-12-30T02:06:27"/>
    <n v="0"/>
    <n v="0"/>
  </r>
  <r>
    <n v="15"/>
    <x v="50"/>
    <d v="1899-12-30T20:36:22"/>
    <d v="1899-12-30T20:36:26"/>
    <d v="1899-12-30T22:11:15"/>
    <s v="1 hr 34 min 3s"/>
    <s v="rhi-fugx-kpy"/>
    <x v="27"/>
    <d v="1899-12-30T01:34:53"/>
    <d v="1899-12-30T02:06:31"/>
    <n v="0"/>
    <n v="0"/>
  </r>
  <r>
    <n v="16"/>
    <x v="51"/>
    <d v="1899-12-30T20:36:22"/>
    <d v="1899-12-30T21:36:18"/>
    <d v="1899-12-30T22:11:15"/>
    <s v="34 min 16s"/>
    <s v="rhi-fugx-kpy"/>
    <x v="27"/>
    <d v="1899-12-30T01:34:53"/>
    <d v="1899-12-30T02:06:36"/>
    <n v="0"/>
    <n v="0"/>
  </r>
  <r>
    <n v="17"/>
    <x v="78"/>
    <d v="1899-12-30T20:36:22"/>
    <d v="1899-12-30T21:36:18"/>
    <d v="1899-12-30T22:11:15"/>
    <s v="34 min 12s"/>
    <s v="rhi-fugx-kpy"/>
    <x v="27"/>
    <d v="1899-12-30T01:34:53"/>
    <d v="1899-12-30T02:06:40"/>
    <n v="0"/>
    <n v="0"/>
  </r>
  <r>
    <n v="18"/>
    <x v="68"/>
    <d v="1899-12-30T20:36:22"/>
    <d v="1899-12-30T21:36:18"/>
    <d v="1899-12-30T22:11:15"/>
    <s v="34 min 16s"/>
    <s v="rhi-fugx-kpy"/>
    <x v="27"/>
    <d v="1899-12-30T01:34:53"/>
    <d v="1899-12-30T02:06:45"/>
    <n v="0"/>
    <n v="0"/>
  </r>
  <r>
    <n v="19"/>
    <x v="6"/>
    <d v="1899-12-30T20:36:22"/>
    <d v="1899-12-30T20:36:26"/>
    <d v="1899-12-30T22:11:15"/>
    <s v="1 hr 34 min 3s"/>
    <s v="rhi-fugx-kpy"/>
    <x v="27"/>
    <d v="1899-12-30T01:34:53"/>
    <d v="1899-12-30T02:06:49"/>
    <n v="0"/>
    <n v="0"/>
  </r>
  <r>
    <n v="20"/>
    <x v="17"/>
    <d v="1899-12-30T20:36:22"/>
    <d v="1899-12-30T20:36:26"/>
    <d v="1899-12-30T22:11:15"/>
    <s v="1 hr 34 min 3s"/>
    <s v="rhi-fugx-kpy"/>
    <x v="27"/>
    <d v="1899-12-30T01:34:53"/>
    <d v="1899-12-30T02:06:54"/>
    <n v="0"/>
    <n v="0"/>
  </r>
  <r>
    <n v="21"/>
    <x v="63"/>
    <d v="1899-12-30T20:36:22"/>
    <d v="1899-12-30T20:36:26"/>
    <d v="1899-12-30T22:11:15"/>
    <s v="1 hr 34 min 3s"/>
    <s v="rhi-fugx-kpy"/>
    <x v="27"/>
    <d v="1899-12-30T01:34:53"/>
    <d v="1899-12-30T02:06:59"/>
    <n v="0"/>
    <n v="0"/>
  </r>
  <r>
    <n v="22"/>
    <x v="85"/>
    <d v="1899-12-30T20:36:22"/>
    <d v="1899-12-30T21:36:18"/>
    <d v="1899-12-30T22:11:15"/>
    <s v="34 min 16s"/>
    <s v="rhi-fugx-kpy"/>
    <x v="27"/>
    <d v="1899-12-30T01:34:53"/>
    <d v="1899-12-30T02:07:03"/>
    <n v="0"/>
    <n v="0"/>
  </r>
  <r>
    <n v="23"/>
    <x v="43"/>
    <d v="1899-12-30T20:36:22"/>
    <d v="1899-12-30T20:36:26"/>
    <d v="1899-12-30T22:11:15"/>
    <s v="1 hr 34 min 3s"/>
    <s v="rhi-fugx-kpy"/>
    <x v="27"/>
    <d v="1899-12-30T01:34:53"/>
    <d v="1899-12-30T02:07:08"/>
    <n v="0"/>
    <n v="0"/>
  </r>
  <r>
    <n v="24"/>
    <x v="73"/>
    <d v="1899-12-30T20:36:22"/>
    <d v="1899-12-30T22:04:48"/>
    <d v="1899-12-30T22:11:15"/>
    <s v="5 min 49s"/>
    <s v="rhi-fugx-kpy"/>
    <x v="27"/>
    <d v="1899-12-30T01:34:53"/>
    <d v="1899-12-30T02:07:13"/>
    <n v="0"/>
    <n v="0"/>
  </r>
  <r>
    <n v="25"/>
    <x v="28"/>
    <d v="1899-12-30T20:36:22"/>
    <d v="1899-12-30T21:36:18"/>
    <d v="1899-12-30T22:11:15"/>
    <s v="31 min 52s"/>
    <s v="rhi-fugx-kpy"/>
    <x v="27"/>
    <d v="1899-12-30T01:34:53"/>
    <d v="1899-12-30T02:07:17"/>
    <n v="0"/>
    <n v="0"/>
  </r>
  <r>
    <n v="26"/>
    <x v="58"/>
    <d v="1899-12-30T20:36:22"/>
    <d v="1899-12-30T21:36:18"/>
    <d v="1899-12-30T22:11:15"/>
    <s v="28 min 27s"/>
    <s v="rhi-fugx-kpy"/>
    <x v="27"/>
    <d v="1899-12-30T01:34:53"/>
    <d v="1899-12-30T02:07:22"/>
    <n v="0"/>
    <n v="0"/>
  </r>
  <r>
    <n v="27"/>
    <x v="98"/>
    <d v="1899-12-30T20:36:22"/>
    <d v="1899-12-30T20:36:26"/>
    <d v="1899-12-30T22:11:15"/>
    <s v="59 min 47s"/>
    <s v="rhi-fugx-kpy"/>
    <x v="27"/>
    <d v="1899-12-30T01:34:53"/>
    <d v="1899-12-30T02:07:27"/>
    <n v="0"/>
    <n v="0"/>
  </r>
  <r>
    <n v="28"/>
    <x v="7"/>
    <d v="1899-12-30T20:36:22"/>
    <d v="1899-12-30T20:36:26"/>
    <d v="1899-12-30T22:11:15"/>
    <s v="1 hr 34 min 3s"/>
    <s v="rhi-fugx-kpy"/>
    <x v="27"/>
    <d v="1899-12-30T01:34:53"/>
    <d v="1899-12-30T02:07:31"/>
    <n v="0"/>
    <n v="0"/>
  </r>
  <r>
    <n v="29"/>
    <x v="91"/>
    <d v="1899-12-30T20:36:22"/>
    <d v="1899-12-30T20:36:26"/>
    <d v="1899-12-30T22:11:15"/>
    <s v="1 hr 34 min 3s"/>
    <s v="rhi-fugx-kpy"/>
    <x v="27"/>
    <d v="1899-12-30T01:34:53"/>
    <d v="1899-12-30T02:07:36"/>
    <n v="0"/>
    <n v="0"/>
  </r>
  <r>
    <n v="30"/>
    <x v="38"/>
    <d v="1899-12-30T20:36:22"/>
    <d v="1899-12-30T21:36:18"/>
    <d v="1899-12-30T22:11:15"/>
    <s v="34 min 16s"/>
    <s v="rhi-fugx-kpy"/>
    <x v="27"/>
    <d v="1899-12-30T01:34:53"/>
    <d v="1899-12-30T02:07:41"/>
    <n v="0"/>
    <n v="0"/>
  </r>
  <r>
    <n v="31"/>
    <x v="48"/>
    <d v="1899-12-30T20:36:22"/>
    <d v="1899-12-30T20:36:26"/>
    <d v="1899-12-30T22:11:15"/>
    <s v="59 min 47s"/>
    <s v="rhi-fugx-kpy"/>
    <x v="27"/>
    <d v="1899-12-30T01:34:53"/>
    <d v="1899-12-30T02:07:46"/>
    <n v="0"/>
    <n v="0"/>
  </r>
  <r>
    <n v="32"/>
    <x v="59"/>
    <d v="1899-12-30T20:36:22"/>
    <d v="1899-12-30T20:36:26"/>
    <d v="1899-12-30T22:11:15"/>
    <s v="1 hr 34 min 3s"/>
    <s v="rhi-fugx-kpy"/>
    <x v="27"/>
    <d v="1899-12-30T01:34:53"/>
    <d v="1899-12-30T02:07:51"/>
    <n v="0"/>
    <n v="0"/>
  </r>
  <r>
    <n v="33"/>
    <x v="8"/>
    <d v="1899-12-30T20:36:22"/>
    <d v="1899-12-30T20:36:26"/>
    <d v="1899-12-30T22:11:15"/>
    <s v="1 hr 34 min 3s"/>
    <s v="rhi-fugx-kpy"/>
    <x v="27"/>
    <d v="1899-12-30T01:34:53"/>
    <d v="1899-12-30T02:07:56"/>
    <n v="0"/>
    <n v="0"/>
  </r>
  <r>
    <n v="34"/>
    <x v="80"/>
    <d v="1899-12-30T20:36:22"/>
    <d v="1899-12-30T22:04:48"/>
    <d v="1899-12-30T22:11:15"/>
    <s v="0 min 21s"/>
    <s v="rhi-fugx-kpy"/>
    <x v="27"/>
    <d v="1899-12-30T01:34:53"/>
    <d v="1899-12-30T02:08:01"/>
    <n v="0"/>
    <n v="0"/>
  </r>
  <r>
    <n v="35"/>
    <x v="20"/>
    <d v="1899-12-30T20:36:22"/>
    <d v="1899-12-30T20:36:26"/>
    <d v="1899-12-30T22:11:15"/>
    <s v="1 hr 31 min 55s"/>
    <s v="rhi-fugx-kpy"/>
    <x v="27"/>
    <d v="1899-12-30T01:34:53"/>
    <d v="1899-12-30T02:08:06"/>
    <n v="0"/>
    <n v="0"/>
  </r>
  <r>
    <n v="36"/>
    <x v="99"/>
    <d v="1899-12-30T20:36:22"/>
    <d v="1899-12-30T20:36:26"/>
    <d v="1899-12-30T22:11:15"/>
    <s v="1 hr 34 min 3s"/>
    <s v="rhi-fugx-kpy"/>
    <x v="27"/>
    <d v="1899-12-30T01:34:53"/>
    <d v="1899-12-30T02:08:11"/>
    <n v="0"/>
    <n v="0"/>
  </r>
  <r>
    <n v="37"/>
    <x v="9"/>
    <d v="1899-12-30T20:36:22"/>
    <d v="1899-12-30T22:04:48"/>
    <d v="1899-12-30T22:11:15"/>
    <s v="5 min 49s"/>
    <s v="rhi-fugx-kpy"/>
    <x v="27"/>
    <d v="1899-12-30T01:34:53"/>
    <d v="1899-12-30T02:08:16"/>
    <n v="0"/>
    <n v="0"/>
  </r>
  <r>
    <n v="38"/>
    <x v="86"/>
    <d v="1899-12-30T20:36:22"/>
    <d v="1899-12-30T20:36:26"/>
    <d v="1899-12-30T22:11:15"/>
    <s v="1 hr 5 min 36s"/>
    <s v="rhi-fugx-kpy"/>
    <x v="27"/>
    <d v="1899-12-30T01:34:53"/>
    <d v="1899-12-30T02:08:21"/>
    <n v="0"/>
    <n v="0"/>
  </r>
  <r>
    <n v="39"/>
    <x v="21"/>
    <d v="1899-12-30T20:36:22"/>
    <d v="1899-12-30T20:36:26"/>
    <d v="1899-12-30T22:11:15"/>
    <s v="1 hr 33 min 19s"/>
    <s v="rhi-fugx-kpy"/>
    <x v="27"/>
    <d v="1899-12-30T01:34:53"/>
    <d v="1899-12-30T02:08:26"/>
    <n v="0"/>
    <n v="0"/>
  </r>
  <r>
    <n v="40"/>
    <x v="64"/>
    <d v="1899-12-30T20:36:22"/>
    <d v="1899-12-30T20:36:26"/>
    <d v="1899-12-30T22:11:15"/>
    <s v="1 hr 28 min 14s"/>
    <s v="rhi-fugx-kpy"/>
    <x v="27"/>
    <d v="1899-12-30T01:34:53"/>
    <d v="1899-12-30T02:08:31"/>
    <n v="0"/>
    <n v="0"/>
  </r>
  <r>
    <n v="41"/>
    <x v="52"/>
    <d v="1899-12-30T20:36:22"/>
    <d v="1899-12-30T20:36:26"/>
    <d v="1899-12-30T22:11:15"/>
    <s v="1 hr 5 min 36s"/>
    <s v="rhi-fugx-kpy"/>
    <x v="27"/>
    <d v="1899-12-30T01:34:53"/>
    <d v="1899-12-30T02:08:36"/>
    <n v="0"/>
    <n v="0"/>
  </r>
  <r>
    <n v="42"/>
    <x v="55"/>
    <d v="1899-12-30T20:36:22"/>
    <d v="1899-12-30T21:36:18"/>
    <d v="1899-12-30T22:11:15"/>
    <s v="34 min 16s"/>
    <s v="rhi-fugx-kpy"/>
    <x v="27"/>
    <d v="1899-12-30T01:34:53"/>
    <d v="1899-12-30T02:08:41"/>
    <n v="0"/>
    <n v="0"/>
  </r>
  <r>
    <n v="43"/>
    <x v="22"/>
    <d v="1899-12-30T20:36:22"/>
    <d v="1899-12-30T20:36:26"/>
    <d v="1899-12-30T22:11:15"/>
    <s v="1 hr 34 min 3s"/>
    <s v="rhi-fugx-kpy"/>
    <x v="27"/>
    <d v="1899-12-30T01:34:53"/>
    <d v="1899-12-30T02:08:46"/>
    <n v="0"/>
    <n v="0"/>
  </r>
  <r>
    <n v="44"/>
    <x v="94"/>
    <d v="1899-12-30T20:36:22"/>
    <d v="1899-12-30T20:36:26"/>
    <d v="1899-12-30T22:11:15"/>
    <s v="1 hr 34 min 3s"/>
    <s v="rhi-fugx-kpy"/>
    <x v="27"/>
    <d v="1899-12-30T01:34:53"/>
    <d v="1899-12-30T02:08:51"/>
    <n v="0"/>
    <n v="0"/>
  </r>
  <r>
    <n v="45"/>
    <x v="30"/>
    <d v="1899-12-30T20:36:22"/>
    <d v="1899-12-30T20:36:26"/>
    <d v="1899-12-30T22:11:15"/>
    <s v="1 hr 28 min 14s"/>
    <s v="rhi-fugx-kpy"/>
    <x v="27"/>
    <d v="1899-12-30T01:34:53"/>
    <d v="1899-12-30T02:08:56"/>
    <n v="0"/>
    <n v="0"/>
  </r>
  <r>
    <n v="46"/>
    <x v="33"/>
    <d v="1899-12-30T20:36:22"/>
    <d v="1899-12-30T20:36:26"/>
    <d v="1899-12-30T22:11:15"/>
    <s v="1 hr 34 min 3s"/>
    <s v="rhi-fugx-kpy"/>
    <x v="27"/>
    <d v="1899-12-30T01:34:53"/>
    <d v="1899-12-30T02:09:02"/>
    <n v="0"/>
    <n v="0"/>
  </r>
  <r>
    <n v="47"/>
    <x v="34"/>
    <d v="1899-12-30T20:36:22"/>
    <d v="1899-12-30T21:36:18"/>
    <d v="1899-12-30T22:11:15"/>
    <s v="34 min 16s"/>
    <s v="rhi-fugx-kpy"/>
    <x v="27"/>
    <d v="1899-12-30T01:34:53"/>
    <d v="1899-12-30T02:09:07"/>
    <n v="0"/>
    <n v="0"/>
  </r>
  <r>
    <n v="48"/>
    <x v="93"/>
    <d v="1899-12-30T20:36:22"/>
    <d v="1899-12-30T20:36:26"/>
    <d v="1899-12-30T22:11:15"/>
    <s v="1 hr 34 min 3s"/>
    <s v="rhi-fugx-kpy"/>
    <x v="27"/>
    <d v="1899-12-30T01:34:53"/>
    <d v="1899-12-30T02:09:12"/>
    <n v="0"/>
    <n v="0"/>
  </r>
  <r>
    <n v="49"/>
    <x v="24"/>
    <d v="1899-12-30T20:36:22"/>
    <d v="1899-12-30T21:36:18"/>
    <d v="1899-12-30T22:11:15"/>
    <s v="34 min 16s"/>
    <s v="rhi-fugx-kpy"/>
    <x v="27"/>
    <d v="1899-12-30T01:34:53"/>
    <d v="1899-12-30T02:09:17"/>
    <n v="0"/>
    <n v="0"/>
  </r>
  <r>
    <n v="50"/>
    <x v="62"/>
    <d v="1899-12-30T20:36:22"/>
    <d v="1899-12-30T21:36:18"/>
    <d v="1899-12-30T22:11:15"/>
    <s v="34 min 16s"/>
    <s v="rhi-fugx-kpy"/>
    <x v="27"/>
    <d v="1899-12-30T01:34:53"/>
    <d v="1899-12-30T02:09:23"/>
    <n v="0"/>
    <n v="0"/>
  </r>
  <r>
    <n v="51"/>
    <x v="81"/>
    <d v="1899-12-30T20:36:22"/>
    <d v="1899-12-30T20:36:26"/>
    <d v="1899-12-30T22:11:15"/>
    <s v="1 hr 33 min 42s"/>
    <s v="rhi-fugx-kpy"/>
    <x v="27"/>
    <d v="1899-12-30T01:34:53"/>
    <d v="1899-12-30T02:09:28"/>
    <n v="0"/>
    <n v="0"/>
  </r>
  <r>
    <n v="52"/>
    <x v="76"/>
    <d v="1899-12-30T20:36:22"/>
    <d v="1899-12-30T20:36:26"/>
    <d v="1899-12-30T22:11:15"/>
    <s v="1 hr 34 min 3s"/>
    <s v="rhi-fugx-kpy"/>
    <x v="27"/>
    <d v="1899-12-30T01:34:53"/>
    <d v="1899-12-30T02:09:34"/>
    <n v="0"/>
    <n v="0"/>
  </r>
  <r>
    <n v="53"/>
    <x v="36"/>
    <d v="1899-12-30T20:36:22"/>
    <d v="1899-12-30T21:36:18"/>
    <d v="1899-12-30T22:11:15"/>
    <s v="34 min 16s"/>
    <s v="rhi-fugx-kpy"/>
    <x v="27"/>
    <d v="1899-12-30T01:34:53"/>
    <d v="1899-12-30T02:09:39"/>
    <n v="0"/>
    <n v="0"/>
  </r>
  <r>
    <n v="54"/>
    <x v="47"/>
    <d v="1899-12-30T20:36:22"/>
    <d v="1899-12-30T20:36:26"/>
    <d v="1899-12-30T22:11:15"/>
    <s v="1 hr 34 min 3s"/>
    <s v="rhi-fugx-kpy"/>
    <x v="27"/>
    <d v="1899-12-30T01:34:53"/>
    <d v="1899-12-30T02:09:44"/>
    <n v="0"/>
    <n v="0"/>
  </r>
  <r>
    <n v="55"/>
    <x v="69"/>
    <d v="1899-12-30T20:36:22"/>
    <d v="1899-12-30T21:36:18"/>
    <d v="1899-12-30T22:11:15"/>
    <s v="28 min 27s"/>
    <s v="rhi-fugx-kpy"/>
    <x v="27"/>
    <d v="1899-12-30T01:34:53"/>
    <d v="1899-12-30T02:09:50"/>
    <n v="0"/>
    <n v="0"/>
  </r>
  <r>
    <n v="56"/>
    <x v="67"/>
    <d v="1899-12-30T20:36:22"/>
    <d v="1899-12-30T20:36:26"/>
    <d v="1899-12-30T22:11:15"/>
    <s v="1 hr 34 min 3s"/>
    <s v="rhi-fugx-kpy"/>
    <x v="27"/>
    <d v="1899-12-30T01:34:53"/>
    <d v="1899-12-30T02:09:55"/>
    <n v="0"/>
    <n v="0"/>
  </r>
  <r>
    <n v="1"/>
    <x v="1"/>
    <d v="1899-12-30T20:39:20"/>
    <d v="1899-12-30T20:39:23"/>
    <d v="1899-12-30T22:48:13"/>
    <s v="2 hr 8 min 48s"/>
    <s v="uhx-ocez-tyy"/>
    <x v="28"/>
    <d v="1899-12-30T02:08:53"/>
    <d v="1899-12-30T02:10:01"/>
    <n v="0"/>
    <n v="0"/>
  </r>
  <r>
    <n v="2"/>
    <x v="2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3"/>
    <x v="13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4"/>
    <x v="4"/>
    <d v="1899-12-30T20:39:20"/>
    <d v="1899-12-30T22:47:46"/>
    <d v="1899-12-30T22:48:13"/>
    <s v="0 min 10s"/>
    <s v="uhx-ocez-tyy"/>
    <x v="28"/>
    <d v="1899-12-30T02:08:53"/>
    <d v="1899-12-30T02:10:01"/>
    <n v="0"/>
    <n v="0"/>
  </r>
  <r>
    <n v="5"/>
    <x v="27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6"/>
    <x v="72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7"/>
    <x v="49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8"/>
    <x v="14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9"/>
    <x v="54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10"/>
    <x v="15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1"/>
    <x v="5"/>
    <d v="1899-12-30T20:39:20"/>
    <d v="1899-12-30T20:39:23"/>
    <d v="1899-12-30T22:48:13"/>
    <s v="2 hr 8 min 48s"/>
    <s v="uhx-ocez-tyy"/>
    <x v="28"/>
    <d v="1899-12-30T02:08:53"/>
    <d v="1899-12-30T02:10:03"/>
    <n v="0"/>
    <n v="0"/>
  </r>
  <r>
    <n v="12"/>
    <x v="51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3"/>
    <x v="78"/>
    <d v="1899-12-30T20:39:20"/>
    <d v="1899-12-30T20:39:23"/>
    <d v="1899-12-30T22:48:13"/>
    <s v="0 min 5s"/>
    <s v="uhx-ocez-tyy"/>
    <x v="28"/>
    <d v="1899-12-30T02:08:53"/>
    <d v="1899-12-30T02:10:03"/>
    <n v="0"/>
    <n v="0"/>
  </r>
  <r>
    <n v="14"/>
    <x v="90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5"/>
    <x v="6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6"/>
    <x v="17"/>
    <d v="1899-12-30T20:39:20"/>
    <d v="1899-12-30T20:39:23"/>
    <d v="1899-12-30T22:48:13"/>
    <s v="2 hr 8 min 48s"/>
    <s v="uhx-ocez-tyy"/>
    <x v="28"/>
    <d v="1899-12-30T02:08:53"/>
    <d v="1899-12-30T02:10:04"/>
    <n v="0"/>
    <n v="0"/>
  </r>
  <r>
    <n v="17"/>
    <x v="85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8"/>
    <x v="43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9"/>
    <x v="73"/>
    <d v="1899-12-30T20:39:20"/>
    <d v="1899-12-30T20:39:23"/>
    <d v="1899-12-30T22:48:13"/>
    <s v="0 min 1s"/>
    <s v="uhx-ocez-tyy"/>
    <x v="28"/>
    <d v="1899-12-30T02:08:53"/>
    <d v="1899-12-30T02:10:04"/>
    <n v="0"/>
    <n v="0"/>
  </r>
  <r>
    <n v="20"/>
    <x v="2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1"/>
    <x v="7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2"/>
    <x v="1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3"/>
    <x v="3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4"/>
    <x v="4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5"/>
    <x v="74"/>
    <d v="1899-12-30T20:39:20"/>
    <d v="1899-12-30T20:39:23"/>
    <d v="1899-12-30T22:48:13"/>
    <s v="2 hr 8 min 39s"/>
    <s v="uhx-ocez-tyy"/>
    <x v="28"/>
    <d v="1899-12-30T02:08:53"/>
    <d v="1899-12-30T02:10:06"/>
    <n v="0"/>
    <n v="0"/>
  </r>
  <r>
    <n v="26"/>
    <x v="59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7"/>
    <x v="8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8"/>
    <x v="29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9"/>
    <x v="20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30"/>
    <x v="9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1"/>
    <x v="86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2"/>
    <x v="21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3"/>
    <x v="64"/>
    <d v="1899-12-30T20:39:20"/>
    <d v="1899-12-30T20:39:23"/>
    <d v="1899-12-30T22:48:13"/>
    <s v="2 hr 8 min 48s"/>
    <s v="uhx-ocez-tyy"/>
    <x v="28"/>
    <d v="1899-12-30T02:08:53"/>
    <d v="1899-12-30T02:10:07"/>
    <n v="0"/>
    <n v="0"/>
  </r>
  <r>
    <n v="34"/>
    <x v="45"/>
    <d v="1899-12-30T20:39:20"/>
    <d v="1899-12-30T22:47:46"/>
    <d v="1899-12-30T22:48:13"/>
    <s v="0 min 28s"/>
    <s v="uhx-ocez-tyy"/>
    <x v="28"/>
    <d v="1899-12-30T02:08:53"/>
    <d v="1899-12-30T02:10:07"/>
    <n v="0"/>
    <n v="0"/>
  </r>
  <r>
    <n v="35"/>
    <x v="92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6"/>
    <x v="22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7"/>
    <x v="94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8"/>
    <x v="30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9"/>
    <x v="23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0"/>
    <x v="34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1"/>
    <x v="93"/>
    <d v="1899-12-30T20:39:20"/>
    <d v="1899-12-30T20:39:23"/>
    <d v="1899-12-30T22:48:13"/>
    <s v="2 hr 8 min 42s"/>
    <s v="uhx-ocez-tyy"/>
    <x v="28"/>
    <d v="1899-12-30T02:08:53"/>
    <d v="1899-12-30T02:10:09"/>
    <n v="0"/>
    <n v="0"/>
  </r>
  <r>
    <n v="42"/>
    <x v="24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3"/>
    <x v="81"/>
    <d v="1899-12-30T20:39:20"/>
    <d v="1899-12-30T20:39:23"/>
    <d v="1899-12-30T22:48:13"/>
    <s v="2 hr 8 min 48s"/>
    <s v="uhx-ocez-tyy"/>
    <x v="28"/>
    <d v="1899-12-30T02:08:53"/>
    <d v="1899-12-30T02:10:09"/>
    <n v="0"/>
    <n v="0"/>
  </r>
  <r>
    <n v="44"/>
    <x v="76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5"/>
    <x v="36"/>
    <d v="1899-12-30T20:39:20"/>
    <d v="1899-12-30T20:39:23"/>
    <d v="1899-12-30T22:48:13"/>
    <s v="2 hr 8 min 48s"/>
    <s v="uhx-ocez-tyy"/>
    <x v="28"/>
    <d v="1899-12-30T02:08:53"/>
    <d v="1899-12-30T02:10:10"/>
    <n v="0"/>
    <n v="0"/>
  </r>
  <r>
    <n v="46"/>
    <x v="69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7"/>
    <x v="67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1"/>
    <x v="12"/>
    <d v="1899-12-30T20:38:27"/>
    <d v="1899-12-30T20:38:31"/>
    <d v="1899-12-30T22:20:52"/>
    <s v="1 hr 8 min 18s"/>
    <s v="kdm-nwwh-zkg"/>
    <x v="29"/>
    <d v="1899-12-30T01:42:25"/>
    <d v="1899-12-30T02:10:11"/>
    <n v="1"/>
    <n v="0"/>
  </r>
  <r>
    <n v="2"/>
    <x v="2"/>
    <d v="1899-12-30T20:38:27"/>
    <d v="1899-12-30T20:38:31"/>
    <d v="1899-12-30T22:20:52"/>
    <s v="3 min 29s"/>
    <s v="kdm-nwwh-zkg"/>
    <x v="29"/>
    <d v="1899-12-30T01:42:25"/>
    <d v="1899-12-30T02:10:16"/>
    <n v="1"/>
    <n v="0"/>
  </r>
  <r>
    <n v="3"/>
    <x v="3"/>
    <d v="1899-12-30T20:38:27"/>
    <d v="1899-12-30T21:46:53"/>
    <d v="1899-12-30T22:20:52"/>
    <s v="33 min 59s"/>
    <s v="kdm-nwwh-zkg"/>
    <x v="29"/>
    <d v="1899-12-30T01:42:25"/>
    <d v="1899-12-30T02:10:21"/>
    <n v="1"/>
    <n v="0"/>
  </r>
  <r>
    <n v="4"/>
    <x v="13"/>
    <d v="1899-12-30T20:38:27"/>
    <d v="1899-12-30T20:38:31"/>
    <d v="1899-12-30T22:20:52"/>
    <s v="1 hr 42 min 17s"/>
    <s v="kdm-nwwh-zkg"/>
    <x v="29"/>
    <d v="1899-12-30T01:42:25"/>
    <d v="1899-12-30T02:10:26"/>
    <n v="1"/>
    <n v="0"/>
  </r>
  <r>
    <n v="5"/>
    <x v="96"/>
    <d v="1899-12-30T20:38:27"/>
    <d v="1899-12-30T21:46:53"/>
    <d v="1899-12-30T22:20:52"/>
    <s v="33 min 59s"/>
    <s v="kdm-nwwh-zkg"/>
    <x v="29"/>
    <d v="1899-12-30T01:42:25"/>
    <d v="1899-12-30T02:10:31"/>
    <n v="1"/>
    <n v="0"/>
  </r>
  <r>
    <n v="6"/>
    <x v="4"/>
    <d v="1899-12-30T20:38:27"/>
    <d v="1899-12-30T20:38:31"/>
    <d v="1899-12-30T22:20:52"/>
    <s v="1 hr 8 min 18s"/>
    <s v="kdm-nwwh-zkg"/>
    <x v="29"/>
    <d v="1899-12-30T01:42:25"/>
    <d v="1899-12-30T02:10:36"/>
    <n v="1"/>
    <n v="0"/>
  </r>
  <r>
    <n v="7"/>
    <x v="27"/>
    <d v="1899-12-30T20:38:27"/>
    <d v="1899-12-30T21:46:53"/>
    <d v="1899-12-30T22:20:52"/>
    <s v="33 min 59s"/>
    <s v="kdm-nwwh-zkg"/>
    <x v="29"/>
    <d v="1899-12-30T01:42:25"/>
    <d v="1899-12-30T02:10:41"/>
    <n v="1"/>
    <n v="0"/>
  </r>
  <r>
    <n v="8"/>
    <x v="72"/>
    <d v="1899-12-30T20:38:27"/>
    <d v="1899-12-30T20:38:31"/>
    <d v="1899-12-30T22:20:52"/>
    <s v="1 hr 8 min 18s"/>
    <s v="kdm-nwwh-zkg"/>
    <x v="29"/>
    <d v="1899-12-30T01:42:25"/>
    <d v="1899-12-30T02:10:46"/>
    <n v="1"/>
    <n v="0"/>
  </r>
  <r>
    <n v="9"/>
    <x v="49"/>
    <d v="1899-12-30T20:38:27"/>
    <d v="1899-12-30T20:38:31"/>
    <d v="1899-12-30T22:20:52"/>
    <s v="1 hr 42 min 17s"/>
    <s v="kdm-nwwh-zkg"/>
    <x v="29"/>
    <d v="1899-12-30T01:42:25"/>
    <d v="1899-12-30T02:10:52"/>
    <n v="1"/>
    <n v="0"/>
  </r>
  <r>
    <n v="10"/>
    <x v="14"/>
    <d v="1899-12-30T20:38:27"/>
    <d v="1899-12-30T20:38:31"/>
    <d v="1899-12-30T22:20:52"/>
    <s v="1 hr 42 min 17s"/>
    <s v="kdm-nwwh-zkg"/>
    <x v="29"/>
    <d v="1899-12-30T01:42:25"/>
    <d v="1899-12-30T02:10:57"/>
    <n v="1"/>
    <n v="0"/>
  </r>
  <r>
    <n v="11"/>
    <x v="88"/>
    <d v="1899-12-30T20:38:27"/>
    <d v="1899-12-30T20:38:31"/>
    <d v="1899-12-30T22:20:52"/>
    <s v="1 hr 8 min 18s"/>
    <s v="kdm-nwwh-zkg"/>
    <x v="29"/>
    <d v="1899-12-30T01:42:25"/>
    <d v="1899-12-30T02:11:02"/>
    <n v="1"/>
    <n v="0"/>
  </r>
  <r>
    <n v="12"/>
    <x v="15"/>
    <d v="1899-12-30T20:38:27"/>
    <d v="1899-12-30T21:46:53"/>
    <d v="1899-12-30T22:20:52"/>
    <s v="33 min 59s"/>
    <s v="kdm-nwwh-zkg"/>
    <x v="29"/>
    <d v="1899-12-30T01:42:25"/>
    <d v="1899-12-30T02:11:07"/>
    <n v="1"/>
    <n v="0"/>
  </r>
  <r>
    <n v="13"/>
    <x v="5"/>
    <d v="1899-12-30T20:38:27"/>
    <d v="1899-12-30T20:38:31"/>
    <d v="1899-12-30T22:20:52"/>
    <s v="1 hr 42 min 17s"/>
    <s v="kdm-nwwh-zkg"/>
    <x v="29"/>
    <d v="1899-12-30T01:42:25"/>
    <d v="1899-12-30T02:11:13"/>
    <n v="1"/>
    <n v="0"/>
  </r>
  <r>
    <n v="14"/>
    <x v="89"/>
    <d v="1899-12-30T20:38:27"/>
    <d v="1899-12-30T20:38:31"/>
    <d v="1899-12-30T22:20:52"/>
    <s v="1 hr 8 min 18s"/>
    <s v="kdm-nwwh-zkg"/>
    <x v="29"/>
    <d v="1899-12-30T01:42:25"/>
    <d v="1899-12-30T02:11:18"/>
    <n v="1"/>
    <n v="0"/>
  </r>
  <r>
    <n v="15"/>
    <x v="51"/>
    <d v="1899-12-30T20:38:27"/>
    <d v="1899-12-30T20:38:31"/>
    <d v="1899-12-30T22:20:52"/>
    <s v="1 hr 42 min 17s"/>
    <s v="kdm-nwwh-zkg"/>
    <x v="29"/>
    <d v="1899-12-30T01:42:25"/>
    <d v="1899-12-30T02:11:24"/>
    <n v="1"/>
    <n v="0"/>
  </r>
  <r>
    <n v="16"/>
    <x v="78"/>
    <d v="1899-12-30T20:38:27"/>
    <d v="1899-12-30T20:38:31"/>
    <d v="1899-12-30T22:20:52"/>
    <s v="1 hr 8 min 18s"/>
    <s v="kdm-nwwh-zkg"/>
    <x v="29"/>
    <d v="1899-12-30T01:42:25"/>
    <d v="1899-12-30T02:11:29"/>
    <n v="1"/>
    <n v="0"/>
  </r>
  <r>
    <n v="17"/>
    <x v="42"/>
    <d v="1899-12-30T20:38:27"/>
    <d v="1899-12-30T20:38:31"/>
    <d v="1899-12-30T22:20:52"/>
    <s v="1 hr 8 min 18s"/>
    <s v="kdm-nwwh-zkg"/>
    <x v="29"/>
    <d v="1899-12-30T01:42:25"/>
    <d v="1899-12-30T02:11:35"/>
    <n v="1"/>
    <n v="0"/>
  </r>
  <r>
    <n v="18"/>
    <x v="6"/>
    <d v="1899-12-30T20:38:27"/>
    <d v="1899-12-30T20:38:31"/>
    <d v="1899-12-30T22:20:52"/>
    <s v="1 hr 42 min 17s"/>
    <s v="kdm-nwwh-zkg"/>
    <x v="29"/>
    <d v="1899-12-30T01:42:25"/>
    <d v="1899-12-30T02:11:40"/>
    <n v="1"/>
    <n v="0"/>
  </r>
  <r>
    <n v="19"/>
    <x v="17"/>
    <d v="1899-12-30T20:38:27"/>
    <d v="1899-12-30T20:38:31"/>
    <d v="1899-12-30T22:20:52"/>
    <s v="1 hr 42 min 17s"/>
    <s v="kdm-nwwh-zkg"/>
    <x v="29"/>
    <d v="1899-12-30T01:42:25"/>
    <d v="1899-12-30T02:11:46"/>
    <n v="1"/>
    <n v="0"/>
  </r>
  <r>
    <n v="20"/>
    <x v="85"/>
    <d v="1899-12-30T20:38:27"/>
    <d v="1899-12-30T21:46:53"/>
    <d v="1899-12-30T22:20:52"/>
    <s v="33 min 59s"/>
    <s v="kdm-nwwh-zkg"/>
    <x v="29"/>
    <d v="1899-12-30T01:42:25"/>
    <d v="1899-12-30T02:11:51"/>
    <n v="1"/>
    <n v="0"/>
  </r>
  <r>
    <n v="21"/>
    <x v="43"/>
    <d v="1899-12-30T20:38:27"/>
    <d v="1899-12-30T20:38:31"/>
    <d v="1899-12-30T22:20:52"/>
    <s v="1 hr 42 min 17s"/>
    <s v="kdm-nwwh-zkg"/>
    <x v="29"/>
    <d v="1899-12-30T01:42:25"/>
    <d v="1899-12-30T02:11:57"/>
    <n v="1"/>
    <n v="0"/>
  </r>
  <r>
    <n v="22"/>
    <x v="73"/>
    <d v="1899-12-30T20:38:27"/>
    <d v="1899-12-30T20:38:39"/>
    <d v="1899-12-30T22:20:52"/>
    <s v="1 hr 42 min 9s"/>
    <s v="kdm-nwwh-zkg"/>
    <x v="29"/>
    <d v="1899-12-30T01:42:25"/>
    <d v="1899-12-30T02:12:03"/>
    <n v="1"/>
    <n v="0"/>
  </r>
  <r>
    <n v="23"/>
    <x v="28"/>
    <d v="1899-12-30T20:38:27"/>
    <d v="1899-12-30T20:38:31"/>
    <d v="1899-12-30T22:20:52"/>
    <s v="1 hr 8 min 18s"/>
    <s v="kdm-nwwh-zkg"/>
    <x v="29"/>
    <d v="1899-12-30T01:42:25"/>
    <d v="1899-12-30T02:12:08"/>
    <n v="1"/>
    <n v="0"/>
  </r>
  <r>
    <n v="24"/>
    <x v="7"/>
    <d v="1899-12-30T20:38:27"/>
    <d v="1899-12-30T20:38:31"/>
    <d v="1899-12-30T22:20:52"/>
    <s v="1 hr 42 min 17s"/>
    <s v="kdm-nwwh-zkg"/>
    <x v="29"/>
    <d v="1899-12-30T01:42:25"/>
    <d v="1899-12-30T02:12:14"/>
    <n v="1"/>
    <n v="0"/>
  </r>
  <r>
    <n v="25"/>
    <x v="91"/>
    <d v="1899-12-30T20:38:27"/>
    <d v="1899-12-30T20:38:31"/>
    <d v="1899-12-30T22:20:52"/>
    <s v="1 hr 42 min 17s"/>
    <s v="kdm-nwwh-zkg"/>
    <x v="29"/>
    <d v="1899-12-30T01:42:25"/>
    <d v="1899-12-30T02:12:20"/>
    <n v="1"/>
    <n v="0"/>
  </r>
  <r>
    <n v="26"/>
    <x v="38"/>
    <d v="1899-12-30T20:38:27"/>
    <d v="1899-12-30T21:46:53"/>
    <d v="1899-12-30T22:20:52"/>
    <s v="33 min 59s"/>
    <s v="kdm-nwwh-zkg"/>
    <x v="29"/>
    <d v="1899-12-30T01:42:25"/>
    <d v="1899-12-30T02:12:26"/>
    <n v="1"/>
    <n v="0"/>
  </r>
  <r>
    <n v="27"/>
    <x v="48"/>
    <d v="1899-12-30T20:38:27"/>
    <d v="1899-12-30T20:38:31"/>
    <d v="1899-12-30T22:20:52"/>
    <s v="1 hr 8 min 18s"/>
    <s v="kdm-nwwh-zkg"/>
    <x v="29"/>
    <d v="1899-12-30T01:42:25"/>
    <d v="1899-12-30T02:12:32"/>
    <n v="1"/>
    <n v="0"/>
  </r>
  <r>
    <n v="28"/>
    <x v="59"/>
    <d v="1899-12-30T20:38:27"/>
    <d v="1899-12-30T20:38:31"/>
    <d v="1899-12-30T22:20:52"/>
    <s v="1 hr 42 min 17s"/>
    <s v="kdm-nwwh-zkg"/>
    <x v="29"/>
    <d v="1899-12-30T01:42:25"/>
    <d v="1899-12-30T02:12:38"/>
    <n v="1"/>
    <n v="0"/>
  </r>
  <r>
    <n v="29"/>
    <x v="8"/>
    <d v="1899-12-30T20:38:27"/>
    <d v="1899-12-30T20:38:31"/>
    <d v="1899-12-30T22:20:52"/>
    <s v="1 hr 42 min 17s"/>
    <s v="kdm-nwwh-zkg"/>
    <x v="29"/>
    <d v="1899-12-30T01:42:25"/>
    <d v="1899-12-30T02:12:43"/>
    <n v="1"/>
    <n v="0"/>
  </r>
  <r>
    <n v="30"/>
    <x v="29"/>
    <d v="1899-12-30T20:38:27"/>
    <d v="1899-12-30T20:38:31"/>
    <d v="1899-12-30T22:20:52"/>
    <s v="1 hr 8 min 18s"/>
    <s v="kdm-nwwh-zkg"/>
    <x v="29"/>
    <d v="1899-12-30T01:42:25"/>
    <d v="1899-12-30T02:12:49"/>
    <n v="1"/>
    <n v="0"/>
  </r>
  <r>
    <n v="31"/>
    <x v="20"/>
    <d v="1899-12-30T20:38:27"/>
    <d v="1899-12-30T20:38:31"/>
    <d v="1899-12-30T22:20:52"/>
    <s v="1 hr 42 min 17s"/>
    <s v="kdm-nwwh-zkg"/>
    <x v="29"/>
    <d v="1899-12-30T01:42:25"/>
    <d v="1899-12-30T02:12:55"/>
    <n v="1"/>
    <n v="0"/>
  </r>
  <r>
    <n v="32"/>
    <x v="9"/>
    <d v="1899-12-30T20:38:27"/>
    <d v="1899-12-30T20:38:31"/>
    <d v="1899-12-30T22:20:52"/>
    <s v="1 hr 42 min 17s"/>
    <s v="kdm-nwwh-zkg"/>
    <x v="29"/>
    <d v="1899-12-30T01:42:25"/>
    <d v="1899-12-30T02:13:02"/>
    <n v="1"/>
    <n v="0"/>
  </r>
  <r>
    <n v="33"/>
    <x v="21"/>
    <d v="1899-12-30T20:38:27"/>
    <d v="1899-12-30T20:38:31"/>
    <d v="1899-12-30T22:20:52"/>
    <s v="1 hr 8 min 18s"/>
    <s v="kdm-nwwh-zkg"/>
    <x v="29"/>
    <d v="1899-12-30T01:42:25"/>
    <d v="1899-12-30T02:13:08"/>
    <n v="1"/>
    <n v="0"/>
  </r>
  <r>
    <n v="34"/>
    <x v="64"/>
    <d v="1899-12-30T20:38:27"/>
    <d v="1899-12-30T20:38:31"/>
    <d v="1899-12-30T22:20:52"/>
    <s v="1 hr 42 min 17s"/>
    <s v="kdm-nwwh-zkg"/>
    <x v="29"/>
    <d v="1899-12-30T01:42:25"/>
    <d v="1899-12-30T02:13:14"/>
    <n v="1"/>
    <n v="0"/>
  </r>
  <r>
    <n v="35"/>
    <x v="92"/>
    <d v="1899-12-30T20:38:27"/>
    <d v="1899-12-30T20:38:31"/>
    <d v="1899-12-30T22:20:52"/>
    <s v="1 hr 42 min 17s"/>
    <s v="kdm-nwwh-zkg"/>
    <x v="29"/>
    <d v="1899-12-30T01:42:25"/>
    <d v="1899-12-30T02:13:20"/>
    <n v="1"/>
    <n v="0"/>
  </r>
  <r>
    <n v="36"/>
    <x v="22"/>
    <d v="1899-12-30T20:38:27"/>
    <d v="1899-12-30T20:38:31"/>
    <d v="1899-12-30T22:20:52"/>
    <s v="1 hr 42 min 17s"/>
    <s v="kdm-nwwh-zkg"/>
    <x v="29"/>
    <d v="1899-12-30T01:42:25"/>
    <d v="1899-12-30T02:13:26"/>
    <n v="1"/>
    <n v="0"/>
  </r>
  <r>
    <n v="37"/>
    <x v="94"/>
    <d v="1899-12-30T20:38:27"/>
    <d v="1899-12-30T20:38:31"/>
    <d v="1899-12-30T22:20:52"/>
    <s v="1 hr 42 min 17s"/>
    <s v="kdm-nwwh-zkg"/>
    <x v="29"/>
    <d v="1899-12-30T01:42:25"/>
    <d v="1899-12-30T02:13:32"/>
    <n v="1"/>
    <n v="0"/>
  </r>
  <r>
    <n v="38"/>
    <x v="30"/>
    <d v="1899-12-30T20:38:27"/>
    <d v="1899-12-30T20:38:31"/>
    <d v="1899-12-30T22:20:52"/>
    <s v="1 hr 42 min 17s"/>
    <s v="kdm-nwwh-zkg"/>
    <x v="29"/>
    <d v="1899-12-30T01:42:25"/>
    <d v="1899-12-30T02:13:39"/>
    <n v="1"/>
    <n v="0"/>
  </r>
  <r>
    <n v="39"/>
    <x v="33"/>
    <d v="1899-12-30T20:38:27"/>
    <d v="1899-12-30T20:38:31"/>
    <d v="1899-12-30T22:20:52"/>
    <s v="1 hr 42 min 17s"/>
    <s v="kdm-nwwh-zkg"/>
    <x v="29"/>
    <d v="1899-12-30T01:42:25"/>
    <d v="1899-12-30T02:13:45"/>
    <n v="1"/>
    <n v="0"/>
  </r>
  <r>
    <n v="40"/>
    <x v="34"/>
    <d v="1899-12-30T20:38:27"/>
    <d v="1899-12-30T20:38:31"/>
    <d v="1899-12-30T22:20:52"/>
    <s v="1 hr 42 min 17s"/>
    <s v="kdm-nwwh-zkg"/>
    <x v="29"/>
    <d v="1899-12-30T01:42:25"/>
    <d v="1899-12-30T02:13:51"/>
    <n v="1"/>
    <n v="0"/>
  </r>
  <r>
    <n v="41"/>
    <x v="93"/>
    <d v="1899-12-30T20:38:27"/>
    <d v="1899-12-30T20:38:31"/>
    <d v="1899-12-30T22:20:52"/>
    <s v="1 hr 42 min 17s"/>
    <s v="kdm-nwwh-zkg"/>
    <x v="29"/>
    <d v="1899-12-30T01:42:25"/>
    <d v="1899-12-30T02:13:58"/>
    <n v="1"/>
    <n v="0"/>
  </r>
  <r>
    <n v="42"/>
    <x v="24"/>
    <d v="1899-12-30T20:38:27"/>
    <d v="1899-12-30T20:38:31"/>
    <d v="1899-12-30T22:20:52"/>
    <s v="1 hr 42 min 17s"/>
    <s v="kdm-nwwh-zkg"/>
    <x v="29"/>
    <d v="1899-12-30T01:42:25"/>
    <d v="1899-12-30T02:14:04"/>
    <n v="1"/>
    <n v="0"/>
  </r>
  <r>
    <n v="43"/>
    <x v="62"/>
    <d v="1899-12-30T20:38:27"/>
    <d v="1899-12-30T21:46:53"/>
    <d v="1899-12-30T22:20:52"/>
    <s v="33 min 59s"/>
    <s v="kdm-nwwh-zkg"/>
    <x v="29"/>
    <d v="1899-12-30T01:42:25"/>
    <d v="1899-12-30T02:14:11"/>
    <n v="1"/>
    <n v="0"/>
  </r>
  <r>
    <n v="44"/>
    <x v="81"/>
    <d v="1899-12-30T20:38:27"/>
    <d v="1899-12-30T20:38:31"/>
    <d v="1899-12-30T22:20:52"/>
    <s v="1 hr 42 min 17s"/>
    <s v="kdm-nwwh-zkg"/>
    <x v="29"/>
    <d v="1899-12-30T01:42:25"/>
    <d v="1899-12-30T02:14:18"/>
    <n v="1"/>
    <n v="0"/>
  </r>
  <r>
    <n v="45"/>
    <x v="76"/>
    <d v="1899-12-30T20:38:27"/>
    <d v="1899-12-30T20:38:31"/>
    <d v="1899-12-30T22:20:52"/>
    <s v="1 hr 42 min 17s"/>
    <s v="kdm-nwwh-zkg"/>
    <x v="29"/>
    <d v="1899-12-30T01:42:25"/>
    <d v="1899-12-30T02:14:24"/>
    <n v="1"/>
    <n v="0"/>
  </r>
  <r>
    <n v="46"/>
    <x v="36"/>
    <d v="1899-12-30T20:38:27"/>
    <d v="1899-12-30T20:38:31"/>
    <d v="1899-12-30T22:20:52"/>
    <s v="1 hr 42 min 17s"/>
    <s v="kdm-nwwh-zkg"/>
    <x v="29"/>
    <d v="1899-12-30T01:42:25"/>
    <d v="1899-12-30T02:14:31"/>
    <n v="1"/>
    <n v="0"/>
  </r>
  <r>
    <n v="47"/>
    <x v="47"/>
    <d v="1899-12-30T20:38:27"/>
    <d v="1899-12-30T20:38:31"/>
    <d v="1899-12-30T22:20:52"/>
    <s v="1 hr 42 min 17s"/>
    <s v="kdm-nwwh-zkg"/>
    <x v="29"/>
    <d v="1899-12-30T01:42:25"/>
    <d v="1899-12-30T02:14:38"/>
    <n v="1"/>
    <n v="0"/>
  </r>
  <r>
    <n v="48"/>
    <x v="69"/>
    <d v="1899-12-30T20:38:27"/>
    <d v="1899-12-30T21:46:53"/>
    <d v="1899-12-30T22:20:52"/>
    <s v="33 min 59s"/>
    <s v="kdm-nwwh-zkg"/>
    <x v="29"/>
    <d v="1899-12-30T01:42:25"/>
    <d v="1899-12-30T02:14:44"/>
    <n v="1"/>
    <n v="0"/>
  </r>
  <r>
    <n v="1"/>
    <x v="2"/>
    <d v="1899-12-30T20:06:45"/>
    <d v="1899-12-30T22:16:07"/>
    <d v="1899-12-30T22:16:18"/>
    <s v="0 min 10s"/>
    <s v="ymy-awtg-ykd"/>
    <x v="30"/>
    <d v="1899-12-30T02:09:33"/>
    <d v="1899-12-30T02:14:51"/>
    <n v="1"/>
    <n v="0"/>
  </r>
  <r>
    <n v="2"/>
    <x v="65"/>
    <d v="1899-12-30T20:06:45"/>
    <d v="1899-12-30T20:35:34"/>
    <d v="1899-12-30T22:16:18"/>
    <s v="1 hr 40 min 36s"/>
    <s v="ymy-awtg-ykd"/>
    <x v="30"/>
    <d v="1899-12-30T02:09:33"/>
    <d v="1899-12-30T02:14:52"/>
    <n v="1"/>
    <n v="0"/>
  </r>
  <r>
    <n v="3"/>
    <x v="13"/>
    <d v="1899-12-30T20:06:45"/>
    <d v="1899-12-30T20:35:34"/>
    <d v="1899-12-30T22:16:18"/>
    <s v="1 hr 40 min 36s"/>
    <s v="ymy-awtg-ykd"/>
    <x v="30"/>
    <d v="1899-12-30T02:09:33"/>
    <d v="1899-12-30T02:14:53"/>
    <n v="1"/>
    <n v="0"/>
  </r>
  <r>
    <n v="4"/>
    <x v="96"/>
    <d v="1899-12-30T20:06:45"/>
    <d v="1899-12-30T20:35:34"/>
    <d v="1899-12-30T22:16:18"/>
    <s v="1 hr 40 min 28s"/>
    <s v="ymy-awtg-ykd"/>
    <x v="30"/>
    <d v="1899-12-30T02:09:33"/>
    <d v="1899-12-30T02:14:54"/>
    <n v="1"/>
    <n v="0"/>
  </r>
  <r>
    <n v="5"/>
    <x v="4"/>
    <d v="1899-12-30T20:06:45"/>
    <d v="1899-12-30T20:35:34"/>
    <d v="1899-12-30T22:16:18"/>
    <s v="56 min 27s"/>
    <s v="ymy-awtg-ykd"/>
    <x v="30"/>
    <d v="1899-12-30T02:09:33"/>
    <d v="1899-12-30T02:14:56"/>
    <n v="1"/>
    <n v="0"/>
  </r>
  <r>
    <n v="6"/>
    <x v="31"/>
    <d v="1899-12-30T20:06:45"/>
    <d v="1899-12-30T20:37:27"/>
    <d v="1899-12-30T22:16:18"/>
    <s v="1 hr 38 min 33s"/>
    <s v="ymy-awtg-ykd"/>
    <x v="30"/>
    <d v="1899-12-30T02:09:33"/>
    <d v="1899-12-30T02:14:57"/>
    <n v="1"/>
    <n v="0"/>
  </r>
  <r>
    <n v="7"/>
    <x v="72"/>
    <d v="1899-12-30T20:06:45"/>
    <d v="1899-12-30T20:35:34"/>
    <d v="1899-12-30T22:16:18"/>
    <s v="1 hr 40 min 26s"/>
    <s v="ymy-awtg-ykd"/>
    <x v="30"/>
    <d v="1899-12-30T02:09:33"/>
    <d v="1899-12-30T02:14:58"/>
    <n v="1"/>
    <n v="0"/>
  </r>
  <r>
    <n v="8"/>
    <x v="49"/>
    <d v="1899-12-30T20:06:45"/>
    <d v="1899-12-30T20:35:34"/>
    <d v="1899-12-30T22:16:18"/>
    <s v="1 hr 40 min 26s"/>
    <s v="ymy-awtg-ykd"/>
    <x v="30"/>
    <d v="1899-12-30T02:09:33"/>
    <d v="1899-12-30T02:14:59"/>
    <n v="1"/>
    <n v="0"/>
  </r>
  <r>
    <n v="9"/>
    <x v="14"/>
    <d v="1899-12-30T20:06:45"/>
    <d v="1899-12-30T20:35:34"/>
    <d v="1899-12-30T22:16:18"/>
    <s v="1 hr 40 min 33s"/>
    <s v="ymy-awtg-ykd"/>
    <x v="30"/>
    <d v="1899-12-30T02:09:33"/>
    <d v="1899-12-30T02:15:00"/>
    <n v="1"/>
    <n v="0"/>
  </r>
  <r>
    <n v="10"/>
    <x v="56"/>
    <d v="1899-12-30T20:06:45"/>
    <d v="1899-12-30T21:21:43"/>
    <d v="1899-12-30T22:16:18"/>
    <s v="54 min 34s"/>
    <s v="ymy-awtg-ykd"/>
    <x v="30"/>
    <d v="1899-12-30T02:09:33"/>
    <d v="1899-12-30T02:15:01"/>
    <n v="1"/>
    <n v="0"/>
  </r>
  <r>
    <n v="11"/>
    <x v="15"/>
    <d v="1899-12-30T20:06:45"/>
    <d v="1899-12-30T21:21:43"/>
    <d v="1899-12-30T22:16:18"/>
    <s v="54 min 34s"/>
    <s v="ymy-awtg-ykd"/>
    <x v="30"/>
    <d v="1899-12-30T02:09:33"/>
    <d v="1899-12-30T02:15:03"/>
    <n v="1"/>
    <n v="0"/>
  </r>
  <r>
    <n v="12"/>
    <x v="5"/>
    <d v="1899-12-30T20:06:45"/>
    <d v="1899-12-30T20:06:48"/>
    <d v="1899-12-30T22:16:18"/>
    <s v="2 hr 9 min 19s"/>
    <s v="ymy-awtg-ykd"/>
    <x v="30"/>
    <d v="1899-12-30T02:09:33"/>
    <d v="1899-12-30T02:15:04"/>
    <n v="1"/>
    <n v="0"/>
  </r>
  <r>
    <n v="13"/>
    <x v="51"/>
    <d v="1899-12-30T20:06:45"/>
    <d v="1899-12-30T20:35:34"/>
    <d v="1899-12-30T22:16:18"/>
    <s v="1 hr 40 min 26s"/>
    <s v="ymy-awtg-ykd"/>
    <x v="30"/>
    <d v="1899-12-30T02:09:33"/>
    <d v="1899-12-30T02:15:05"/>
    <n v="1"/>
    <n v="0"/>
  </r>
  <r>
    <n v="14"/>
    <x v="100"/>
    <d v="1899-12-30T20:06:45"/>
    <d v="1899-12-30T21:21:43"/>
    <d v="1899-12-30T22:16:18"/>
    <s v="54 min 24s"/>
    <s v="ymy-awtg-ykd"/>
    <x v="30"/>
    <d v="1899-12-30T02:09:33"/>
    <d v="1899-12-30T02:15:06"/>
    <n v="1"/>
    <n v="0"/>
  </r>
  <r>
    <n v="15"/>
    <x v="78"/>
    <d v="1899-12-30T20:06:45"/>
    <d v="1899-12-30T20:35:34"/>
    <d v="1899-12-30T22:16:18"/>
    <s v="1 hr 40 min 36s"/>
    <s v="ymy-awtg-ykd"/>
    <x v="30"/>
    <d v="1899-12-30T02:09:33"/>
    <d v="1899-12-30T02:15:07"/>
    <n v="1"/>
    <n v="0"/>
  </r>
  <r>
    <n v="16"/>
    <x v="90"/>
    <d v="1899-12-30T20:06:45"/>
    <d v="1899-12-30T21:21:43"/>
    <d v="1899-12-30T22:16:18"/>
    <s v="54 min 24s"/>
    <s v="ymy-awtg-ykd"/>
    <x v="30"/>
    <d v="1899-12-30T02:09:33"/>
    <d v="1899-12-30T02:15:09"/>
    <n v="1"/>
    <n v="0"/>
  </r>
  <r>
    <n v="17"/>
    <x v="42"/>
    <d v="1899-12-30T20:06:45"/>
    <d v="1899-12-30T20:35:34"/>
    <d v="1899-12-30T22:16:18"/>
    <s v="1 hr 40 min 26s"/>
    <s v="ymy-awtg-ykd"/>
    <x v="30"/>
    <d v="1899-12-30T02:09:33"/>
    <d v="1899-12-30T02:15:10"/>
    <n v="1"/>
    <n v="0"/>
  </r>
  <r>
    <n v="18"/>
    <x v="6"/>
    <d v="1899-12-30T20:06:45"/>
    <d v="1899-12-30T20:35:34"/>
    <d v="1899-12-30T22:16:18"/>
    <s v="1 hr 40 min 26s"/>
    <s v="ymy-awtg-ykd"/>
    <x v="30"/>
    <d v="1899-12-30T02:09:33"/>
    <d v="1899-12-30T02:15:11"/>
    <n v="1"/>
    <n v="0"/>
  </r>
  <r>
    <n v="19"/>
    <x v="17"/>
    <d v="1899-12-30T20:06:45"/>
    <d v="1899-12-30T20:35:34"/>
    <d v="1899-12-30T22:16:18"/>
    <s v="1 hr 40 min 36s"/>
    <s v="ymy-awtg-ykd"/>
    <x v="30"/>
    <d v="1899-12-30T02:09:33"/>
    <d v="1899-12-30T02:15:13"/>
    <n v="1"/>
    <n v="0"/>
  </r>
  <r>
    <n v="20"/>
    <x v="85"/>
    <d v="1899-12-30T20:06:45"/>
    <d v="1899-12-30T21:21:43"/>
    <d v="1899-12-30T22:16:18"/>
    <s v="54 min 34s"/>
    <s v="ymy-awtg-ykd"/>
    <x v="30"/>
    <d v="1899-12-30T02:09:33"/>
    <d v="1899-12-30T02:15:14"/>
    <n v="1"/>
    <n v="0"/>
  </r>
  <r>
    <n v="21"/>
    <x v="43"/>
    <d v="1899-12-30T20:06:45"/>
    <d v="1899-12-30T20:37:27"/>
    <d v="1899-12-30T22:16:18"/>
    <s v="1 hr 38 min 33s"/>
    <s v="ymy-awtg-ykd"/>
    <x v="30"/>
    <d v="1899-12-30T02:09:33"/>
    <d v="1899-12-30T02:15:15"/>
    <n v="1"/>
    <n v="0"/>
  </r>
  <r>
    <n v="22"/>
    <x v="73"/>
    <d v="1899-12-30T20:06:45"/>
    <d v="1899-12-30T20:35:34"/>
    <d v="1899-12-30T22:16:18"/>
    <s v="1 hr 40 min 36s"/>
    <s v="ymy-awtg-ykd"/>
    <x v="30"/>
    <d v="1899-12-30T02:09:33"/>
    <d v="1899-12-30T02:15:16"/>
    <n v="1"/>
    <n v="0"/>
  </r>
  <r>
    <n v="23"/>
    <x v="7"/>
    <d v="1899-12-30T20:06:45"/>
    <d v="1899-12-30T20:35:34"/>
    <d v="1899-12-30T22:16:18"/>
    <s v="1 hr 40 min 32s"/>
    <s v="ymy-awtg-ykd"/>
    <x v="30"/>
    <d v="1899-12-30T02:09:33"/>
    <d v="1899-12-30T02:15:18"/>
    <n v="1"/>
    <n v="0"/>
  </r>
  <r>
    <n v="24"/>
    <x v="91"/>
    <d v="1899-12-30T20:06:45"/>
    <d v="1899-12-30T20:35:34"/>
    <d v="1899-12-30T22:16:18"/>
    <s v="1 hr 40 min 36s"/>
    <s v="ymy-awtg-ykd"/>
    <x v="30"/>
    <d v="1899-12-30T02:09:33"/>
    <d v="1899-12-30T02:15:19"/>
    <n v="1"/>
    <n v="0"/>
  </r>
  <r>
    <n v="25"/>
    <x v="38"/>
    <d v="1899-12-30T20:06:45"/>
    <d v="1899-12-30T20:35:34"/>
    <d v="1899-12-30T22:16:18"/>
    <s v="1 hr 40 min 36s"/>
    <s v="ymy-awtg-ykd"/>
    <x v="30"/>
    <d v="1899-12-30T02:09:33"/>
    <d v="1899-12-30T02:15:20"/>
    <n v="1"/>
    <n v="0"/>
  </r>
  <r>
    <n v="26"/>
    <x v="59"/>
    <d v="1899-12-30T20:06:45"/>
    <d v="1899-12-30T20:35:34"/>
    <d v="1899-12-30T22:16:18"/>
    <s v="1 hr 40 min 26s"/>
    <s v="ymy-awtg-ykd"/>
    <x v="30"/>
    <d v="1899-12-30T02:09:33"/>
    <d v="1899-12-30T02:15:22"/>
    <n v="1"/>
    <n v="0"/>
  </r>
  <r>
    <n v="27"/>
    <x v="8"/>
    <d v="1899-12-30T20:06:45"/>
    <d v="1899-12-30T20:35:34"/>
    <d v="1899-12-30T22:16:18"/>
    <s v="1 hr 40 min 36s"/>
    <s v="ymy-awtg-ykd"/>
    <x v="30"/>
    <d v="1899-12-30T02:09:33"/>
    <d v="1899-12-30T02:15:23"/>
    <n v="1"/>
    <n v="0"/>
  </r>
  <r>
    <n v="28"/>
    <x v="29"/>
    <d v="1899-12-30T20:06:45"/>
    <d v="1899-12-30T21:21:43"/>
    <d v="1899-12-30T22:16:18"/>
    <s v="54 min 24s"/>
    <s v="ymy-awtg-ykd"/>
    <x v="30"/>
    <d v="1899-12-30T02:09:33"/>
    <d v="1899-12-30T02:15:24"/>
    <n v="1"/>
    <n v="0"/>
  </r>
  <r>
    <n v="29"/>
    <x v="20"/>
    <d v="1899-12-30T20:06:45"/>
    <d v="1899-12-30T20:35:34"/>
    <d v="1899-12-30T22:16:18"/>
    <s v="1 hr 40 min 36s"/>
    <s v="ymy-awtg-ykd"/>
    <x v="30"/>
    <d v="1899-12-30T02:09:33"/>
    <d v="1899-12-30T02:15:26"/>
    <n v="1"/>
    <n v="0"/>
  </r>
  <r>
    <n v="30"/>
    <x v="39"/>
    <d v="1899-12-30T20:06:45"/>
    <d v="1899-12-30T21:21:43"/>
    <d v="1899-12-30T22:16:18"/>
    <s v="54 min 34s"/>
    <s v="ymy-awtg-ykd"/>
    <x v="30"/>
    <d v="1899-12-30T02:09:33"/>
    <d v="1899-12-30T02:15:27"/>
    <n v="1"/>
    <n v="0"/>
  </r>
  <r>
    <n v="31"/>
    <x v="9"/>
    <d v="1899-12-30T20:06:45"/>
    <d v="1899-12-30T20:35:34"/>
    <d v="1899-12-30T22:16:18"/>
    <s v="1 hr 40 min 33s"/>
    <s v="ymy-awtg-ykd"/>
    <x v="30"/>
    <d v="1899-12-30T02:09:33"/>
    <d v="1899-12-30T02:15:28"/>
    <n v="1"/>
    <n v="0"/>
  </r>
  <r>
    <n v="32"/>
    <x v="86"/>
    <d v="1899-12-30T20:06:45"/>
    <d v="1899-12-30T20:35:34"/>
    <d v="1899-12-30T22:16:18"/>
    <s v="1 hr 40 min 36s"/>
    <s v="ymy-awtg-ykd"/>
    <x v="30"/>
    <d v="1899-12-30T02:09:33"/>
    <d v="1899-12-30T02:15:30"/>
    <n v="1"/>
    <n v="0"/>
  </r>
  <r>
    <n v="33"/>
    <x v="21"/>
    <d v="1899-12-30T20:06:45"/>
    <d v="1899-12-30T21:21:43"/>
    <d v="1899-12-30T22:16:18"/>
    <s v="54 min 24s"/>
    <s v="ymy-awtg-ykd"/>
    <x v="30"/>
    <d v="1899-12-30T02:09:33"/>
    <d v="1899-12-30T02:15:31"/>
    <n v="1"/>
    <n v="0"/>
  </r>
  <r>
    <n v="34"/>
    <x v="52"/>
    <d v="1899-12-30T20:06:45"/>
    <d v="1899-12-30T20:35:34"/>
    <d v="1899-12-30T22:16:18"/>
    <s v="46 min 12s"/>
    <s v="ymy-awtg-ykd"/>
    <x v="30"/>
    <d v="1899-12-30T02:09:33"/>
    <d v="1899-12-30T02:15:33"/>
    <n v="1"/>
    <n v="0"/>
  </r>
  <r>
    <n v="35"/>
    <x v="55"/>
    <d v="1899-12-30T20:06:45"/>
    <d v="1899-12-30T21:21:43"/>
    <d v="1899-12-30T22:16:18"/>
    <s v="54 min 24s"/>
    <s v="ymy-awtg-ykd"/>
    <x v="30"/>
    <d v="1899-12-30T02:09:33"/>
    <d v="1899-12-30T02:15:34"/>
    <n v="1"/>
    <n v="0"/>
  </r>
  <r>
    <n v="36"/>
    <x v="22"/>
    <d v="1899-12-30T20:06:45"/>
    <d v="1899-12-30T20:37:30"/>
    <d v="1899-12-30T22:16:18"/>
    <s v="1 hr 38 min 40s"/>
    <s v="ymy-awtg-ykd"/>
    <x v="30"/>
    <d v="1899-12-30T02:09:33"/>
    <d v="1899-12-30T02:15:36"/>
    <n v="1"/>
    <n v="0"/>
  </r>
  <r>
    <n v="37"/>
    <x v="94"/>
    <d v="1899-12-30T20:06:45"/>
    <d v="1899-12-30T20:35:34"/>
    <d v="1899-12-30T22:16:18"/>
    <s v="1 hr 40 min 26s"/>
    <s v="ymy-awtg-ykd"/>
    <x v="30"/>
    <d v="1899-12-30T02:09:33"/>
    <d v="1899-12-30T02:15:37"/>
    <n v="1"/>
    <n v="0"/>
  </r>
  <r>
    <n v="38"/>
    <x v="30"/>
    <d v="1899-12-30T20:06:45"/>
    <d v="1899-12-30T20:06:48"/>
    <d v="1899-12-30T22:16:18"/>
    <s v="2 hr 9 min 18s"/>
    <s v="ymy-awtg-ykd"/>
    <x v="30"/>
    <d v="1899-12-30T02:09:33"/>
    <d v="1899-12-30T02:15:39"/>
    <n v="1"/>
    <n v="0"/>
  </r>
  <r>
    <n v="39"/>
    <x v="34"/>
    <d v="1899-12-30T20:06:45"/>
    <d v="1899-12-30T20:35:34"/>
    <d v="1899-12-30T22:16:18"/>
    <s v="1 hr 40 min 27s"/>
    <s v="ymy-awtg-ykd"/>
    <x v="30"/>
    <d v="1899-12-30T02:09:33"/>
    <d v="1899-12-30T02:15:40"/>
    <n v="1"/>
    <n v="0"/>
  </r>
  <r>
    <n v="40"/>
    <x v="93"/>
    <d v="1899-12-30T20:06:45"/>
    <d v="1899-12-30T20:35:34"/>
    <d v="1899-12-30T22:16:18"/>
    <s v="1 hr 40 min 26s"/>
    <s v="ymy-awtg-ykd"/>
    <x v="30"/>
    <d v="1899-12-30T02:09:33"/>
    <d v="1899-12-30T02:15:41"/>
    <n v="1"/>
    <n v="0"/>
  </r>
  <r>
    <n v="41"/>
    <x v="40"/>
    <d v="1899-12-30T20:06:45"/>
    <d v="1899-12-30T20:37:27"/>
    <d v="1899-12-30T22:16:18"/>
    <s v="1 hr 38 min 33s"/>
    <s v="ymy-awtg-ykd"/>
    <x v="30"/>
    <d v="1899-12-30T02:09:33"/>
    <d v="1899-12-30T02:15:43"/>
    <n v="1"/>
    <n v="0"/>
  </r>
  <r>
    <n v="42"/>
    <x v="24"/>
    <d v="1899-12-30T20:06:45"/>
    <d v="1899-12-30T21:21:43"/>
    <d v="1899-12-30T22:16:18"/>
    <s v="54 min 34s"/>
    <s v="ymy-awtg-ykd"/>
    <x v="30"/>
    <d v="1899-12-30T02:09:33"/>
    <d v="1899-12-30T02:15:45"/>
    <n v="1"/>
    <n v="0"/>
  </r>
  <r>
    <n v="43"/>
    <x v="62"/>
    <d v="1899-12-30T20:06:45"/>
    <d v="1899-12-30T21:21:43"/>
    <d v="1899-12-30T22:16:18"/>
    <s v="54 min 24s"/>
    <s v="ymy-awtg-ykd"/>
    <x v="30"/>
    <d v="1899-12-30T02:09:33"/>
    <d v="1899-12-30T02:15:46"/>
    <n v="1"/>
    <n v="0"/>
  </r>
  <r>
    <n v="44"/>
    <x v="25"/>
    <d v="1899-12-30T20:06:45"/>
    <d v="1899-12-30T21:21:43"/>
    <d v="1899-12-30T22:16:18"/>
    <s v="54 min 24s"/>
    <s v="ymy-awtg-ykd"/>
    <x v="30"/>
    <d v="1899-12-30T02:09:33"/>
    <d v="1899-12-30T02:15:48"/>
    <n v="1"/>
    <n v="0"/>
  </r>
  <r>
    <n v="45"/>
    <x v="81"/>
    <d v="1899-12-30T20:06:45"/>
    <d v="1899-12-30T20:35:34"/>
    <d v="1899-12-30T22:16:18"/>
    <s v="46 min 12s"/>
    <s v="ymy-awtg-ykd"/>
    <x v="30"/>
    <d v="1899-12-30T02:09:33"/>
    <d v="1899-12-30T02:15:49"/>
    <n v="1"/>
    <n v="0"/>
  </r>
  <r>
    <n v="46"/>
    <x v="76"/>
    <d v="1899-12-30T20:06:45"/>
    <d v="1899-12-30T20:35:34"/>
    <d v="1899-12-30T22:16:18"/>
    <s v="1 hr 40 min 26s"/>
    <s v="ymy-awtg-ykd"/>
    <x v="30"/>
    <d v="1899-12-30T02:09:33"/>
    <d v="1899-12-30T02:15:51"/>
    <n v="1"/>
    <n v="0"/>
  </r>
  <r>
    <n v="47"/>
    <x v="36"/>
    <d v="1899-12-30T20:06:45"/>
    <d v="1899-12-30T20:35:34"/>
    <d v="1899-12-30T22:16:18"/>
    <s v="1 hr 40 min 30s"/>
    <s v="ymy-awtg-ykd"/>
    <x v="30"/>
    <d v="1899-12-30T02:09:33"/>
    <d v="1899-12-30T02:15:52"/>
    <n v="1"/>
    <n v="0"/>
  </r>
  <r>
    <n v="48"/>
    <x v="69"/>
    <d v="1899-12-30T20:06:45"/>
    <d v="1899-12-30T20:35:34"/>
    <d v="1899-12-30T22:16:18"/>
    <s v="1 hr 40 min 26s"/>
    <s v="ymy-awtg-ykd"/>
    <x v="30"/>
    <d v="1899-12-30T02:09:33"/>
    <d v="1899-12-30T02:15:54"/>
    <n v="1"/>
    <n v="0"/>
  </r>
  <r>
    <n v="49"/>
    <x v="67"/>
    <d v="1899-12-30T20:06:45"/>
    <d v="1899-12-30T20:35:34"/>
    <d v="1899-12-30T22:16:18"/>
    <s v="1 hr 40 min 26s"/>
    <s v="ymy-awtg-ykd"/>
    <x v="30"/>
    <d v="1899-12-30T02:09:33"/>
    <d v="1899-12-30T02:15:55"/>
    <n v="1"/>
    <n v="0"/>
  </r>
  <r>
    <n v="50"/>
    <x v="26"/>
    <d v="1899-12-30T20:06:45"/>
    <d v="1899-12-30T21:21:43"/>
    <d v="1899-12-30T22:16:18"/>
    <s v="54 min 24s"/>
    <s v="ymy-awtg-ykd"/>
    <x v="30"/>
    <d v="1899-12-30T02:09:33"/>
    <d v="1899-12-30T02:15:57"/>
    <n v="1"/>
    <n v="0"/>
  </r>
  <r>
    <n v="1"/>
    <x v="65"/>
    <d v="1899-12-30T20:12:08"/>
    <d v="1899-12-30T22:41:21"/>
    <d v="1899-12-30T23:45:34"/>
    <s v="14 min 17s"/>
    <s v="dua-unee-xss"/>
    <x v="31"/>
    <d v="1899-12-30T03:33:26"/>
    <d v="1899-12-30T02:15:59"/>
    <n v="1"/>
    <n v="0"/>
  </r>
  <r>
    <n v="2"/>
    <x v="101"/>
    <d v="1899-12-30T20:12:08"/>
    <d v="1899-12-30T22:41:21"/>
    <d v="1899-12-30T23:45:34"/>
    <s v="49 min 17s"/>
    <s v="dua-unee-xss"/>
    <x v="31"/>
    <d v="1899-12-30T03:33:26"/>
    <d v="1899-12-30T02:15:39"/>
    <n v="1"/>
    <n v="0"/>
  </r>
  <r>
    <n v="3"/>
    <x v="96"/>
    <d v="1899-12-30T20:12:08"/>
    <d v="1899-12-30T22:41:21"/>
    <d v="1899-12-30T23:45:34"/>
    <s v="14 min 17s"/>
    <s v="dua-unee-xss"/>
    <x v="31"/>
    <d v="1899-12-30T03:33:26"/>
    <d v="1899-12-30T02:15:19"/>
    <n v="1"/>
    <n v="0"/>
  </r>
  <r>
    <n v="4"/>
    <x v="27"/>
    <d v="1899-12-30T20:12:08"/>
    <d v="1899-12-30T22:41:21"/>
    <d v="1899-12-30T23:45:34"/>
    <s v="0 min 2s"/>
    <s v="dua-unee-xss"/>
    <x v="31"/>
    <d v="1899-12-30T03:33:26"/>
    <d v="1899-12-30T02:14:59"/>
    <n v="1"/>
    <n v="0"/>
  </r>
  <r>
    <n v="5"/>
    <x v="72"/>
    <d v="1899-12-30T20:12:08"/>
    <d v="1899-12-30T20:29:39"/>
    <d v="1899-12-30T23:45:34"/>
    <s v="2 hr 10 min 2s"/>
    <s v="dua-unee-xss"/>
    <x v="31"/>
    <d v="1899-12-30T03:33:26"/>
    <d v="1899-12-30T02:14:38"/>
    <n v="1"/>
    <n v="0"/>
  </r>
  <r>
    <n v="6"/>
    <x v="49"/>
    <d v="1899-12-30T20:12:08"/>
    <d v="1899-12-30T20:29:39"/>
    <d v="1899-12-30T23:45:34"/>
    <s v="2 hr 10 min 2s"/>
    <s v="dua-unee-xss"/>
    <x v="31"/>
    <d v="1899-12-30T03:33:26"/>
    <d v="1899-12-30T02:14:18"/>
    <n v="1"/>
    <n v="0"/>
  </r>
  <r>
    <n v="7"/>
    <x v="14"/>
    <d v="1899-12-30T20:12:08"/>
    <d v="1899-12-30T20:29:39"/>
    <d v="1899-12-30T23:45:34"/>
    <s v="2 hr 10 min 2s"/>
    <s v="dua-unee-xss"/>
    <x v="31"/>
    <d v="1899-12-30T03:33:26"/>
    <d v="1899-12-30T02:13:57"/>
    <n v="1"/>
    <n v="0"/>
  </r>
  <r>
    <n v="8"/>
    <x v="5"/>
    <d v="1899-12-30T20:12:08"/>
    <d v="1899-12-30T20:12:11"/>
    <d v="1899-12-30T23:45:34"/>
    <s v="3 hr 31 min 36s"/>
    <s v="dua-unee-xss"/>
    <x v="31"/>
    <d v="1899-12-30T03:33:26"/>
    <d v="1899-12-30T02:13:36"/>
    <n v="1"/>
    <n v="0"/>
  </r>
  <r>
    <n v="9"/>
    <x v="51"/>
    <d v="1899-12-30T20:12:08"/>
    <d v="1899-12-30T20:29:39"/>
    <d v="1899-12-30T23:45:34"/>
    <s v="2 hr 10 min 2s"/>
    <s v="dua-unee-xss"/>
    <x v="31"/>
    <d v="1899-12-30T03:33:26"/>
    <d v="1899-12-30T02:13:15"/>
    <n v="1"/>
    <n v="0"/>
  </r>
  <r>
    <n v="10"/>
    <x v="42"/>
    <d v="1899-12-30T20:12:08"/>
    <d v="1899-12-30T20:29:39"/>
    <d v="1899-12-30T23:45:34"/>
    <s v="2 hr 10 min 2s"/>
    <s v="dua-unee-xss"/>
    <x v="31"/>
    <d v="1899-12-30T03:33:26"/>
    <d v="1899-12-30T02:12:54"/>
    <n v="1"/>
    <n v="0"/>
  </r>
  <r>
    <n v="11"/>
    <x v="79"/>
    <d v="1899-12-30T20:12:08"/>
    <d v="1899-12-30T20:29:39"/>
    <d v="1899-12-30T23:45:34"/>
    <s v="2 hr 10 min 2s"/>
    <s v="dua-unee-xss"/>
    <x v="31"/>
    <d v="1899-12-30T03:33:26"/>
    <d v="1899-12-30T02:12:32"/>
    <n v="1"/>
    <n v="0"/>
  </r>
  <r>
    <n v="12"/>
    <x v="6"/>
    <d v="1899-12-30T20:12:08"/>
    <d v="1899-12-30T22:41:21"/>
    <d v="1899-12-30T23:45:34"/>
    <s v="19 min 35s"/>
    <s v="dua-unee-xss"/>
    <x v="31"/>
    <d v="1899-12-30T03:33:26"/>
    <d v="1899-12-30T02:12:11"/>
    <n v="1"/>
    <n v="0"/>
  </r>
  <r>
    <n v="13"/>
    <x v="85"/>
    <d v="1899-12-30T20:12:08"/>
    <d v="1899-12-30T23:07:41"/>
    <d v="1899-12-30T23:45:34"/>
    <s v="15 min 57s"/>
    <s v="dua-unee-xss"/>
    <x v="31"/>
    <d v="1899-12-30T03:33:26"/>
    <d v="1899-12-30T02:11:49"/>
    <n v="1"/>
    <n v="0"/>
  </r>
  <r>
    <n v="14"/>
    <x v="43"/>
    <d v="1899-12-30T20:12:08"/>
    <d v="1899-12-30T20:29:39"/>
    <d v="1899-12-30T23:45:34"/>
    <s v="2 hr 24 min 19s"/>
    <s v="dua-unee-xss"/>
    <x v="31"/>
    <d v="1899-12-30T03:33:26"/>
    <d v="1899-12-30T02:11:27"/>
    <n v="1"/>
    <n v="0"/>
  </r>
  <r>
    <n v="15"/>
    <x v="73"/>
    <d v="1899-12-30T20:12:08"/>
    <d v="1899-12-30T20:29:39"/>
    <d v="1899-12-30T23:45:34"/>
    <s v="2 hr 10 min 2s"/>
    <s v="dua-unee-xss"/>
    <x v="31"/>
    <d v="1899-12-30T03:33:26"/>
    <d v="1899-12-30T02:11:04"/>
    <n v="1"/>
    <n v="0"/>
  </r>
  <r>
    <n v="16"/>
    <x v="58"/>
    <d v="1899-12-30T20:12:08"/>
    <d v="1899-12-30T20:29:39"/>
    <d v="1899-12-30T23:45:34"/>
    <s v="2 hr 10 min 2s"/>
    <s v="dua-unee-xss"/>
    <x v="31"/>
    <d v="1899-12-30T03:33:26"/>
    <d v="1899-12-30T02:10:42"/>
    <n v="1"/>
    <n v="0"/>
  </r>
  <r>
    <n v="17"/>
    <x v="8"/>
    <d v="1899-12-30T20:12:08"/>
    <d v="1899-12-30T22:41:21"/>
    <d v="1899-12-30T23:45:34"/>
    <s v="14 min 17s"/>
    <s v="dua-unee-xss"/>
    <x v="31"/>
    <d v="1899-12-30T03:33:26"/>
    <d v="1899-12-30T02:10:19"/>
    <n v="1"/>
    <n v="0"/>
  </r>
  <r>
    <n v="18"/>
    <x v="20"/>
    <d v="1899-12-30T20:12:08"/>
    <d v="1899-12-30T22:41:21"/>
    <d v="1899-12-30T23:45:34"/>
    <s v="50 min 32s"/>
    <s v="dua-unee-xss"/>
    <x v="31"/>
    <d v="1899-12-30T03:33:26"/>
    <d v="1899-12-30T02:09:56"/>
    <n v="1"/>
    <n v="0"/>
  </r>
  <r>
    <n v="19"/>
    <x v="39"/>
    <d v="1899-12-30T20:12:08"/>
    <d v="1899-12-30T20:29:39"/>
    <d v="1899-12-30T23:45:34"/>
    <s v="2 hr 10 min 2s"/>
    <s v="dua-unee-xss"/>
    <x v="31"/>
    <d v="1899-12-30T03:33:26"/>
    <d v="1899-12-30T02:09:33"/>
    <n v="1"/>
    <n v="0"/>
  </r>
  <r>
    <n v="20"/>
    <x v="9"/>
    <d v="1899-12-30T20:12:08"/>
    <d v="1899-12-30T22:41:21"/>
    <d v="1899-12-30T23:45:34"/>
    <s v="55 min 23s"/>
    <s v="dua-unee-xss"/>
    <x v="31"/>
    <d v="1899-12-30T03:33:26"/>
    <d v="1899-12-30T02:09:10"/>
    <n v="1"/>
    <n v="0"/>
  </r>
  <r>
    <n v="21"/>
    <x v="94"/>
    <d v="1899-12-30T20:12:08"/>
    <d v="1899-12-30T20:29:39"/>
    <d v="1899-12-30T23:45:34"/>
    <s v="2 hr 10 min 2s"/>
    <s v="dua-unee-xss"/>
    <x v="31"/>
    <d v="1899-12-30T03:33:26"/>
    <d v="1899-12-30T02:08:46"/>
    <n v="1"/>
    <n v="0"/>
  </r>
  <r>
    <n v="22"/>
    <x v="24"/>
    <d v="1899-12-30T20:12:08"/>
    <d v="1899-12-30T22:41:21"/>
    <d v="1899-12-30T23:45:34"/>
    <s v="1 hr 4 min 8s"/>
    <s v="dua-unee-xss"/>
    <x v="31"/>
    <d v="1899-12-30T03:33:26"/>
    <d v="1899-12-30T02:08:23"/>
    <n v="1"/>
    <n v="0"/>
  </r>
  <r>
    <n v="23"/>
    <x v="36"/>
    <d v="1899-12-30T20:12:08"/>
    <d v="1899-12-30T22:41:21"/>
    <d v="1899-12-30T23:45:34"/>
    <s v="21 min 21s"/>
    <s v="dua-unee-xss"/>
    <x v="31"/>
    <d v="1899-12-30T03:33:26"/>
    <d v="1899-12-30T02:07:59"/>
    <n v="1"/>
    <n v="0"/>
  </r>
  <r>
    <n v="24"/>
    <x v="69"/>
    <d v="1899-12-30T20:12:08"/>
    <d v="1899-12-30T22:41:21"/>
    <d v="1899-12-30T23:45:34"/>
    <s v="14 min 17s"/>
    <s v="dua-unee-xss"/>
    <x v="31"/>
    <d v="1899-12-30T03:33:26"/>
    <d v="1899-12-30T02:07:35"/>
    <n v="1"/>
    <n v="0"/>
  </r>
  <r>
    <n v="1"/>
    <x v="1"/>
    <d v="1899-12-30T20:30:00"/>
    <d v="1899-12-30T20:30:03"/>
    <d v="1899-12-30T22:19:48"/>
    <s v="1 hr 49 min 44s"/>
    <s v="dua-unee-xss"/>
    <x v="32"/>
    <d v="1899-12-30T01:49:48"/>
    <d v="1899-12-30T02:07:10"/>
    <n v="1"/>
    <n v="0"/>
  </r>
  <r>
    <n v="2"/>
    <x v="2"/>
    <d v="1899-12-30T20:30:00"/>
    <d v="1899-12-30T20:36:49"/>
    <d v="1899-12-30T22:19:48"/>
    <s v="1 hr 43 min 0s"/>
    <s v="dua-unee-xss"/>
    <x v="32"/>
    <d v="1899-12-30T01:49:48"/>
    <d v="1899-12-30T02:07:15"/>
    <n v="1"/>
    <n v="0"/>
  </r>
  <r>
    <n v="3"/>
    <x v="65"/>
    <d v="1899-12-30T20:30:00"/>
    <d v="1899-12-30T20:36:49"/>
    <d v="1899-12-30T22:19:48"/>
    <s v="1 hr 43 min 0s"/>
    <s v="dua-unee-xss"/>
    <x v="32"/>
    <d v="1899-12-30T01:49:48"/>
    <d v="1899-12-30T02:07:20"/>
    <n v="1"/>
    <n v="0"/>
  </r>
  <r>
    <n v="4"/>
    <x v="13"/>
    <d v="1899-12-30T20:30:00"/>
    <d v="1899-12-30T20:36:49"/>
    <d v="1899-12-30T22:19:48"/>
    <s v="1 hr 43 min 0s"/>
    <s v="dua-unee-xss"/>
    <x v="32"/>
    <d v="1899-12-30T01:49:48"/>
    <d v="1899-12-30T02:07:25"/>
    <n v="1"/>
    <n v="0"/>
  </r>
  <r>
    <n v="5"/>
    <x v="101"/>
    <d v="1899-12-30T20:30:00"/>
    <d v="1899-12-30T20:36:49"/>
    <d v="1899-12-30T22:19:48"/>
    <s v="1 hr 43 min 0s"/>
    <s v="dua-unee-xss"/>
    <x v="32"/>
    <d v="1899-12-30T01:49:48"/>
    <d v="1899-12-30T02:07:30"/>
    <n v="1"/>
    <n v="0"/>
  </r>
  <r>
    <n v="6"/>
    <x v="4"/>
    <d v="1899-12-30T20:30:00"/>
    <d v="1899-12-30T20:30:03"/>
    <d v="1899-12-30T22:19:48"/>
    <s v="1 hr 49 min 44s"/>
    <s v="dua-unee-xss"/>
    <x v="32"/>
    <d v="1899-12-30T01:49:48"/>
    <d v="1899-12-30T02:07:35"/>
    <n v="1"/>
    <n v="0"/>
  </r>
  <r>
    <n v="7"/>
    <x v="31"/>
    <d v="1899-12-30T20:30:00"/>
    <d v="1899-12-30T20:30:03"/>
    <d v="1899-12-30T22:19:48"/>
    <s v="1 hr 49 min 44s"/>
    <s v="dua-unee-xss"/>
    <x v="32"/>
    <d v="1899-12-30T01:49:48"/>
    <d v="1899-12-30T02:07:41"/>
    <n v="1"/>
    <n v="0"/>
  </r>
  <r>
    <n v="8"/>
    <x v="27"/>
    <d v="1899-12-30T20:30:00"/>
    <d v="1899-12-30T20:36:49"/>
    <d v="1899-12-30T22:19:48"/>
    <s v="1 hr 43 min 0s"/>
    <s v="dua-unee-xss"/>
    <x v="32"/>
    <d v="1899-12-30T01:49:48"/>
    <d v="1899-12-30T02:07:46"/>
    <n v="1"/>
    <n v="0"/>
  </r>
  <r>
    <n v="9"/>
    <x v="72"/>
    <d v="1899-12-30T20:30:00"/>
    <d v="1899-12-30T20:30:03"/>
    <d v="1899-12-30T22:19:48"/>
    <s v="1 hr 49 min 44s"/>
    <s v="dua-unee-xss"/>
    <x v="32"/>
    <d v="1899-12-30T01:49:48"/>
    <d v="1899-12-30T02:07:51"/>
    <n v="1"/>
    <n v="0"/>
  </r>
  <r>
    <n v="10"/>
    <x v="70"/>
    <d v="1899-12-30T20:30:00"/>
    <d v="1899-12-30T20:30:03"/>
    <d v="1899-12-30T22:19:48"/>
    <s v="1 hr 49 min 44s"/>
    <s v="dua-unee-xss"/>
    <x v="32"/>
    <d v="1899-12-30T01:49:48"/>
    <d v="1899-12-30T02:07:57"/>
    <n v="1"/>
    <n v="0"/>
  </r>
  <r>
    <n v="11"/>
    <x v="14"/>
    <d v="1899-12-30T20:30:00"/>
    <d v="1899-12-30T20:30:03"/>
    <d v="1899-12-30T22:19:48"/>
    <s v="1 hr 49 min 44s"/>
    <s v="dua-unee-xss"/>
    <x v="32"/>
    <d v="1899-12-30T01:49:48"/>
    <d v="1899-12-30T02:08:02"/>
    <n v="1"/>
    <n v="0"/>
  </r>
  <r>
    <n v="12"/>
    <x v="88"/>
    <d v="1899-12-30T20:30:00"/>
    <d v="1899-12-30T20:36:49"/>
    <d v="1899-12-30T22:19:48"/>
    <s v="1 hr 43 min 0s"/>
    <s v="dua-unee-xss"/>
    <x v="32"/>
    <d v="1899-12-30T01:49:48"/>
    <d v="1899-12-30T02:08:07"/>
    <n v="1"/>
    <n v="0"/>
  </r>
  <r>
    <n v="13"/>
    <x v="54"/>
    <d v="1899-12-30T20:30:00"/>
    <d v="1899-12-30T20:30:03"/>
    <d v="1899-12-30T22:19:48"/>
    <s v="1 hr 49 min 44s"/>
    <s v="dua-unee-xss"/>
    <x v="32"/>
    <d v="1899-12-30T01:49:48"/>
    <d v="1899-12-30T02:08:13"/>
    <n v="1"/>
    <n v="0"/>
  </r>
  <r>
    <n v="14"/>
    <x v="5"/>
    <d v="1899-12-30T20:30:00"/>
    <d v="1899-12-30T20:30:03"/>
    <d v="1899-12-30T22:19:48"/>
    <s v="1 hr 49 min 44s"/>
    <s v="dua-unee-xss"/>
    <x v="32"/>
    <d v="1899-12-30T01:49:48"/>
    <d v="1899-12-30T02:08:19"/>
    <n v="1"/>
    <n v="0"/>
  </r>
  <r>
    <n v="15"/>
    <x v="50"/>
    <d v="1899-12-30T20:30:00"/>
    <d v="1899-12-30T20:36:49"/>
    <d v="1899-12-30T22:19:48"/>
    <s v="1 hr 43 min 0s"/>
    <s v="dua-unee-xss"/>
    <x v="32"/>
    <d v="1899-12-30T01:49:48"/>
    <d v="1899-12-30T02:08:24"/>
    <n v="1"/>
    <n v="0"/>
  </r>
  <r>
    <n v="16"/>
    <x v="100"/>
    <d v="1899-12-30T20:30:00"/>
    <d v="1899-12-30T20:36:49"/>
    <d v="1899-12-30T22:19:48"/>
    <s v="1 hr 43 min 0s"/>
    <s v="dua-unee-xss"/>
    <x v="32"/>
    <d v="1899-12-30T01:49:48"/>
    <d v="1899-12-30T02:08:30"/>
    <n v="1"/>
    <n v="0"/>
  </r>
  <r>
    <n v="17"/>
    <x v="90"/>
    <d v="1899-12-30T20:30:00"/>
    <d v="1899-12-30T20:36:49"/>
    <d v="1899-12-30T22:19:48"/>
    <s v="1 hr 43 min 0s"/>
    <s v="dua-unee-xss"/>
    <x v="32"/>
    <d v="1899-12-30T01:49:48"/>
    <d v="1899-12-30T02:08:36"/>
    <n v="1"/>
    <n v="0"/>
  </r>
  <r>
    <n v="18"/>
    <x v="42"/>
    <d v="1899-12-30T20:30:00"/>
    <d v="1899-12-30T20:30:03"/>
    <d v="1899-12-30T22:19:48"/>
    <s v="1 hr 49 min 44s"/>
    <s v="dua-unee-xss"/>
    <x v="32"/>
    <d v="1899-12-30T01:49:48"/>
    <d v="1899-12-30T02:08:41"/>
    <n v="1"/>
    <n v="0"/>
  </r>
  <r>
    <n v="19"/>
    <x v="79"/>
    <d v="1899-12-30T20:30:00"/>
    <d v="1899-12-30T20:30:03"/>
    <d v="1899-12-30T22:19:48"/>
    <s v="1 hr 49 min 44s"/>
    <s v="dua-unee-xss"/>
    <x v="32"/>
    <d v="1899-12-30T01:49:48"/>
    <d v="1899-12-30T02:08:47"/>
    <n v="1"/>
    <n v="0"/>
  </r>
  <r>
    <n v="20"/>
    <x v="17"/>
    <d v="1899-12-30T20:30:00"/>
    <d v="1899-12-30T20:30:03"/>
    <d v="1899-12-30T22:19:48"/>
    <s v="1 hr 49 min 44s"/>
    <s v="dua-unee-xss"/>
    <x v="32"/>
    <d v="1899-12-30T01:49:48"/>
    <d v="1899-12-30T02:08:53"/>
    <n v="1"/>
    <n v="0"/>
  </r>
  <r>
    <n v="21"/>
    <x v="63"/>
    <d v="1899-12-30T20:30:00"/>
    <d v="1899-12-30T20:30:03"/>
    <d v="1899-12-30T22:19:48"/>
    <s v="1 hr 49 min 44s"/>
    <s v="dua-unee-xss"/>
    <x v="32"/>
    <d v="1899-12-30T01:49:48"/>
    <d v="1899-12-30T02:08:59"/>
    <n v="1"/>
    <n v="0"/>
  </r>
  <r>
    <n v="22"/>
    <x v="7"/>
    <d v="1899-12-30T20:30:00"/>
    <d v="1899-12-30T20:30:03"/>
    <d v="1899-12-30T22:19:48"/>
    <s v="1 hr 49 min 44s"/>
    <s v="dua-unee-xss"/>
    <x v="32"/>
    <d v="1899-12-30T01:49:48"/>
    <d v="1899-12-30T02:09:05"/>
    <n v="1"/>
    <n v="0"/>
  </r>
  <r>
    <n v="23"/>
    <x v="38"/>
    <d v="1899-12-30T20:30:00"/>
    <d v="1899-12-30T20:30:03"/>
    <d v="1899-12-30T22:19:48"/>
    <s v="1 hr 49 min 44s"/>
    <s v="dua-unee-xss"/>
    <x v="32"/>
    <d v="1899-12-30T01:49:48"/>
    <d v="1899-12-30T02:09:11"/>
    <n v="1"/>
    <n v="0"/>
  </r>
  <r>
    <n v="24"/>
    <x v="48"/>
    <d v="1899-12-30T20:30:00"/>
    <d v="1899-12-30T20:30:03"/>
    <d v="1899-12-30T22:19:48"/>
    <s v="1 hr 49 min 44s"/>
    <s v="dua-unee-xss"/>
    <x v="32"/>
    <d v="1899-12-30T01:49:48"/>
    <d v="1899-12-30T02:09:18"/>
    <n v="1"/>
    <n v="0"/>
  </r>
  <r>
    <n v="25"/>
    <x v="74"/>
    <d v="1899-12-30T20:30:00"/>
    <d v="1899-12-30T20:30:03"/>
    <d v="1899-12-30T22:19:48"/>
    <s v="1 hr 49 min 44s"/>
    <s v="dua-unee-xss"/>
    <x v="32"/>
    <d v="1899-12-30T01:49:48"/>
    <d v="1899-12-30T02:09:24"/>
    <n v="1"/>
    <n v="0"/>
  </r>
  <r>
    <n v="26"/>
    <x v="59"/>
    <d v="1899-12-30T20:30:00"/>
    <d v="1899-12-30T20:30:03"/>
    <d v="1899-12-30T22:19:48"/>
    <s v="1 hr 49 min 44s"/>
    <s v="dua-unee-xss"/>
    <x v="32"/>
    <d v="1899-12-30T01:49:48"/>
    <d v="1899-12-30T02:09:30"/>
    <n v="1"/>
    <n v="0"/>
  </r>
  <r>
    <n v="27"/>
    <x v="8"/>
    <d v="1899-12-30T20:30:00"/>
    <d v="1899-12-30T20:30:03"/>
    <d v="1899-12-30T22:19:48"/>
    <s v="1 hr 49 min 44s"/>
    <s v="dua-unee-xss"/>
    <x v="32"/>
    <d v="1899-12-30T01:49:48"/>
    <d v="1899-12-30T02:09:37"/>
    <n v="1"/>
    <n v="0"/>
  </r>
  <r>
    <n v="28"/>
    <x v="20"/>
    <d v="1899-12-30T20:30:00"/>
    <d v="1899-12-30T20:36:52"/>
    <d v="1899-12-30T22:19:48"/>
    <s v="1 hr 42 min 56s"/>
    <s v="dua-unee-xss"/>
    <x v="32"/>
    <d v="1899-12-30T01:49:48"/>
    <d v="1899-12-30T02:09:43"/>
    <n v="1"/>
    <n v="0"/>
  </r>
  <r>
    <n v="29"/>
    <x v="39"/>
    <d v="1899-12-30T20:30:00"/>
    <d v="1899-12-30T20:30:03"/>
    <d v="1899-12-30T22:19:48"/>
    <s v="1 hr 49 min 44s"/>
    <s v="dua-unee-xss"/>
    <x v="32"/>
    <d v="1899-12-30T01:49:48"/>
    <d v="1899-12-30T02:09:50"/>
    <n v="1"/>
    <n v="0"/>
  </r>
  <r>
    <n v="30"/>
    <x v="86"/>
    <d v="1899-12-30T20:30:00"/>
    <d v="1899-12-30T20:30:03"/>
    <d v="1899-12-30T22:19:48"/>
    <s v="1 hr 49 min 44s"/>
    <s v="dua-unee-xss"/>
    <x v="32"/>
    <d v="1899-12-30T01:49:48"/>
    <d v="1899-12-30T02:09:56"/>
    <n v="1"/>
    <n v="0"/>
  </r>
  <r>
    <n v="31"/>
    <x v="21"/>
    <d v="1899-12-30T20:30:00"/>
    <d v="1899-12-30T20:30:03"/>
    <d v="1899-12-30T22:19:48"/>
    <s v="1 hr 49 min 44s"/>
    <s v="dua-unee-xss"/>
    <x v="32"/>
    <d v="1899-12-30T01:49:48"/>
    <d v="1899-12-30T02:10:03"/>
    <n v="1"/>
    <n v="0"/>
  </r>
  <r>
    <n v="32"/>
    <x v="52"/>
    <d v="1899-12-30T20:30:00"/>
    <d v="1899-12-30T20:36:49"/>
    <d v="1899-12-30T22:19:48"/>
    <s v="1 hr 43 min 0s"/>
    <s v="dua-unee-xss"/>
    <x v="32"/>
    <d v="1899-12-30T01:49:48"/>
    <d v="1899-12-30T02:10:10"/>
    <n v="1"/>
    <n v="0"/>
  </r>
  <r>
    <n v="33"/>
    <x v="22"/>
    <d v="1899-12-30T20:30:00"/>
    <d v="1899-12-30T20:36:49"/>
    <d v="1899-12-30T22:19:48"/>
    <s v="1 hr 43 min 0s"/>
    <s v="dua-unee-xss"/>
    <x v="32"/>
    <d v="1899-12-30T01:49:48"/>
    <d v="1899-12-30T02:10:16"/>
    <n v="1"/>
    <n v="0"/>
  </r>
  <r>
    <n v="34"/>
    <x v="94"/>
    <d v="1899-12-30T20:30:00"/>
    <d v="1899-12-30T20:30:03"/>
    <d v="1899-12-30T22:19:48"/>
    <s v="1 hr 49 min 44s"/>
    <s v="dua-unee-xss"/>
    <x v="32"/>
    <d v="1899-12-30T01:49:48"/>
    <d v="1899-12-30T02:10:23"/>
    <n v="1"/>
    <n v="0"/>
  </r>
  <r>
    <n v="35"/>
    <x v="30"/>
    <d v="1899-12-30T20:30:00"/>
    <d v="1899-12-30T20:30:03"/>
    <d v="1899-12-30T22:19:48"/>
    <s v="1 hr 49 min 44s"/>
    <s v="dua-unee-xss"/>
    <x v="32"/>
    <d v="1899-12-30T01:49:48"/>
    <d v="1899-12-30T02:10:30"/>
    <n v="1"/>
    <n v="0"/>
  </r>
  <r>
    <n v="36"/>
    <x v="87"/>
    <d v="1899-12-30T20:30:00"/>
    <d v="1899-12-30T20:36:49"/>
    <d v="1899-12-30T22:19:48"/>
    <s v="1 hr 43 min 0s"/>
    <s v="dua-unee-xss"/>
    <x v="32"/>
    <d v="1899-12-30T01:49:48"/>
    <d v="1899-12-30T02:10:37"/>
    <n v="1"/>
    <n v="0"/>
  </r>
  <r>
    <n v="37"/>
    <x v="23"/>
    <d v="1899-12-30T20:30:00"/>
    <d v="1899-12-30T20:30:03"/>
    <d v="1899-12-30T22:19:48"/>
    <s v="1 hr 49 min 44s"/>
    <s v="dua-unee-xss"/>
    <x v="32"/>
    <d v="1899-12-30T01:49:48"/>
    <d v="1899-12-30T02:10:45"/>
    <n v="1"/>
    <n v="0"/>
  </r>
  <r>
    <n v="38"/>
    <x v="93"/>
    <d v="1899-12-30T20:30:00"/>
    <d v="1899-12-30T20:30:03"/>
    <d v="1899-12-30T22:19:48"/>
    <s v="1 hr 49 min 44s"/>
    <s v="dua-unee-xss"/>
    <x v="32"/>
    <d v="1899-12-30T01:49:48"/>
    <d v="1899-12-30T02:10:52"/>
    <n v="1"/>
    <n v="0"/>
  </r>
  <r>
    <n v="39"/>
    <x v="40"/>
    <d v="1899-12-30T20:30:00"/>
    <d v="1899-12-30T20:30:03"/>
    <d v="1899-12-30T22:19:48"/>
    <s v="1 hr 49 min 44s"/>
    <s v="dua-unee-xss"/>
    <x v="32"/>
    <d v="1899-12-30T01:49:48"/>
    <d v="1899-12-30T02:10:59"/>
    <n v="1"/>
    <n v="0"/>
  </r>
  <r>
    <n v="40"/>
    <x v="24"/>
    <d v="1899-12-30T20:30:00"/>
    <d v="1899-12-30T20:36:49"/>
    <d v="1899-12-30T22:19:48"/>
    <s v="1 hr 43 min 0s"/>
    <s v="dua-unee-xss"/>
    <x v="32"/>
    <d v="1899-12-30T01:49:48"/>
    <d v="1899-12-30T02:11:06"/>
    <n v="1"/>
    <n v="0"/>
  </r>
  <r>
    <n v="41"/>
    <x v="102"/>
    <d v="1899-12-30T20:30:00"/>
    <d v="1899-12-30T20:36:49"/>
    <d v="1899-12-30T22:19:48"/>
    <s v="1 hr 43 min 0s"/>
    <s v="dua-unee-xss"/>
    <x v="32"/>
    <d v="1899-12-30T01:49:48"/>
    <d v="1899-12-30T02:11:14"/>
    <n v="1"/>
    <n v="0"/>
  </r>
  <r>
    <n v="42"/>
    <x v="25"/>
    <d v="1899-12-30T20:30:00"/>
    <d v="1899-12-30T20:30:03"/>
    <d v="1899-12-30T22:19:48"/>
    <s v="1 hr 49 min 44s"/>
    <s v="dua-unee-xss"/>
    <x v="32"/>
    <d v="1899-12-30T01:49:48"/>
    <d v="1899-12-30T02:11:21"/>
    <n v="1"/>
    <n v="0"/>
  </r>
  <r>
    <n v="43"/>
    <x v="81"/>
    <d v="1899-12-30T20:30:00"/>
    <d v="1899-12-30T20:36:49"/>
    <d v="1899-12-30T22:19:48"/>
    <s v="1 hr 43 min 0s"/>
    <s v="dua-unee-xss"/>
    <x v="32"/>
    <d v="1899-12-30T01:49:48"/>
    <d v="1899-12-30T02:11:29"/>
    <n v="1"/>
    <n v="0"/>
  </r>
  <r>
    <n v="44"/>
    <x v="76"/>
    <d v="1899-12-30T20:30:00"/>
    <d v="1899-12-30T20:36:49"/>
    <d v="1899-12-30T22:19:48"/>
    <s v="1 hr 43 min 0s"/>
    <s v="dua-unee-xss"/>
    <x v="32"/>
    <d v="1899-12-30T01:49:48"/>
    <d v="1899-12-30T02:11:37"/>
    <n v="1"/>
    <n v="0"/>
  </r>
  <r>
    <n v="45"/>
    <x v="67"/>
    <d v="1899-12-30T20:30:00"/>
    <d v="1899-12-30T20:36:49"/>
    <d v="1899-12-30T22:19:48"/>
    <s v="1 hr 43 min 0s"/>
    <s v="dua-unee-xss"/>
    <x v="32"/>
    <d v="1899-12-30T01:49:48"/>
    <d v="1899-12-30T02:11:45"/>
    <n v="1"/>
    <n v="0"/>
  </r>
  <r>
    <n v="1"/>
    <x v="1"/>
    <d v="1899-12-30T20:27:10"/>
    <d v="1899-12-30T20:37:08"/>
    <d v="1899-12-30T22:39:54"/>
    <s v="0 hr 59 min 23s"/>
    <s v="dua-unee-xss"/>
    <x v="33"/>
    <d v="1899-12-30T02:12:44"/>
    <d v="1899-12-30T02:11:53"/>
    <n v="1"/>
    <n v="0"/>
  </r>
  <r>
    <n v="2"/>
    <x v="2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3"/>
    <x v="65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4"/>
    <x v="13"/>
    <d v="1899-12-30T20:27:10"/>
    <d v="1899-12-30T20:27:13"/>
    <d v="1899-12-30T22:39:54"/>
    <s v="2 hr 9 min 15s"/>
    <s v="dua-unee-xss"/>
    <x v="33"/>
    <d v="1899-12-30T02:12:44"/>
    <d v="1899-12-30T02:11:52"/>
    <n v="1"/>
    <n v="0"/>
  </r>
  <r>
    <n v="5"/>
    <x v="101"/>
    <d v="1899-12-30T20:27:10"/>
    <d v="1899-12-30T20:37:08"/>
    <d v="1899-12-30T22:39:54"/>
    <s v="2 hr 2 min 43s"/>
    <s v="dua-unee-xss"/>
    <x v="33"/>
    <d v="1899-12-30T02:12:44"/>
    <d v="1899-12-30T02:11:51"/>
    <n v="1"/>
    <n v="0"/>
  </r>
  <r>
    <n v="6"/>
    <x v="96"/>
    <d v="1899-12-30T20:27:10"/>
    <d v="1899-12-30T20:37:08"/>
    <d v="1899-12-30T22:39:54"/>
    <s v="2 hr 2 min 39s"/>
    <s v="dua-unee-xss"/>
    <x v="33"/>
    <d v="1899-12-30T02:12:44"/>
    <d v="1899-12-30T02:11:51"/>
    <n v="1"/>
    <n v="0"/>
  </r>
  <r>
    <n v="7"/>
    <x v="4"/>
    <d v="1899-12-30T20:27:10"/>
    <d v="1899-12-30T20:29:54"/>
    <d v="1899-12-30T22:39:54"/>
    <s v="2 hr 9 min 54s"/>
    <s v="dua-unee-xss"/>
    <x v="33"/>
    <d v="1899-12-30T02:12:44"/>
    <d v="1899-12-30T02:11:51"/>
    <n v="1"/>
    <n v="0"/>
  </r>
  <r>
    <n v="8"/>
    <x v="31"/>
    <d v="1899-12-30T20:27:10"/>
    <d v="1899-12-30T20:37:08"/>
    <d v="1899-12-30T22:39:54"/>
    <s v="1 hr 59 min 23s"/>
    <s v="dua-unee-xss"/>
    <x v="33"/>
    <d v="1899-12-30T02:12:44"/>
    <d v="1899-12-30T02:11:50"/>
    <n v="1"/>
    <n v="0"/>
  </r>
  <r>
    <n v="9"/>
    <x v="27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0"/>
    <x v="72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1"/>
    <x v="49"/>
    <d v="1899-12-30T20:27:10"/>
    <d v="1899-12-30T20:27:13"/>
    <d v="1899-12-30T22:39:54"/>
    <s v="2 hr 9 min 15s"/>
    <s v="dua-unee-xss"/>
    <x v="33"/>
    <d v="1899-12-30T02:12:44"/>
    <d v="1899-12-30T02:11:49"/>
    <n v="1"/>
    <n v="0"/>
  </r>
  <r>
    <n v="12"/>
    <x v="14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3"/>
    <x v="88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4"/>
    <x v="54"/>
    <d v="1899-12-30T20:27:10"/>
    <d v="1899-12-30T20:29:56"/>
    <d v="1899-12-30T22:39:54"/>
    <s v="2 hr 6 min 32s"/>
    <s v="dua-unee-xss"/>
    <x v="33"/>
    <d v="1899-12-30T02:12:44"/>
    <d v="1899-12-30T02:11:48"/>
    <n v="1"/>
    <n v="0"/>
  </r>
  <r>
    <n v="15"/>
    <x v="5"/>
    <d v="1899-12-30T20:27:10"/>
    <d v="1899-12-30T20:27:13"/>
    <d v="1899-12-30T22:39:54"/>
    <s v="2 hr 12 min 35s"/>
    <s v="dua-unee-xss"/>
    <x v="33"/>
    <d v="1899-12-30T02:12:44"/>
    <d v="1899-12-30T02:11:48"/>
    <n v="1"/>
    <n v="0"/>
  </r>
  <r>
    <n v="16"/>
    <x v="89"/>
    <d v="1899-12-30T20:27:10"/>
    <d v="1899-12-30T20:37:08"/>
    <d v="1899-12-30T22:39:54"/>
    <s v="1 hr 59 min 23s"/>
    <s v="dua-unee-xss"/>
    <x v="33"/>
    <d v="1899-12-30T02:12:44"/>
    <d v="1899-12-30T02:11:48"/>
    <n v="1"/>
    <n v="0"/>
  </r>
  <r>
    <n v="17"/>
    <x v="51"/>
    <d v="1899-12-30T20:27:10"/>
    <d v="1899-12-30T20:27:13"/>
    <d v="1899-12-30T22:39:54"/>
    <s v="2 hr 9 min 15s"/>
    <s v="dua-unee-xss"/>
    <x v="33"/>
    <d v="1899-12-30T02:12:44"/>
    <d v="1899-12-30T02:11:47"/>
    <n v="1"/>
    <n v="0"/>
  </r>
  <r>
    <n v="18"/>
    <x v="78"/>
    <d v="1899-12-30T20:27:10"/>
    <d v="1899-12-30T20:37:08"/>
    <d v="1899-12-30T22:39:54"/>
    <s v="1 hr 59 min 23s"/>
    <s v="dua-unee-xss"/>
    <x v="33"/>
    <d v="1899-12-30T02:12:44"/>
    <d v="1899-12-30T02:11:47"/>
    <n v="1"/>
    <n v="0"/>
  </r>
  <r>
    <n v="19"/>
    <x v="90"/>
    <d v="1899-12-30T20:27:10"/>
    <d v="1899-12-30T20:28:25"/>
    <d v="1899-12-30T22:39:54"/>
    <s v="2 hr 8 min 3s"/>
    <s v="dua-unee-xss"/>
    <x v="33"/>
    <d v="1899-12-30T02:12:44"/>
    <d v="1899-12-30T02:11:46"/>
    <n v="1"/>
    <n v="0"/>
  </r>
  <r>
    <n v="20"/>
    <x v="42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1"/>
    <x v="79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2"/>
    <x v="6"/>
    <d v="1899-12-30T20:27:10"/>
    <d v="1899-12-30T20:37:08"/>
    <d v="1899-12-30T22:39:54"/>
    <s v="2 hr 2 min 43s"/>
    <s v="dua-unee-xss"/>
    <x v="33"/>
    <d v="1899-12-30T02:12:44"/>
    <d v="1899-12-30T02:11:45"/>
    <n v="1"/>
    <n v="0"/>
  </r>
  <r>
    <n v="23"/>
    <x v="17"/>
    <d v="1899-12-30T20:27:10"/>
    <d v="1899-12-30T20:37:08"/>
    <d v="1899-12-30T22:39:54"/>
    <s v="1 hr 59 min 23s"/>
    <s v="dua-unee-xss"/>
    <x v="33"/>
    <d v="1899-12-30T02:12:44"/>
    <d v="1899-12-30T02:11:45"/>
    <n v="1"/>
    <n v="0"/>
  </r>
  <r>
    <n v="24"/>
    <x v="63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5"/>
    <x v="7"/>
    <d v="1899-12-30T20:27:10"/>
    <d v="1899-12-30T20:27:13"/>
    <d v="1899-12-30T22:39:54"/>
    <s v="2 hr 9 min 15s"/>
    <s v="dua-unee-xss"/>
    <x v="33"/>
    <d v="1899-12-30T02:12:44"/>
    <d v="1899-12-30T02:11:44"/>
    <n v="1"/>
    <n v="0"/>
  </r>
  <r>
    <n v="26"/>
    <x v="18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7"/>
    <x v="38"/>
    <d v="1899-12-30T20:27:10"/>
    <d v="1899-12-30T20:27:13"/>
    <d v="1899-12-30T22:39:54"/>
    <s v="2 hr 9 min 15s"/>
    <s v="dua-unee-xss"/>
    <x v="33"/>
    <d v="1899-12-30T02:12:44"/>
    <d v="1899-12-30T02:11:43"/>
    <n v="1"/>
    <n v="0"/>
  </r>
  <r>
    <n v="28"/>
    <x v="48"/>
    <d v="1899-12-30T20:27:10"/>
    <d v="1899-12-30T22:36:35"/>
    <d v="1899-12-30T22:39:54"/>
    <s v="3 min 20s"/>
    <s v="dua-unee-xss"/>
    <x v="33"/>
    <d v="1899-12-30T02:12:44"/>
    <d v="1899-12-30T02:11:43"/>
    <n v="1"/>
    <n v="0"/>
  </r>
  <r>
    <n v="29"/>
    <x v="74"/>
    <d v="1899-12-30T20:27:10"/>
    <d v="1899-12-30T20:37:08"/>
    <d v="1899-12-30T22:39:54"/>
    <s v="2 hr 2 min 43s"/>
    <s v="dua-unee-xss"/>
    <x v="33"/>
    <d v="1899-12-30T02:12:44"/>
    <d v="1899-12-30T02:11:42"/>
    <n v="1"/>
    <n v="0"/>
  </r>
  <r>
    <n v="30"/>
    <x v="59"/>
    <d v="1899-12-30T20:27:10"/>
    <d v="1899-12-30T20:29:54"/>
    <d v="1899-12-30T22:39:54"/>
    <s v="2 hr 6 min 34s"/>
    <s v="dua-unee-xss"/>
    <x v="33"/>
    <d v="1899-12-30T02:12:44"/>
    <d v="1899-12-30T02:11:42"/>
    <n v="1"/>
    <n v="0"/>
  </r>
  <r>
    <n v="31"/>
    <x v="8"/>
    <d v="1899-12-30T20:27:10"/>
    <d v="1899-12-30T20:37:08"/>
    <d v="1899-12-30T22:39:54"/>
    <s v="2 hr 2 min 43s"/>
    <s v="dua-unee-xss"/>
    <x v="33"/>
    <d v="1899-12-30T02:12:44"/>
    <d v="1899-12-30T02:11:41"/>
    <n v="1"/>
    <n v="0"/>
  </r>
  <r>
    <n v="32"/>
    <x v="29"/>
    <d v="1899-12-30T20:27:10"/>
    <d v="1899-12-30T20:37:08"/>
    <d v="1899-12-30T22:39:54"/>
    <s v="1 hr 59 min 23s"/>
    <s v="dua-unee-xss"/>
    <x v="33"/>
    <d v="1899-12-30T02:12:44"/>
    <d v="1899-12-30T02:11:41"/>
    <n v="1"/>
    <n v="0"/>
  </r>
  <r>
    <n v="33"/>
    <x v="20"/>
    <d v="1899-12-30T20:27:10"/>
    <d v="1899-12-30T22:36:35"/>
    <d v="1899-12-30T22:39:54"/>
    <s v="3 min 20s"/>
    <s v="dua-unee-xss"/>
    <x v="33"/>
    <d v="1899-12-30T02:12:44"/>
    <d v="1899-12-30T02:11:40"/>
    <n v="1"/>
    <n v="0"/>
  </r>
  <r>
    <n v="34"/>
    <x v="39"/>
    <d v="1899-12-30T20:27:10"/>
    <d v="1899-12-30T20:27:13"/>
    <d v="1899-12-30T22:39:54"/>
    <s v="2 hr 12 min 35s"/>
    <s v="dua-unee-xss"/>
    <x v="33"/>
    <d v="1899-12-30T02:12:44"/>
    <d v="1899-12-30T02:11:40"/>
    <n v="1"/>
    <n v="0"/>
  </r>
  <r>
    <n v="35"/>
    <x v="9"/>
    <d v="1899-12-30T20:27:10"/>
    <d v="1899-12-30T22:36:35"/>
    <d v="1899-12-30T22:39:54"/>
    <s v="3 min 20s"/>
    <s v="dua-unee-xss"/>
    <x v="33"/>
    <d v="1899-12-30T02:12:44"/>
    <d v="1899-12-30T02:11:39"/>
    <n v="1"/>
    <n v="0"/>
  </r>
  <r>
    <n v="36"/>
    <x v="86"/>
    <d v="1899-12-30T20:27:10"/>
    <d v="1899-12-30T20:27:13"/>
    <d v="1899-12-30T22:39:54"/>
    <s v="2 hr 9 min 15s"/>
    <s v="dua-unee-xss"/>
    <x v="33"/>
    <d v="1899-12-30T02:12:44"/>
    <d v="1899-12-30T02:11:39"/>
    <n v="1"/>
    <n v="0"/>
  </r>
  <r>
    <n v="37"/>
    <x v="21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8"/>
    <x v="64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9"/>
    <x v="55"/>
    <d v="1899-12-30T20:27:10"/>
    <d v="1899-12-30T20:27:13"/>
    <d v="1899-12-30T22:39:54"/>
    <s v="2 hr 9 min 15s"/>
    <s v="dua-unee-xss"/>
    <x v="33"/>
    <d v="1899-12-30T02:12:44"/>
    <d v="1899-12-30T02:11:37"/>
    <n v="1"/>
    <n v="0"/>
  </r>
  <r>
    <n v="40"/>
    <x v="22"/>
    <d v="1899-12-30T20:27:10"/>
    <d v="1899-12-30T20:37:08"/>
    <d v="1899-12-30T22:39:54"/>
    <s v="1 hr 59 min 23s"/>
    <s v="dua-unee-xss"/>
    <x v="33"/>
    <d v="1899-12-30T02:12:44"/>
    <d v="1899-12-30T02:11:37"/>
    <n v="1"/>
    <n v="0"/>
  </r>
  <r>
    <n v="41"/>
    <x v="94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2"/>
    <x v="30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3"/>
    <x v="87"/>
    <d v="1899-12-30T20:27:10"/>
    <d v="1899-12-30T20:37:08"/>
    <d v="1899-12-30T22:39:54"/>
    <s v="1 hr 59 min 23s"/>
    <s v="dua-unee-xss"/>
    <x v="33"/>
    <d v="1899-12-30T02:12:44"/>
    <d v="1899-12-30T02:11:35"/>
    <n v="1"/>
    <n v="0"/>
  </r>
  <r>
    <n v="44"/>
    <x v="23"/>
    <d v="1899-12-30T20:27:10"/>
    <d v="1899-12-30T20:27:13"/>
    <d v="1899-12-30T22:39:54"/>
    <s v="2 hr 9 min 15s"/>
    <s v="dua-unee-xss"/>
    <x v="33"/>
    <d v="1899-12-30T02:12:44"/>
    <d v="1899-12-30T02:11:35"/>
    <n v="1"/>
    <n v="0"/>
  </r>
  <r>
    <n v="45"/>
    <x v="93"/>
    <d v="1899-12-30T20:27:10"/>
    <d v="1899-12-30T20:27:13"/>
    <d v="1899-12-30T22:39:54"/>
    <s v="2 hr 9 min 15s"/>
    <s v="dua-unee-xss"/>
    <x v="33"/>
    <d v="1899-12-30T02:12:44"/>
    <d v="1899-12-30T02:11:34"/>
    <n v="1"/>
    <n v="0"/>
  </r>
  <r>
    <n v="46"/>
    <x v="24"/>
    <d v="1899-12-30T20:27:10"/>
    <d v="1899-12-30T20:27:13"/>
    <d v="1899-12-30T22:39:54"/>
    <s v="2 hr 12 min 31s"/>
    <s v="dua-unee-xss"/>
    <x v="33"/>
    <d v="1899-12-30T02:12:44"/>
    <d v="1899-12-30T02:11:34"/>
    <n v="1"/>
    <n v="0"/>
  </r>
  <r>
    <n v="47"/>
    <x v="62"/>
    <d v="1899-12-30T20:27:10"/>
    <d v="1899-12-30T20:37:08"/>
    <d v="1899-12-30T22:39:54"/>
    <s v="1 hr 59 min 23s"/>
    <s v="dua-unee-xss"/>
    <x v="33"/>
    <d v="1899-12-30T02:12:44"/>
    <d v="1899-12-30T02:11:33"/>
    <n v="1"/>
    <n v="0"/>
  </r>
  <r>
    <n v="48"/>
    <x v="25"/>
    <d v="1899-12-30T20:27:10"/>
    <d v="1899-12-30T20:27:13"/>
    <d v="1899-12-30T22:39:54"/>
    <s v="2 hr 9 min 15s"/>
    <s v="dua-unee-xss"/>
    <x v="33"/>
    <d v="1899-12-30T02:12:44"/>
    <d v="1899-12-30T02:11:32"/>
    <n v="1"/>
    <n v="0"/>
  </r>
  <r>
    <n v="49"/>
    <x v="81"/>
    <d v="1899-12-30T20:27:10"/>
    <d v="1899-12-30T20:37:08"/>
    <d v="1899-12-30T22:39:54"/>
    <s v="2 hr 2 min 43s"/>
    <s v="dua-unee-xss"/>
    <x v="33"/>
    <d v="1899-12-30T02:12:44"/>
    <d v="1899-12-30T02:11:32"/>
    <n v="1"/>
    <n v="0"/>
  </r>
  <r>
    <n v="50"/>
    <x v="76"/>
    <d v="1899-12-30T20:27:10"/>
    <d v="1899-12-30T20:29:54"/>
    <d v="1899-12-30T22:39:54"/>
    <s v="2 hr 9 min 54s"/>
    <s v="dua-unee-xss"/>
    <x v="33"/>
    <d v="1899-12-30T02:12:44"/>
    <d v="1899-12-30T02:11:31"/>
    <n v="1"/>
    <n v="0"/>
  </r>
  <r>
    <n v="51"/>
    <x v="36"/>
    <d v="1899-12-30T20:27:10"/>
    <d v="1899-12-30T20:37:08"/>
    <d v="1899-12-30T22:39:54"/>
    <s v="1 hr 59 min 23s"/>
    <s v="dua-unee-xss"/>
    <x v="33"/>
    <d v="1899-12-30T02:12:44"/>
    <d v="1899-12-30T02:11:31"/>
    <n v="1"/>
    <n v="0"/>
  </r>
  <r>
    <n v="52"/>
    <x v="69"/>
    <d v="1899-12-30T20:27:10"/>
    <d v="1899-12-30T20:37:08"/>
    <d v="1899-12-30T22:39:54"/>
    <s v="1 hr 59 min 23s"/>
    <s v="dua-unee-xss"/>
    <x v="33"/>
    <d v="1899-12-30T02:12:44"/>
    <d v="1899-12-30T02:11:30"/>
    <n v="1"/>
    <n v="0"/>
  </r>
  <r>
    <n v="53"/>
    <x v="67"/>
    <d v="1899-12-30T20:27:10"/>
    <d v="1899-12-30T20:37:08"/>
    <d v="1899-12-30T22:39:54"/>
    <s v="1 hr 59 min 23s"/>
    <s v="dua-unee-xss"/>
    <x v="33"/>
    <d v="1899-12-30T02:12:44"/>
    <d v="1899-12-30T02:11:29"/>
    <n v="1"/>
    <n v="0"/>
  </r>
  <r>
    <n v="1"/>
    <x v="1"/>
    <d v="1899-12-30T20:37:09"/>
    <d v="1899-12-30T20:37:10"/>
    <d v="1899-12-30T22:45:41"/>
    <s v="1 hr 49 min 8s"/>
    <s v="dua-unee-xss"/>
    <x v="34"/>
    <d v="1899-12-30T02:08:32"/>
    <d v="1899-12-30T02:11:29"/>
    <n v="1"/>
    <n v="0"/>
  </r>
  <r>
    <n v="2"/>
    <x v="2"/>
    <d v="1899-12-30T20:37:09"/>
    <d v="1899-12-30T22:43:37"/>
    <d v="1899-12-30T22:45:41"/>
    <s v="1 min 51s"/>
    <s v="dua-unee-xss"/>
    <x v="34"/>
    <d v="1899-12-30T02:08:32"/>
    <d v="1899-12-30T02:11:30"/>
    <n v="1"/>
    <n v="0"/>
  </r>
  <r>
    <n v="3"/>
    <x v="65"/>
    <d v="1899-12-30T20:37:09"/>
    <d v="1899-12-30T20:37:10"/>
    <d v="1899-12-30T22:45:41"/>
    <s v="1 hr 47 min 6s"/>
    <s v="dua-unee-xss"/>
    <x v="34"/>
    <d v="1899-12-30T02:08:32"/>
    <d v="1899-12-30T02:11:32"/>
    <n v="1"/>
    <n v="0"/>
  </r>
  <r>
    <n v="4"/>
    <x v="13"/>
    <d v="1899-12-30T20:37:09"/>
    <d v="1899-12-30T20:37:10"/>
    <d v="1899-12-30T22:45:41"/>
    <s v="1 hr 47 min 6s"/>
    <s v="dua-unee-xss"/>
    <x v="34"/>
    <d v="1899-12-30T02:08:32"/>
    <d v="1899-12-30T02:11:33"/>
    <n v="1"/>
    <n v="0"/>
  </r>
  <r>
    <n v="5"/>
    <x v="101"/>
    <d v="1899-12-30T20:37:09"/>
    <d v="1899-12-30T20:37:10"/>
    <d v="1899-12-30T22:45:41"/>
    <s v="1 hr 49 min 8s"/>
    <s v="dua-unee-xss"/>
    <x v="34"/>
    <d v="1899-12-30T02:08:32"/>
    <d v="1899-12-30T02:11:35"/>
    <n v="1"/>
    <n v="0"/>
  </r>
  <r>
    <n v="6"/>
    <x v="4"/>
    <d v="1899-12-30T20:37:09"/>
    <d v="1899-12-30T20:37:10"/>
    <d v="1899-12-30T22:45:41"/>
    <s v="1 hr 47 min 6s"/>
    <s v="dua-unee-xss"/>
    <x v="34"/>
    <d v="1899-12-30T02:08:32"/>
    <d v="1899-12-30T02:11:37"/>
    <n v="1"/>
    <n v="0"/>
  </r>
  <r>
    <n v="7"/>
    <x v="31"/>
    <d v="1899-12-30T20:37:09"/>
    <d v="1899-12-30T20:37:10"/>
    <d v="1899-12-30T22:45:41"/>
    <s v="1 hr 47 min 6s"/>
    <s v="dua-unee-xss"/>
    <x v="34"/>
    <d v="1899-12-30T02:08:32"/>
    <d v="1899-12-30T02:11:38"/>
    <n v="1"/>
    <n v="0"/>
  </r>
  <r>
    <n v="8"/>
    <x v="27"/>
    <d v="1899-12-30T20:37:09"/>
    <d v="1899-12-30T20:37:10"/>
    <d v="1899-12-30T22:45:41"/>
    <s v="1 hr 49 min 8s"/>
    <s v="dua-unee-xss"/>
    <x v="34"/>
    <d v="1899-12-30T02:08:32"/>
    <d v="1899-12-30T02:11:40"/>
    <n v="1"/>
    <n v="0"/>
  </r>
  <r>
    <n v="9"/>
    <x v="49"/>
    <d v="1899-12-30T20:37:09"/>
    <d v="1899-12-30T20:37:10"/>
    <d v="1899-12-30T22:45:41"/>
    <s v="1 hr 48 min 51s"/>
    <s v="dua-unee-xss"/>
    <x v="34"/>
    <d v="1899-12-30T02:08:32"/>
    <d v="1899-12-30T02:11:42"/>
    <n v="1"/>
    <n v="0"/>
  </r>
  <r>
    <n v="10"/>
    <x v="14"/>
    <d v="1899-12-30T20:37:09"/>
    <d v="1899-12-30T20:37:10"/>
    <d v="1899-12-30T22:45:41"/>
    <s v="1 hr 47 min 6s"/>
    <s v="dua-unee-xss"/>
    <x v="34"/>
    <d v="1899-12-30T02:08:32"/>
    <d v="1899-12-30T02:11:44"/>
    <n v="1"/>
    <n v="0"/>
  </r>
  <r>
    <n v="11"/>
    <x v="88"/>
    <d v="1899-12-30T20:37:09"/>
    <d v="1899-12-30T20:37:10"/>
    <d v="1899-12-30T22:45:41"/>
    <s v="1 hr 48 min 54s"/>
    <s v="dua-unee-xss"/>
    <x v="34"/>
    <d v="1899-12-30T02:08:32"/>
    <d v="1899-12-30T02:11:46"/>
    <n v="1"/>
    <n v="0"/>
  </r>
  <r>
    <n v="12"/>
    <x v="54"/>
    <d v="1899-12-30T20:37:09"/>
    <d v="1899-12-30T20:37:10"/>
    <d v="1899-12-30T22:45:41"/>
    <s v="1 hr 47 min 6s"/>
    <s v="dua-unee-xss"/>
    <x v="34"/>
    <d v="1899-12-30T02:08:32"/>
    <d v="1899-12-30T02:11:48"/>
    <n v="1"/>
    <n v="0"/>
  </r>
  <r>
    <n v="13"/>
    <x v="5"/>
    <d v="1899-12-30T20:37:09"/>
    <d v="1899-12-30T20:37:10"/>
    <d v="1899-12-30T22:45:41"/>
    <s v="1 hr 49 min 8s"/>
    <s v="dua-unee-xss"/>
    <x v="34"/>
    <d v="1899-12-30T02:08:32"/>
    <d v="1899-12-30T02:11:50"/>
    <n v="1"/>
    <n v="0"/>
  </r>
  <r>
    <n v="14"/>
    <x v="50"/>
    <d v="1899-12-30T20:37:09"/>
    <d v="1899-12-30T20:37:10"/>
    <d v="1899-12-30T22:45:41"/>
    <s v="1 hr 47 min 6s"/>
    <s v="dua-unee-xss"/>
    <x v="34"/>
    <d v="1899-12-30T02:08:32"/>
    <d v="1899-12-30T02:11:52"/>
    <n v="1"/>
    <n v="0"/>
  </r>
  <r>
    <n v="15"/>
    <x v="89"/>
    <d v="1899-12-30T20:37:09"/>
    <d v="1899-12-30T20:37:10"/>
    <d v="1899-12-30T22:45:41"/>
    <s v="1 hr 47 min 6s"/>
    <s v="dua-unee-xss"/>
    <x v="34"/>
    <d v="1899-12-30T02:08:32"/>
    <d v="1899-12-30T02:11:54"/>
    <n v="1"/>
    <n v="0"/>
  </r>
  <r>
    <n v="16"/>
    <x v="51"/>
    <d v="1899-12-30T20:37:09"/>
    <d v="1899-12-30T20:37:10"/>
    <d v="1899-12-30T22:45:41"/>
    <s v="1 hr 47 min 6s"/>
    <s v="dua-unee-xss"/>
    <x v="34"/>
    <d v="1899-12-30T02:08:32"/>
    <d v="1899-12-30T02:11:56"/>
    <n v="1"/>
    <n v="0"/>
  </r>
  <r>
    <n v="17"/>
    <x v="78"/>
    <d v="1899-12-30T20:37:09"/>
    <d v="1899-12-30T20:37:10"/>
    <d v="1899-12-30T22:45:41"/>
    <s v="1 hr 48 min 51s"/>
    <s v="dua-unee-xss"/>
    <x v="34"/>
    <d v="1899-12-30T02:08:32"/>
    <d v="1899-12-30T02:11:58"/>
    <n v="1"/>
    <n v="0"/>
  </r>
  <r>
    <n v="18"/>
    <x v="90"/>
    <d v="1899-12-30T20:37:09"/>
    <d v="1899-12-30T20:37:10"/>
    <d v="1899-12-30T22:45:41"/>
    <s v="1 hr 47 min 6s"/>
    <s v="dua-unee-xss"/>
    <x v="34"/>
    <d v="1899-12-30T02:08:32"/>
    <d v="1899-12-30T02:12:00"/>
    <n v="1"/>
    <n v="0"/>
  </r>
  <r>
    <n v="19"/>
    <x v="42"/>
    <d v="1899-12-30T20:37:09"/>
    <d v="1899-12-30T20:37:10"/>
    <d v="1899-12-30T22:45:41"/>
    <s v="1 hr 47 min 6s"/>
    <s v="dua-unee-xss"/>
    <x v="34"/>
    <d v="1899-12-30T02:08:32"/>
    <d v="1899-12-30T02:12:02"/>
    <n v="1"/>
    <n v="0"/>
  </r>
  <r>
    <n v="20"/>
    <x v="79"/>
    <d v="1899-12-30T20:37:09"/>
    <d v="1899-12-30T20:37:10"/>
    <d v="1899-12-30T22:45:41"/>
    <s v="1 hr 47 min 6s"/>
    <s v="dua-unee-xss"/>
    <x v="34"/>
    <d v="1899-12-30T02:08:32"/>
    <d v="1899-12-30T02:12:04"/>
    <n v="1"/>
    <n v="0"/>
  </r>
  <r>
    <n v="21"/>
    <x v="103"/>
    <d v="1899-12-30T20:37:09"/>
    <d v="1899-12-30T20:37:10"/>
    <d v="1899-12-30T22:45:41"/>
    <s v="1 hr 47 min 6s"/>
    <s v="dua-unee-xss"/>
    <x v="34"/>
    <d v="1899-12-30T02:08:32"/>
    <d v="1899-12-30T02:12:07"/>
    <n v="1"/>
    <n v="0"/>
  </r>
  <r>
    <n v="22"/>
    <x v="6"/>
    <d v="1899-12-30T20:37:09"/>
    <d v="1899-12-30T22:43:37"/>
    <d v="1899-12-30T22:45:41"/>
    <s v="1 min 45s"/>
    <s v="dua-unee-xss"/>
    <x v="34"/>
    <d v="1899-12-30T02:08:32"/>
    <d v="1899-12-30T02:12:09"/>
    <n v="1"/>
    <n v="0"/>
  </r>
  <r>
    <n v="23"/>
    <x v="17"/>
    <d v="1899-12-30T20:37:09"/>
    <d v="1899-12-30T20:37:10"/>
    <d v="1899-12-30T22:45:41"/>
    <s v="1 hr 48 min 57s"/>
    <s v="dua-unee-xss"/>
    <x v="34"/>
    <d v="1899-12-30T02:08:32"/>
    <d v="1899-12-30T02:12:11"/>
    <n v="1"/>
    <n v="0"/>
  </r>
  <r>
    <n v="24"/>
    <x v="85"/>
    <d v="1899-12-30T20:37:09"/>
    <d v="1899-12-30T20:37:10"/>
    <d v="1899-12-30T22:45:41"/>
    <s v="1 hr 49 min 8s"/>
    <s v="dua-unee-xss"/>
    <x v="34"/>
    <d v="1899-12-30T02:08:32"/>
    <d v="1899-12-30T02:12:14"/>
    <n v="1"/>
    <n v="0"/>
  </r>
  <r>
    <n v="25"/>
    <x v="43"/>
    <d v="1899-12-30T20:37:09"/>
    <d v="1899-12-30T20:37:10"/>
    <d v="1899-12-30T22:45:41"/>
    <s v="1 hr 47 min 6s"/>
    <s v="dua-unee-xss"/>
    <x v="34"/>
    <d v="1899-12-30T02:08:32"/>
    <d v="1899-12-30T02:12:16"/>
    <n v="1"/>
    <n v="0"/>
  </r>
  <r>
    <n v="26"/>
    <x v="7"/>
    <d v="1899-12-30T20:37:09"/>
    <d v="1899-12-30T20:37:10"/>
    <d v="1899-12-30T22:45:41"/>
    <s v="1 hr 47 min 6s"/>
    <s v="dua-unee-xss"/>
    <x v="34"/>
    <d v="1899-12-30T02:08:32"/>
    <d v="1899-12-30T02:12:19"/>
    <n v="1"/>
    <n v="0"/>
  </r>
  <r>
    <n v="27"/>
    <x v="18"/>
    <d v="1899-12-30T20:37:09"/>
    <d v="1899-12-30T20:37:10"/>
    <d v="1899-12-30T22:45:41"/>
    <s v="1 hr 47 min 6s"/>
    <s v="dua-unee-xss"/>
    <x v="34"/>
    <d v="1899-12-30T02:08:32"/>
    <d v="1899-12-30T02:12:21"/>
    <n v="1"/>
    <n v="0"/>
  </r>
  <r>
    <n v="28"/>
    <x v="104"/>
    <d v="1899-12-30T20:37:09"/>
    <d v="1899-12-30T22:43:37"/>
    <d v="1899-12-30T22:45:41"/>
    <s v="2 min 2s"/>
    <s v="dua-unee-xss"/>
    <x v="34"/>
    <d v="1899-12-30T02:08:32"/>
    <d v="1899-12-30T02:12:24"/>
    <n v="1"/>
    <n v="0"/>
  </r>
  <r>
    <n v="29"/>
    <x v="38"/>
    <d v="1899-12-30T20:37:09"/>
    <d v="1899-12-30T20:37:10"/>
    <d v="1899-12-30T22:45:41"/>
    <s v="1 hr 48 min 51s"/>
    <s v="dua-unee-xss"/>
    <x v="34"/>
    <d v="1899-12-30T02:08:32"/>
    <d v="1899-12-30T02:12:27"/>
    <n v="1"/>
    <n v="0"/>
  </r>
  <r>
    <n v="30"/>
    <x v="48"/>
    <d v="1899-12-30T20:37:09"/>
    <d v="1899-12-30T20:37:10"/>
    <d v="1899-12-30T22:45:41"/>
    <s v="1 hr 47 min 6s"/>
    <s v="dua-unee-xss"/>
    <x v="34"/>
    <d v="1899-12-30T02:08:32"/>
    <d v="1899-12-30T02:12:30"/>
    <n v="1"/>
    <n v="0"/>
  </r>
  <r>
    <n v="31"/>
    <x v="59"/>
    <d v="1899-12-30T20:37:09"/>
    <d v="1899-12-30T20:37:10"/>
    <d v="1899-12-30T22:45:41"/>
    <s v="1 hr 47 min 6s"/>
    <s v="dua-unee-xss"/>
    <x v="34"/>
    <d v="1899-12-30T02:08:32"/>
    <d v="1899-12-30T02:12:32"/>
    <n v="1"/>
    <n v="0"/>
  </r>
  <r>
    <n v="32"/>
    <x v="8"/>
    <d v="1899-12-30T20:37:09"/>
    <d v="1899-12-30T20:37:10"/>
    <d v="1899-12-30T22:45:41"/>
    <s v="1 hr 48 min 51s"/>
    <s v="dua-unee-xss"/>
    <x v="34"/>
    <d v="1899-12-30T02:08:32"/>
    <d v="1899-12-30T02:12:35"/>
    <n v="1"/>
    <n v="0"/>
  </r>
  <r>
    <n v="33"/>
    <x v="29"/>
    <d v="1899-12-30T20:37:09"/>
    <d v="1899-12-30T20:37:10"/>
    <d v="1899-12-30T22:45:41"/>
    <s v="1 hr 47 min 6s"/>
    <s v="dua-unee-xss"/>
    <x v="34"/>
    <d v="1899-12-30T02:08:32"/>
    <d v="1899-12-30T02:12:38"/>
    <n v="1"/>
    <n v="0"/>
  </r>
  <r>
    <n v="34"/>
    <x v="20"/>
    <d v="1899-12-30T20:37:09"/>
    <d v="1899-12-30T20:37:10"/>
    <d v="1899-12-30T22:45:41"/>
    <s v="1 hr 49 min 8s"/>
    <s v="dua-unee-xss"/>
    <x v="34"/>
    <d v="1899-12-30T02:08:32"/>
    <d v="1899-12-30T02:12:41"/>
    <n v="1"/>
    <n v="0"/>
  </r>
  <r>
    <n v="35"/>
    <x v="9"/>
    <d v="1899-12-30T20:37:09"/>
    <d v="1899-12-30T20:37:10"/>
    <d v="1899-12-30T22:45:41"/>
    <s v="1 hr 49 min 3s"/>
    <s v="dua-unee-xss"/>
    <x v="34"/>
    <d v="1899-12-30T02:08:32"/>
    <d v="1899-12-30T02:12:45"/>
    <n v="1"/>
    <n v="0"/>
  </r>
  <r>
    <n v="36"/>
    <x v="86"/>
    <d v="1899-12-30T20:37:09"/>
    <d v="1899-12-30T20:37:10"/>
    <d v="1899-12-30T22:45:41"/>
    <s v="1 hr 48 min 55s"/>
    <s v="dua-unee-xss"/>
    <x v="34"/>
    <d v="1899-12-30T02:08:32"/>
    <d v="1899-12-30T02:12:48"/>
    <n v="1"/>
    <n v="0"/>
  </r>
  <r>
    <n v="37"/>
    <x v="92"/>
    <d v="1899-12-30T20:37:09"/>
    <d v="1899-12-30T20:37:10"/>
    <d v="1899-12-30T22:45:41"/>
    <s v="1 hr 47 min 6s"/>
    <s v="dua-unee-xss"/>
    <x v="34"/>
    <d v="1899-12-30T02:08:32"/>
    <d v="1899-12-30T02:12:51"/>
    <n v="1"/>
    <n v="0"/>
  </r>
  <r>
    <n v="38"/>
    <x v="52"/>
    <d v="1899-12-30T20:37:09"/>
    <d v="1899-12-30T20:37:10"/>
    <d v="1899-12-30T22:45:41"/>
    <s v="1 hr 47 min 6s"/>
    <s v="dua-unee-xss"/>
    <x v="34"/>
    <d v="1899-12-30T02:08:32"/>
    <d v="1899-12-30T02:12:55"/>
    <n v="1"/>
    <n v="0"/>
  </r>
  <r>
    <n v="39"/>
    <x v="55"/>
    <d v="1899-12-30T20:37:09"/>
    <d v="1899-12-30T20:37:10"/>
    <d v="1899-12-30T22:45:41"/>
    <s v="1 hr 47 min 6s"/>
    <s v="dua-unee-xss"/>
    <x v="34"/>
    <d v="1899-12-30T02:08:32"/>
    <d v="1899-12-30T02:12:58"/>
    <n v="1"/>
    <n v="0"/>
  </r>
  <r>
    <n v="40"/>
    <x v="22"/>
    <d v="1899-12-30T20:37:09"/>
    <d v="1899-12-30T20:37:10"/>
    <d v="1899-12-30T22:45:41"/>
    <s v="1 hr 47 min 6s"/>
    <s v="dua-unee-xss"/>
    <x v="34"/>
    <d v="1899-12-30T02:08:32"/>
    <d v="1899-12-30T02:13:02"/>
    <n v="1"/>
    <n v="0"/>
  </r>
  <r>
    <n v="41"/>
    <x v="94"/>
    <d v="1899-12-30T20:37:09"/>
    <d v="1899-12-30T20:37:10"/>
    <d v="1899-12-30T22:45:41"/>
    <s v="1 hr 48 min 51s"/>
    <s v="dua-unee-xss"/>
    <x v="34"/>
    <d v="1899-12-30T02:08:32"/>
    <d v="1899-12-30T02:13:05"/>
    <n v="1"/>
    <n v="0"/>
  </r>
  <r>
    <n v="42"/>
    <x v="30"/>
    <d v="1899-12-30T20:37:09"/>
    <d v="1899-12-30T20:37:10"/>
    <d v="1899-12-30T22:45:41"/>
    <s v="1 hr 47 min 6s"/>
    <s v="dua-unee-xss"/>
    <x v="34"/>
    <d v="1899-12-30T02:08:32"/>
    <d v="1899-12-30T02:13:09"/>
    <n v="1"/>
    <n v="0"/>
  </r>
  <r>
    <n v="43"/>
    <x v="87"/>
    <d v="1899-12-30T20:37:09"/>
    <d v="1899-12-30T20:37:10"/>
    <d v="1899-12-30T22:45:41"/>
    <s v="1 hr 47 min 6s"/>
    <s v="dua-unee-xss"/>
    <x v="34"/>
    <d v="1899-12-30T02:08:32"/>
    <d v="1899-12-30T02:13:13"/>
    <n v="1"/>
    <n v="0"/>
  </r>
  <r>
    <n v="44"/>
    <x v="23"/>
    <d v="1899-12-30T20:37:09"/>
    <d v="1899-12-30T20:37:10"/>
    <d v="1899-12-30T22:45:41"/>
    <s v="1 hr 47 min 6s"/>
    <s v="dua-unee-xss"/>
    <x v="34"/>
    <d v="1899-12-30T02:08:32"/>
    <d v="1899-12-30T02:13:17"/>
    <n v="1"/>
    <n v="0"/>
  </r>
  <r>
    <n v="45"/>
    <x v="34"/>
    <d v="1899-12-30T20:37:09"/>
    <d v="1899-12-30T20:37:10"/>
    <d v="1899-12-30T22:45:41"/>
    <s v="1 hr 47 min 6s"/>
    <s v="dua-unee-xss"/>
    <x v="34"/>
    <d v="1899-12-30T02:08:32"/>
    <d v="1899-12-30T02:13:21"/>
    <n v="1"/>
    <n v="0"/>
  </r>
  <r>
    <n v="46"/>
    <x v="35"/>
    <d v="1899-12-30T20:37:09"/>
    <d v="1899-12-30T20:37:10"/>
    <d v="1899-12-30T22:45:41"/>
    <s v="1 hr 47 min 6s"/>
    <s v="dua-unee-xss"/>
    <x v="34"/>
    <d v="1899-12-30T02:08:32"/>
    <d v="1899-12-30T02:13:25"/>
    <n v="1"/>
    <n v="0"/>
  </r>
  <r>
    <n v="47"/>
    <x v="24"/>
    <d v="1899-12-30T20:37:09"/>
    <d v="1899-12-30T20:37:10"/>
    <d v="1899-12-30T22:45:41"/>
    <s v="1 hr 49 min 8s"/>
    <s v="dua-unee-xss"/>
    <x v="34"/>
    <d v="1899-12-30T02:08:32"/>
    <d v="1899-12-30T02:13:30"/>
    <n v="1"/>
    <n v="0"/>
  </r>
  <r>
    <n v="48"/>
    <x v="25"/>
    <d v="1899-12-30T20:37:09"/>
    <d v="1899-12-30T20:37:10"/>
    <d v="1899-12-30T22:45:41"/>
    <s v="1 hr 47 min 6s"/>
    <s v="dua-unee-xss"/>
    <x v="34"/>
    <d v="1899-12-30T02:08:32"/>
    <d v="1899-12-30T02:13:34"/>
    <n v="1"/>
    <n v="0"/>
  </r>
  <r>
    <n v="49"/>
    <x v="81"/>
    <d v="1899-12-30T20:37:09"/>
    <d v="1899-12-30T20:37:10"/>
    <d v="1899-12-30T22:45:41"/>
    <s v="1 hr 47 min 6s"/>
    <s v="dua-unee-xss"/>
    <x v="34"/>
    <d v="1899-12-30T02:08:32"/>
    <d v="1899-12-30T02:13:39"/>
    <n v="1"/>
    <n v="0"/>
  </r>
  <r>
    <n v="50"/>
    <x v="76"/>
    <d v="1899-12-30T20:37:09"/>
    <d v="1899-12-30T20:37:10"/>
    <d v="1899-12-30T22:45:41"/>
    <s v="1 hr 47 min 6s"/>
    <s v="dua-unee-xss"/>
    <x v="34"/>
    <d v="1899-12-30T02:08:32"/>
    <d v="1899-12-30T02:13:44"/>
    <n v="1"/>
    <n v="0"/>
  </r>
  <r>
    <n v="51"/>
    <x v="36"/>
    <d v="1899-12-30T20:37:09"/>
    <d v="1899-12-30T20:37:10"/>
    <d v="1899-12-30T22:45:41"/>
    <s v="1 hr 49 min 8s"/>
    <s v="dua-unee-xss"/>
    <x v="34"/>
    <d v="1899-12-30T02:08:32"/>
    <d v="1899-12-30T02:13:49"/>
    <n v="1"/>
    <n v="0"/>
  </r>
  <r>
    <n v="52"/>
    <x v="67"/>
    <d v="1899-12-30T20:37:09"/>
    <d v="1899-12-30T20:37:10"/>
    <d v="1899-12-30T22:45:41"/>
    <s v="1 hr 47 min 6s"/>
    <s v="dua-unee-xss"/>
    <x v="34"/>
    <d v="1899-12-30T02:08:32"/>
    <d v="1899-12-30T02:13:54"/>
    <n v="1"/>
    <n v="0"/>
  </r>
  <r>
    <n v="53"/>
    <x v="26"/>
    <d v="1899-12-30T20:37:09"/>
    <d v="1899-12-30T20:37:10"/>
    <d v="1899-12-30T22:45:41"/>
    <s v="1 hr 47 min 6s"/>
    <s v="dua-unee-xss"/>
    <x v="34"/>
    <d v="1899-12-30T02:08:32"/>
    <d v="1899-12-30T02:13:59"/>
    <n v="1"/>
    <n v="0"/>
  </r>
  <r>
    <n v="1"/>
    <x v="12"/>
    <d v="1899-12-30T20:29:31"/>
    <d v="1899-12-30T20:32:18"/>
    <d v="1899-12-30T22:23:06"/>
    <s v="1 hr 49 min 39s"/>
    <s v="dua-unee-xss"/>
    <x v="35"/>
    <d v="1899-12-30T01:53:35"/>
    <d v="1899-12-30T02:14:05"/>
    <n v="1"/>
    <n v="0"/>
  </r>
  <r>
    <n v="2"/>
    <x v="0"/>
    <d v="1899-12-30T00:00:00"/>
    <d v="1899-12-30T22:22:10"/>
    <d v="1899-12-30T22:23:06"/>
    <s v="0 min 56s"/>
    <s v="dua-unee-xss"/>
    <x v="35"/>
    <d v="1899-12-30T22:23:06"/>
    <d v="1899-12-30T02:14:25"/>
    <n v="1"/>
    <n v="0"/>
  </r>
  <r>
    <n v="3"/>
    <x v="2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4"/>
    <x v="65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"/>
    <x v="13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6"/>
    <x v="4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7"/>
    <x v="31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8"/>
    <x v="27"/>
    <d v="1899-12-30T20:29:31"/>
    <d v="1899-12-30T20:29:34"/>
    <d v="1899-12-30T22:23:06"/>
    <s v="1 hr 52 min 15s"/>
    <s v="dua-unee-xss"/>
    <x v="35"/>
    <d v="1899-12-30T01:53:35"/>
    <d v="1899-12-30T01:53:35"/>
    <n v="1"/>
    <n v="0"/>
  </r>
  <r>
    <n v="9"/>
    <x v="72"/>
    <d v="1899-12-30T20:29:31"/>
    <d v="1899-12-30T20:29:34"/>
    <d v="1899-12-30T22:23:06"/>
    <s v="1 hr 52 min 6s"/>
    <s v="dua-unee-xss"/>
    <x v="35"/>
    <d v="1899-12-30T01:53:35"/>
    <d v="1899-12-30T01:53:35"/>
    <n v="1"/>
    <n v="0"/>
  </r>
  <r>
    <n v="10"/>
    <x v="4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1"/>
    <x v="14"/>
    <d v="1899-12-30T20:29:31"/>
    <d v="1899-12-30T20:30:42"/>
    <d v="1899-12-30T22:23:06"/>
    <s v="1 hr 51 min 51s"/>
    <s v="dua-unee-xss"/>
    <x v="35"/>
    <d v="1899-12-30T01:53:35"/>
    <d v="1899-12-30T01:53:35"/>
    <n v="1"/>
    <n v="0"/>
  </r>
  <r>
    <n v="12"/>
    <x v="88"/>
    <d v="1899-12-30T20:29:31"/>
    <d v="1899-12-30T20:29:34"/>
    <d v="1899-12-30T22:23:06"/>
    <s v="1 hr 52 min 30s"/>
    <s v="dua-unee-xss"/>
    <x v="35"/>
    <d v="1899-12-30T01:53:35"/>
    <d v="1899-12-30T01:53:35"/>
    <n v="1"/>
    <n v="0"/>
  </r>
  <r>
    <n v="13"/>
    <x v="54"/>
    <d v="1899-12-30T20:29:31"/>
    <d v="1899-12-30T20:29:34"/>
    <d v="1899-12-30T22:23:06"/>
    <s v="1 hr 52 min 5s"/>
    <s v="dua-unee-xss"/>
    <x v="35"/>
    <d v="1899-12-30T01:53:35"/>
    <d v="1899-12-30T01:53:35"/>
    <n v="1"/>
    <n v="0"/>
  </r>
  <r>
    <n v="14"/>
    <x v="56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5"/>
    <x v="5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16"/>
    <x v="105"/>
    <d v="1899-12-30T20:29:31"/>
    <d v="1899-12-30T20:33:13"/>
    <d v="1899-12-30T22:23:06"/>
    <s v="1 min 37s"/>
    <s v="dua-unee-xss"/>
    <x v="35"/>
    <d v="1899-12-30T01:53:35"/>
    <d v="1899-12-30T01:53:35"/>
    <n v="1"/>
    <n v="0"/>
  </r>
  <r>
    <n v="17"/>
    <x v="50"/>
    <d v="1899-12-30T20:29:31"/>
    <d v="1899-12-30T20:31:36"/>
    <d v="1899-12-30T22:23:06"/>
    <s v="1 hr 24 min 56s"/>
    <s v="dua-unee-xss"/>
    <x v="35"/>
    <d v="1899-12-30T01:53:35"/>
    <d v="1899-12-30T01:53:35"/>
    <n v="1"/>
    <n v="0"/>
  </r>
  <r>
    <n v="18"/>
    <x v="89"/>
    <d v="1899-12-30T20:29:31"/>
    <d v="1899-12-30T20:31:29"/>
    <d v="1899-12-30T22:23:06"/>
    <s v="1 hr 50 min 16s"/>
    <s v="dua-unee-xss"/>
    <x v="35"/>
    <d v="1899-12-30T01:53:35"/>
    <d v="1899-12-30T01:53:35"/>
    <n v="1"/>
    <n v="0"/>
  </r>
  <r>
    <n v="19"/>
    <x v="51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20"/>
    <x v="106"/>
    <d v="1899-12-30T20:29:31"/>
    <d v="1899-12-30T20:58:44"/>
    <d v="1899-12-30T22:23:06"/>
    <s v="1 hr 23 min 21s"/>
    <s v="dua-unee-xss"/>
    <x v="35"/>
    <d v="1899-12-30T01:53:35"/>
    <d v="1899-12-30T01:53:35"/>
    <n v="1"/>
    <n v="0"/>
  </r>
  <r>
    <n v="21"/>
    <x v="78"/>
    <d v="1899-12-30T20:29:31"/>
    <d v="1899-12-30T20:32:39"/>
    <d v="1899-12-30T22:23:06"/>
    <s v="1 hr 49 min 14s"/>
    <s v="dua-unee-xss"/>
    <x v="35"/>
    <d v="1899-12-30T01:53:35"/>
    <d v="1899-12-30T01:53:35"/>
    <n v="1"/>
    <n v="0"/>
  </r>
  <r>
    <n v="22"/>
    <x v="90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3"/>
    <x v="42"/>
    <d v="1899-12-30T20:29:31"/>
    <d v="1899-12-30T20:30:12"/>
    <d v="1899-12-30T22:23:06"/>
    <s v="1 hr 51 min 25s"/>
    <s v="dua-unee-xss"/>
    <x v="35"/>
    <d v="1899-12-30T01:53:35"/>
    <d v="1899-12-30T01:53:35"/>
    <n v="1"/>
    <n v="0"/>
  </r>
  <r>
    <n v="24"/>
    <x v="7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5"/>
    <x v="6"/>
    <d v="1899-12-30T20:29:31"/>
    <d v="1899-12-30T20:29:34"/>
    <d v="1899-12-30T22:23:06"/>
    <s v="1 hr 52 min 22s"/>
    <s v="dua-unee-xss"/>
    <x v="35"/>
    <d v="1899-12-30T01:53:35"/>
    <d v="1899-12-30T01:53:35"/>
    <n v="1"/>
    <n v="0"/>
  </r>
  <r>
    <n v="26"/>
    <x v="17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27"/>
    <x v="85"/>
    <d v="1899-12-30T20:29:31"/>
    <d v="1899-12-30T20:32:42"/>
    <d v="1899-12-30T22:23:06"/>
    <s v="1 hr 49 min 11s"/>
    <s v="dua-unee-xss"/>
    <x v="35"/>
    <d v="1899-12-30T01:53:35"/>
    <d v="1899-12-30T01:53:35"/>
    <n v="1"/>
    <n v="0"/>
  </r>
  <r>
    <n v="28"/>
    <x v="43"/>
    <d v="1899-12-30T20:29:31"/>
    <d v="1899-12-30T20:33:27"/>
    <d v="1899-12-30T22:23:06"/>
    <s v="1 hr 49 min 6s"/>
    <s v="dua-unee-xss"/>
    <x v="35"/>
    <d v="1899-12-30T01:53:35"/>
    <d v="1899-12-30T01:53:35"/>
    <n v="1"/>
    <n v="0"/>
  </r>
  <r>
    <n v="29"/>
    <x v="9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0"/>
    <x v="7"/>
    <d v="1899-12-30T20:29:31"/>
    <d v="1899-12-30T20:33:37"/>
    <d v="1899-12-30T22:23:06"/>
    <s v="1 hr 48 min 16s"/>
    <s v="dua-unee-xss"/>
    <x v="35"/>
    <d v="1899-12-30T01:53:35"/>
    <d v="1899-12-30T01:53:35"/>
    <n v="1"/>
    <n v="0"/>
  </r>
  <r>
    <n v="31"/>
    <x v="1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2"/>
    <x v="4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3"/>
    <x v="74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34"/>
    <x v="5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5"/>
    <x v="8"/>
    <d v="1899-12-30T20:29:31"/>
    <d v="1899-12-30T20:33:13"/>
    <d v="1899-12-30T22:23:06"/>
    <s v="1 hr 49 min 7s"/>
    <s v="dua-unee-xss"/>
    <x v="35"/>
    <d v="1899-12-30T01:53:35"/>
    <d v="1899-12-30T01:53:35"/>
    <n v="1"/>
    <n v="0"/>
  </r>
  <r>
    <n v="36"/>
    <x v="2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7"/>
    <x v="20"/>
    <d v="1899-12-30T20:29:31"/>
    <d v="1899-12-30T20:29:34"/>
    <d v="1899-12-30T22:23:06"/>
    <s v="1 hr 52 min 13s"/>
    <s v="dua-unee-xss"/>
    <x v="35"/>
    <d v="1899-12-30T01:53:35"/>
    <d v="1899-12-30T01:53:35"/>
    <n v="1"/>
    <n v="0"/>
  </r>
  <r>
    <n v="38"/>
    <x v="39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39"/>
    <x v="9"/>
    <d v="1899-12-30T20:29:31"/>
    <d v="1899-12-30T22:22:10"/>
    <d v="1899-12-30T22:23:06"/>
    <s v="0 min 3s"/>
    <s v="dua-unee-xss"/>
    <x v="35"/>
    <d v="1899-12-30T01:53:35"/>
    <d v="1899-12-30T01:53:35"/>
    <n v="1"/>
    <n v="0"/>
  </r>
  <r>
    <n v="40"/>
    <x v="64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41"/>
    <x v="60"/>
    <d v="1899-12-30T20:29:31"/>
    <d v="1899-12-30T22:22:10"/>
    <d v="1899-12-30T22:23:06"/>
    <s v="0 min 2s"/>
    <s v="dua-unee-xss"/>
    <x v="35"/>
    <d v="1899-12-30T01:53:35"/>
    <d v="1899-12-30T01:53:35"/>
    <n v="1"/>
    <n v="0"/>
  </r>
  <r>
    <n v="42"/>
    <x v="92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3"/>
    <x v="52"/>
    <d v="1899-12-30T20:29:31"/>
    <d v="1899-12-30T20:34:50"/>
    <d v="1899-12-30T22:23:06"/>
    <s v="1 hr 48 min 0s"/>
    <s v="dua-unee-xss"/>
    <x v="35"/>
    <d v="1899-12-30T01:53:35"/>
    <d v="1899-12-30T01:53:35"/>
    <n v="1"/>
    <n v="0"/>
  </r>
  <r>
    <n v="44"/>
    <x v="22"/>
    <d v="1899-12-30T20:29:31"/>
    <d v="1899-12-30T20:29:34"/>
    <d v="1899-12-30T22:23:06"/>
    <s v="1 hr 52 min 16s"/>
    <s v="dua-unee-xss"/>
    <x v="35"/>
    <d v="1899-12-30T01:53:35"/>
    <d v="1899-12-30T01:53:35"/>
    <n v="1"/>
    <n v="0"/>
  </r>
  <r>
    <n v="45"/>
    <x v="94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6"/>
    <x v="30"/>
    <d v="1899-12-30T20:29:31"/>
    <d v="1899-12-30T20:29:34"/>
    <d v="1899-12-30T22:23:06"/>
    <s v="1 hr 52 min 7s"/>
    <s v="dua-unee-xss"/>
    <x v="35"/>
    <d v="1899-12-30T01:53:35"/>
    <d v="1899-12-30T01:53:35"/>
    <n v="1"/>
    <n v="0"/>
  </r>
  <r>
    <n v="47"/>
    <x v="87"/>
    <d v="1899-12-30T20:29:31"/>
    <d v="1899-12-30T20:34:50"/>
    <d v="1899-12-30T22:23:06"/>
    <s v="1 hr 47 min 4s"/>
    <s v="dua-unee-xss"/>
    <x v="35"/>
    <d v="1899-12-30T01:53:35"/>
    <d v="1899-12-30T01:53:35"/>
    <n v="1"/>
    <n v="0"/>
  </r>
  <r>
    <n v="48"/>
    <x v="23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9"/>
    <x v="34"/>
    <d v="1899-12-30T20:29:31"/>
    <d v="1899-12-30T20:33:15"/>
    <d v="1899-12-30T22:23:06"/>
    <s v="1 hr 49 min 35s"/>
    <s v="dua-unee-xss"/>
    <x v="35"/>
    <d v="1899-12-30T01:53:35"/>
    <d v="1899-12-30T01:53:35"/>
    <n v="1"/>
    <n v="0"/>
  </r>
  <r>
    <n v="50"/>
    <x v="107"/>
    <d v="1899-12-30T20:29:31"/>
    <d v="1899-12-30T20:30:01"/>
    <d v="1899-12-30T22:23:06"/>
    <s v="1 hr 51 min 56s"/>
    <s v="dua-unee-xss"/>
    <x v="35"/>
    <d v="1899-12-30T01:53:35"/>
    <d v="1899-12-30T01:53:35"/>
    <n v="1"/>
    <n v="0"/>
  </r>
  <r>
    <n v="51"/>
    <x v="35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52"/>
    <x v="24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3"/>
    <x v="62"/>
    <d v="1899-12-30T20:29:31"/>
    <d v="1899-12-30T20:29:42"/>
    <d v="1899-12-30T22:23:06"/>
    <s v="1 hr 52 min 20s"/>
    <s v="dua-unee-xss"/>
    <x v="35"/>
    <d v="1899-12-30T01:53:35"/>
    <d v="1899-12-30T01:53:35"/>
    <n v="1"/>
    <n v="0"/>
  </r>
  <r>
    <n v="54"/>
    <x v="25"/>
    <d v="1899-12-30T20:29:31"/>
    <d v="1899-12-30T20:30:22"/>
    <d v="1899-12-30T22:23:06"/>
    <s v="1 hr 51 min 17s"/>
    <s v="dua-unee-xss"/>
    <x v="35"/>
    <d v="1899-12-30T01:53:35"/>
    <d v="1899-12-30T01:53:35"/>
    <n v="1"/>
    <n v="0"/>
  </r>
  <r>
    <n v="55"/>
    <x v="81"/>
    <d v="1899-12-30T20:29:31"/>
    <d v="1899-12-30T20:34:53"/>
    <d v="1899-12-30T22:23:06"/>
    <s v="1 hr 47 min 58s"/>
    <s v="dua-unee-xss"/>
    <x v="35"/>
    <d v="1899-12-30T01:53:35"/>
    <d v="1899-12-30T01:53:35"/>
    <n v="1"/>
    <n v="0"/>
  </r>
  <r>
    <n v="56"/>
    <x v="76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57"/>
    <x v="36"/>
    <d v="1899-12-30T20:29:31"/>
    <d v="1899-12-30T20:58:44"/>
    <d v="1899-12-30T22:23:06"/>
    <s v="1 hr 23 min 24s"/>
    <s v="dua-unee-xss"/>
    <x v="35"/>
    <d v="1899-12-30T01:53:35"/>
    <d v="1899-12-30T01:53:35"/>
    <n v="1"/>
    <n v="0"/>
  </r>
  <r>
    <n v="58"/>
    <x v="69"/>
    <d v="1899-12-30T20:29:31"/>
    <d v="1899-12-30T22:22:10"/>
    <d v="1899-12-30T22:23:06"/>
    <s v="0 min 53s"/>
    <s v="dua-unee-xss"/>
    <x v="35"/>
    <d v="1899-12-30T01:53:35"/>
    <d v="1899-12-30T01:53:35"/>
    <n v="1"/>
    <n v="0"/>
  </r>
  <r>
    <n v="59"/>
    <x v="67"/>
    <d v="1899-12-30T20:29:31"/>
    <d v="1899-12-30T20:33:34"/>
    <d v="1899-12-30T22:23:06"/>
    <s v="25 min 1s"/>
    <s v="dua-unee-xss"/>
    <x v="35"/>
    <d v="1899-12-30T01:53:35"/>
    <d v="1899-12-30T01:53:35"/>
    <n v="1"/>
    <n v="0"/>
  </r>
  <r>
    <n v="60"/>
    <x v="26"/>
    <d v="1899-12-30T20:29:31"/>
    <d v="1899-12-30T20:29:34"/>
    <d v="1899-12-30T22:23:06"/>
    <s v="1 hr 52 min 3s"/>
    <s v="dua-unee-xss"/>
    <x v="35"/>
    <d v="1899-12-30T01:53:35"/>
    <d v="1899-12-30T01:53:35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3">
  <r>
    <n v="1"/>
    <x v="0"/>
    <d v="1899-12-30T20:38:11"/>
    <d v="1899-12-30T22:23:00"/>
    <d v="1899-12-30T22:51:02"/>
    <s v="15 min 11s"/>
    <s v="qko-gvfr-grx"/>
    <x v="0"/>
    <d v="1899-12-30T02:12:51"/>
    <d v="1899-12-30T02:03:07"/>
    <n v="0"/>
    <n v="1"/>
  </r>
  <r>
    <n v="2"/>
    <x v="1"/>
    <d v="1899-12-30T20:38:11"/>
    <d v="1899-12-30T20:38:14"/>
    <d v="1899-12-30T22:51:02"/>
    <s v="2 hr 12 min 45s"/>
    <s v="qko-gvfr-grx"/>
    <x v="0"/>
    <d v="1899-12-30T02:12:51"/>
    <d v="1899-12-30T02:03:06"/>
    <n v="0"/>
    <n v="1"/>
  </r>
  <r>
    <n v="3"/>
    <x v="2"/>
    <d v="1899-12-30T20:38:11"/>
    <d v="1899-12-30T20:38:14"/>
    <d v="1899-12-30T22:51:02"/>
    <s v="2 hr 12 min 40s"/>
    <s v="qko-gvfr-grx"/>
    <x v="0"/>
    <d v="1899-12-30T02:12:51"/>
    <d v="1899-12-30T02:03:06"/>
    <n v="0"/>
    <n v="1"/>
  </r>
  <r>
    <n v="4"/>
    <x v="3"/>
    <d v="1899-12-30T20:38:11"/>
    <d v="1899-12-30T22:23:00"/>
    <d v="1899-12-30T22:51:02"/>
    <s v="28 min 3s"/>
    <s v="qko-gvfr-grx"/>
    <x v="0"/>
    <d v="1899-12-30T02:12:51"/>
    <d v="1899-12-30T02:03:05"/>
    <n v="0"/>
    <n v="1"/>
  </r>
  <r>
    <n v="5"/>
    <x v="4"/>
    <d v="1899-12-30T20:38:11"/>
    <d v="1899-12-30T22:23:00"/>
    <d v="1899-12-30T22:51:02"/>
    <s v="17 min 38s"/>
    <s v="qko-gvfr-grx"/>
    <x v="0"/>
    <d v="1899-12-30T02:12:51"/>
    <d v="1899-12-30T02:03:05"/>
    <n v="0"/>
    <n v="1"/>
  </r>
  <r>
    <n v="6"/>
    <x v="5"/>
    <d v="1899-12-30T20:38:11"/>
    <d v="1899-12-30T20:38:14"/>
    <d v="1899-12-30T22:51:02"/>
    <s v="2 hr 12 min 46s"/>
    <s v="qko-gvfr-grx"/>
    <x v="0"/>
    <d v="1899-12-30T02:12:51"/>
    <d v="1899-12-30T02:03:05"/>
    <n v="0"/>
    <n v="1"/>
  </r>
  <r>
    <n v="7"/>
    <x v="6"/>
    <d v="1899-12-30T20:38:11"/>
    <d v="1899-12-30T20:38:14"/>
    <d v="1899-12-30T22:51:02"/>
    <s v="1 hr 44 min 43s"/>
    <s v="qko-gvfr-grx"/>
    <x v="0"/>
    <d v="1899-12-30T02:12:51"/>
    <d v="1899-12-30T02:03:04"/>
    <n v="0"/>
    <n v="1"/>
  </r>
  <r>
    <n v="8"/>
    <x v="7"/>
    <d v="1899-12-30T20:38:11"/>
    <d v="1899-12-30T20:38:14"/>
    <d v="1899-12-30T22:51:02"/>
    <s v="2 hr 12 min 39s"/>
    <s v="qko-gvfr-grx"/>
    <x v="0"/>
    <d v="1899-12-30T02:12:51"/>
    <d v="1899-12-30T02:03:04"/>
    <n v="0"/>
    <n v="1"/>
  </r>
  <r>
    <n v="9"/>
    <x v="8"/>
    <d v="1899-12-30T20:38:11"/>
    <d v="1899-12-30T20:38:14"/>
    <d v="1899-12-30T22:51:02"/>
    <s v="2 hr 12 min 46s"/>
    <s v="qko-gvfr-grx"/>
    <x v="0"/>
    <d v="1899-12-30T02:12:51"/>
    <d v="1899-12-30T02:03:03"/>
    <n v="0"/>
    <n v="1"/>
  </r>
  <r>
    <n v="10"/>
    <x v="9"/>
    <d v="1899-12-30T20:38:11"/>
    <d v="1899-12-30T20:38:14"/>
    <d v="1899-12-30T22:51:02"/>
    <s v="1 hr 58 min 27s"/>
    <s v="qko-gvfr-grx"/>
    <x v="0"/>
    <d v="1899-12-30T02:12:51"/>
    <d v="1899-12-30T02:03:03"/>
    <n v="0"/>
    <n v="1"/>
  </r>
  <r>
    <n v="11"/>
    <x v="10"/>
    <d v="1899-12-30T20:38:11"/>
    <d v="1899-12-30T22:23:00"/>
    <d v="1899-12-30T22:51:02"/>
    <s v="25 min 23s"/>
    <s v="qko-gvfr-grx"/>
    <x v="0"/>
    <d v="1899-12-30T02:12:51"/>
    <d v="1899-12-30T02:03:02"/>
    <n v="0"/>
    <n v="1"/>
  </r>
  <r>
    <n v="12"/>
    <x v="11"/>
    <d v="1899-12-30T20:38:11"/>
    <d v="1899-12-30T22:23:00"/>
    <d v="1899-12-30T22:51:02"/>
    <s v="27 min 51s"/>
    <s v="qko-gvfr-grx"/>
    <x v="0"/>
    <d v="1899-12-30T02:12:51"/>
    <d v="1899-12-30T02:03:02"/>
    <n v="0"/>
    <n v="1"/>
  </r>
  <r>
    <n v="1"/>
    <x v="12"/>
    <d v="1899-12-30T20:41:24"/>
    <d v="1899-12-30T20:41:27"/>
    <d v="1899-12-30T23:05:28"/>
    <s v="2 hr 14 min 23s"/>
    <s v="bvm-hrrr-qjc"/>
    <x v="1"/>
    <d v="1899-12-30T02:24:04"/>
    <d v="1899-12-30T02:03:02"/>
    <n v="0"/>
    <n v="1"/>
  </r>
  <r>
    <n v="2"/>
    <x v="0"/>
    <d v="1899-12-30T20:41:24"/>
    <d v="1899-12-30T20:41:27"/>
    <d v="1899-12-30T23:05:28"/>
    <s v="2 hr 14 min 23s"/>
    <s v="bvm-hrrr-qjc"/>
    <x v="1"/>
    <d v="1899-12-30T02:24:04"/>
    <d v="1899-12-30T02:03:01"/>
    <n v="0"/>
    <n v="1"/>
  </r>
  <r>
    <n v="3"/>
    <x v="1"/>
    <d v="1899-12-30T20:41:24"/>
    <d v="1899-12-30T20:41:27"/>
    <d v="1899-12-30T23:05:28"/>
    <s v="2 hr 23 min 26s"/>
    <s v="bvm-hrrr-qjc"/>
    <x v="1"/>
    <d v="1899-12-30T02:24:04"/>
    <d v="1899-12-30T02:03:00"/>
    <n v="0"/>
    <n v="1"/>
  </r>
  <r>
    <n v="4"/>
    <x v="2"/>
    <d v="1899-12-30T20:41:24"/>
    <d v="1899-12-30T20:41:27"/>
    <d v="1899-12-30T23:05:28"/>
    <s v="2 hr 23 min 26s"/>
    <s v="bvm-hrrr-qjc"/>
    <x v="1"/>
    <d v="1899-12-30T02:24:04"/>
    <d v="1899-12-30T02:02:59"/>
    <n v="0"/>
    <n v="1"/>
  </r>
  <r>
    <n v="5"/>
    <x v="3"/>
    <d v="1899-12-30T20:41:24"/>
    <d v="1899-12-30T22:56:12"/>
    <d v="1899-12-30T23:05:28"/>
    <s v="9 min 0s"/>
    <s v="bvm-hrrr-qjc"/>
    <x v="1"/>
    <d v="1899-12-30T02:24:04"/>
    <d v="1899-12-30T02:02:58"/>
    <n v="0"/>
    <n v="1"/>
  </r>
  <r>
    <n v="6"/>
    <x v="13"/>
    <d v="1899-12-30T20:41:24"/>
    <d v="1899-12-30T20:41:27"/>
    <d v="1899-12-30T23:05:28"/>
    <s v="2 hr 14 min 23s"/>
    <s v="bvm-hrrr-qjc"/>
    <x v="1"/>
    <d v="1899-12-30T02:24:04"/>
    <d v="1899-12-30T02:02:57"/>
    <n v="0"/>
    <n v="1"/>
  </r>
  <r>
    <n v="7"/>
    <x v="4"/>
    <d v="1899-12-30T20:41:24"/>
    <d v="1899-12-30T20:41:27"/>
    <d v="1899-12-30T23:05:28"/>
    <s v="2 hr 14 min 23s"/>
    <s v="bvm-hrrr-qjc"/>
    <x v="1"/>
    <d v="1899-12-30T02:24:04"/>
    <d v="1899-12-30T02:02:56"/>
    <n v="0"/>
    <n v="1"/>
  </r>
  <r>
    <n v="8"/>
    <x v="14"/>
    <d v="1899-12-30T20:41:24"/>
    <d v="1899-12-30T20:41:27"/>
    <d v="1899-12-30T23:05:28"/>
    <s v="2 hr 14 min 23s"/>
    <s v="bvm-hrrr-qjc"/>
    <x v="1"/>
    <d v="1899-12-30T02:24:04"/>
    <d v="1899-12-30T02:02:55"/>
    <n v="0"/>
    <n v="1"/>
  </r>
  <r>
    <n v="9"/>
    <x v="15"/>
    <d v="1899-12-30T20:41:24"/>
    <d v="1899-12-30T20:41:27"/>
    <d v="1899-12-30T23:05:28"/>
    <s v="2 hr 14 min 23s"/>
    <s v="bvm-hrrr-qjc"/>
    <x v="1"/>
    <d v="1899-12-30T02:24:04"/>
    <d v="1899-12-30T02:02:54"/>
    <n v="0"/>
    <n v="1"/>
  </r>
  <r>
    <n v="10"/>
    <x v="5"/>
    <d v="1899-12-30T20:41:24"/>
    <d v="1899-12-30T20:41:27"/>
    <d v="1899-12-30T23:05:28"/>
    <s v="2 hr 23 min 35s"/>
    <s v="bvm-hrrr-qjc"/>
    <x v="1"/>
    <d v="1899-12-30T02:24:04"/>
    <d v="1899-12-30T02:02:53"/>
    <n v="0"/>
    <n v="1"/>
  </r>
  <r>
    <n v="11"/>
    <x v="16"/>
    <d v="1899-12-30T20:41:24"/>
    <d v="1899-12-30T20:41:27"/>
    <d v="1899-12-30T23:05:28"/>
    <s v="2 hr 14 min 23s"/>
    <s v="bvm-hrrr-qjc"/>
    <x v="1"/>
    <d v="1899-12-30T02:24:04"/>
    <d v="1899-12-30T02:02:52"/>
    <n v="0"/>
    <n v="1"/>
  </r>
  <r>
    <n v="12"/>
    <x v="6"/>
    <d v="1899-12-30T20:41:24"/>
    <d v="1899-12-30T20:41:27"/>
    <d v="1899-12-30T23:05:28"/>
    <s v="2 hr 23 min 24s"/>
    <s v="bvm-hrrr-qjc"/>
    <x v="1"/>
    <d v="1899-12-30T02:24:04"/>
    <d v="1899-12-30T02:02:51"/>
    <n v="0"/>
    <n v="1"/>
  </r>
  <r>
    <n v="13"/>
    <x v="17"/>
    <d v="1899-12-30T20:41:24"/>
    <d v="1899-12-30T20:41:27"/>
    <d v="1899-12-30T23:05:28"/>
    <s v="2 hr 14 min 23s"/>
    <s v="bvm-hrrr-qjc"/>
    <x v="1"/>
    <d v="1899-12-30T02:24:04"/>
    <d v="1899-12-30T02:02:51"/>
    <n v="0"/>
    <n v="1"/>
  </r>
  <r>
    <n v="14"/>
    <x v="7"/>
    <d v="1899-12-30T20:41:24"/>
    <d v="1899-12-30T20:41:27"/>
    <d v="1899-12-30T23:05:28"/>
    <s v="2 hr 23 min 28s"/>
    <s v="bvm-hrrr-qjc"/>
    <x v="1"/>
    <d v="1899-12-30T02:24:04"/>
    <d v="1899-12-30T02:02:50"/>
    <n v="0"/>
    <n v="1"/>
  </r>
  <r>
    <n v="15"/>
    <x v="18"/>
    <d v="1899-12-30T20:41:24"/>
    <d v="1899-12-30T20:41:27"/>
    <d v="1899-12-30T23:05:28"/>
    <s v="2 hr 14 min 23s"/>
    <s v="bvm-hrrr-qjc"/>
    <x v="1"/>
    <d v="1899-12-30T02:24:04"/>
    <d v="1899-12-30T02:02:49"/>
    <n v="0"/>
    <n v="1"/>
  </r>
  <r>
    <n v="16"/>
    <x v="19"/>
    <d v="1899-12-30T20:41:24"/>
    <d v="1899-12-30T20:41:27"/>
    <d v="1899-12-30T23:05:28"/>
    <s v="2 hr 23 min 35s"/>
    <s v="bvm-hrrr-qjc"/>
    <x v="1"/>
    <d v="1899-12-30T02:24:04"/>
    <d v="1899-12-30T02:02:48"/>
    <n v="0"/>
    <n v="1"/>
  </r>
  <r>
    <n v="17"/>
    <x v="8"/>
    <d v="1899-12-30T20:41:24"/>
    <d v="1899-12-30T20:41:27"/>
    <d v="1899-12-30T23:05:28"/>
    <s v="2 hr 23 min 33s"/>
    <s v="bvm-hrrr-qjc"/>
    <x v="1"/>
    <d v="1899-12-30T02:24:04"/>
    <d v="1899-12-30T02:02:47"/>
    <n v="0"/>
    <n v="1"/>
  </r>
  <r>
    <n v="18"/>
    <x v="20"/>
    <d v="1899-12-30T20:41:24"/>
    <d v="1899-12-30T22:56:12"/>
    <d v="1899-12-30T23:05:28"/>
    <s v="9 min 12s"/>
    <s v="bvm-hrrr-qjc"/>
    <x v="1"/>
    <d v="1899-12-30T02:24:04"/>
    <d v="1899-12-30T02:02:46"/>
    <n v="0"/>
    <n v="1"/>
  </r>
  <r>
    <n v="19"/>
    <x v="9"/>
    <d v="1899-12-30T20:41:24"/>
    <d v="1899-12-30T20:41:27"/>
    <d v="1899-12-30T23:05:28"/>
    <s v="2 hr 22 min 48s"/>
    <s v="bvm-hrrr-qjc"/>
    <x v="1"/>
    <d v="1899-12-30T02:24:04"/>
    <d v="1899-12-30T02:02:45"/>
    <n v="0"/>
    <n v="1"/>
  </r>
  <r>
    <n v="20"/>
    <x v="21"/>
    <d v="1899-12-30T20:41:24"/>
    <d v="1899-12-30T20:41:27"/>
    <d v="1899-12-30T23:05:28"/>
    <s v="2 hr 14 min 23s"/>
    <s v="bvm-hrrr-qjc"/>
    <x v="1"/>
    <d v="1899-12-30T02:24:04"/>
    <d v="1899-12-30T02:02:44"/>
    <n v="0"/>
    <n v="1"/>
  </r>
  <r>
    <n v="21"/>
    <x v="10"/>
    <d v="1899-12-30T20:41:24"/>
    <d v="1899-12-30T20:41:27"/>
    <d v="1899-12-30T23:05:28"/>
    <s v="2 hr 23 min 24s"/>
    <s v="bvm-hrrr-qjc"/>
    <x v="1"/>
    <d v="1899-12-30T02:24:04"/>
    <d v="1899-12-30T02:02:43"/>
    <n v="0"/>
    <n v="1"/>
  </r>
  <r>
    <n v="22"/>
    <x v="22"/>
    <d v="1899-12-30T20:41:24"/>
    <d v="1899-12-30T20:41:27"/>
    <d v="1899-12-30T23:05:28"/>
    <s v="2 hr 14 min 23s"/>
    <s v="bvm-hrrr-qjc"/>
    <x v="1"/>
    <d v="1899-12-30T02:24:04"/>
    <d v="1899-12-30T02:02:42"/>
    <n v="0"/>
    <n v="1"/>
  </r>
  <r>
    <n v="23"/>
    <x v="23"/>
    <d v="1899-12-30T20:41:24"/>
    <d v="1899-12-30T20:41:27"/>
    <d v="1899-12-30T23:05:28"/>
    <s v="2 hr 16 min 22s"/>
    <s v="bvm-hrrr-qjc"/>
    <x v="1"/>
    <d v="1899-12-30T02:24:04"/>
    <d v="1899-12-30T02:02:41"/>
    <n v="0"/>
    <n v="1"/>
  </r>
  <r>
    <n v="24"/>
    <x v="24"/>
    <d v="1899-12-30T20:41:24"/>
    <d v="1899-12-30T20:41:27"/>
    <d v="1899-12-30T23:05:28"/>
    <s v="2 hr 14 min 23s"/>
    <s v="bvm-hrrr-qjc"/>
    <x v="1"/>
    <d v="1899-12-30T02:24:04"/>
    <d v="1899-12-30T02:02:40"/>
    <n v="0"/>
    <n v="1"/>
  </r>
  <r>
    <n v="25"/>
    <x v="25"/>
    <d v="1899-12-30T20:41:24"/>
    <d v="1899-12-30T20:41:27"/>
    <d v="1899-12-30T23:05:28"/>
    <s v="2 hr 14 min 23s"/>
    <s v="bvm-hrrr-qjc"/>
    <x v="1"/>
    <d v="1899-12-30T02:24:04"/>
    <d v="1899-12-30T02:02:39"/>
    <n v="0"/>
    <n v="1"/>
  </r>
  <r>
    <n v="26"/>
    <x v="11"/>
    <d v="1899-12-30T20:41:24"/>
    <d v="1899-12-30T20:41:27"/>
    <d v="1899-12-30T23:05:28"/>
    <s v="2 hr 14 min 23s"/>
    <s v="bvm-hrrr-qjc"/>
    <x v="1"/>
    <d v="1899-12-30T02:24:04"/>
    <d v="1899-12-30T02:02:38"/>
    <n v="0"/>
    <n v="1"/>
  </r>
  <r>
    <n v="27"/>
    <x v="26"/>
    <d v="1899-12-30T20:41:24"/>
    <d v="1899-12-30T20:41:27"/>
    <d v="1899-12-30T23:05:28"/>
    <s v="2 hr 14 min 23s"/>
    <s v="bvm-hrrr-qjc"/>
    <x v="1"/>
    <d v="1899-12-30T02:24:04"/>
    <d v="1899-12-30T02:02:37"/>
    <n v="0"/>
    <n v="1"/>
  </r>
  <r>
    <n v="1"/>
    <x v="0"/>
    <d v="1899-12-30T20:41:27"/>
    <d v="1899-12-30T20:41:30"/>
    <d v="1899-12-30T22:04:52"/>
    <s v="1 hr 23 min 20s"/>
    <s v="ijr-ghhn-krq"/>
    <x v="2"/>
    <d v="1899-12-30T01:23:25"/>
    <d v="1899-12-30T02:02:36"/>
    <n v="0"/>
    <n v="1"/>
  </r>
  <r>
    <n v="2"/>
    <x v="2"/>
    <d v="1899-12-30T20:41:27"/>
    <d v="1899-12-30T20:41:30"/>
    <d v="1899-12-30T22:04:52"/>
    <s v="1 hr 23 min 20s"/>
    <s v="ijr-ghhn-krq"/>
    <x v="2"/>
    <d v="1899-12-30T01:23:25"/>
    <d v="1899-12-30T02:02:38"/>
    <n v="0"/>
    <n v="1"/>
  </r>
  <r>
    <n v="3"/>
    <x v="13"/>
    <d v="1899-12-30T20:41:27"/>
    <d v="1899-12-30T20:41:30"/>
    <d v="1899-12-30T22:04:52"/>
    <s v="1 hr 23 min 20s"/>
    <s v="ijr-ghhn-krq"/>
    <x v="2"/>
    <d v="1899-12-30T01:23:25"/>
    <d v="1899-12-30T02:02:40"/>
    <n v="0"/>
    <n v="1"/>
  </r>
  <r>
    <n v="4"/>
    <x v="27"/>
    <d v="1899-12-30T20:41:27"/>
    <d v="1899-12-30T20:41:30"/>
    <d v="1899-12-30T22:04:52"/>
    <s v="1 hr 23 min 20s"/>
    <s v="ijr-ghhn-krq"/>
    <x v="2"/>
    <d v="1899-12-30T01:23:25"/>
    <d v="1899-12-30T02:02:42"/>
    <n v="0"/>
    <n v="1"/>
  </r>
  <r>
    <n v="5"/>
    <x v="14"/>
    <d v="1899-12-30T20:41:27"/>
    <d v="1899-12-30T20:41:30"/>
    <d v="1899-12-30T22:04:52"/>
    <s v="1 hr 23 min 20s"/>
    <s v="ijr-ghhn-krq"/>
    <x v="2"/>
    <d v="1899-12-30T01:23:25"/>
    <d v="1899-12-30T02:02:43"/>
    <n v="0"/>
    <n v="1"/>
  </r>
  <r>
    <n v="6"/>
    <x v="5"/>
    <d v="1899-12-30T20:41:27"/>
    <d v="1899-12-30T20:41:30"/>
    <d v="1899-12-30T22:04:52"/>
    <s v="1 hr 23 min 20s"/>
    <s v="ijr-ghhn-krq"/>
    <x v="2"/>
    <d v="1899-12-30T01:23:25"/>
    <d v="1899-12-30T02:02:45"/>
    <n v="0"/>
    <n v="1"/>
  </r>
  <r>
    <n v="7"/>
    <x v="16"/>
    <d v="1899-12-30T20:41:27"/>
    <d v="1899-12-30T20:41:30"/>
    <d v="1899-12-30T22:04:52"/>
    <s v="1 hr 23 min 20s"/>
    <s v="ijr-ghhn-krq"/>
    <x v="2"/>
    <d v="1899-12-30T01:23:25"/>
    <d v="1899-12-30T02:02:47"/>
    <n v="0"/>
    <n v="1"/>
  </r>
  <r>
    <n v="8"/>
    <x v="6"/>
    <d v="1899-12-30T20:41:27"/>
    <d v="1899-12-30T20:41:30"/>
    <d v="1899-12-30T22:04:52"/>
    <s v="1 hr 23 min 20s"/>
    <s v="ijr-ghhn-krq"/>
    <x v="2"/>
    <d v="1899-12-30T01:23:25"/>
    <d v="1899-12-30T02:02:49"/>
    <n v="0"/>
    <n v="1"/>
  </r>
  <r>
    <n v="9"/>
    <x v="28"/>
    <d v="1899-12-30T20:41:27"/>
    <d v="1899-12-30T20:41:30"/>
    <d v="1899-12-30T22:04:52"/>
    <s v="1 hr 23 min 20s"/>
    <s v="ijr-ghhn-krq"/>
    <x v="2"/>
    <d v="1899-12-30T01:23:25"/>
    <d v="1899-12-30T02:02:50"/>
    <n v="0"/>
    <n v="1"/>
  </r>
  <r>
    <n v="10"/>
    <x v="18"/>
    <d v="1899-12-30T20:41:27"/>
    <d v="1899-12-30T20:41:30"/>
    <d v="1899-12-30T22:04:52"/>
    <s v="1 hr 23 min 20s"/>
    <s v="ijr-ghhn-krq"/>
    <x v="2"/>
    <d v="1899-12-30T01:23:25"/>
    <d v="1899-12-30T02:02:52"/>
    <n v="0"/>
    <n v="1"/>
  </r>
  <r>
    <n v="11"/>
    <x v="19"/>
    <d v="1899-12-30T20:41:27"/>
    <d v="1899-12-30T20:41:30"/>
    <d v="1899-12-30T22:04:52"/>
    <s v="1 hr 23 min 20s"/>
    <s v="ijr-ghhn-krq"/>
    <x v="2"/>
    <d v="1899-12-30T01:23:25"/>
    <d v="1899-12-30T02:02:54"/>
    <n v="0"/>
    <n v="1"/>
  </r>
  <r>
    <n v="12"/>
    <x v="8"/>
    <d v="1899-12-30T20:41:27"/>
    <d v="1899-12-30T20:41:30"/>
    <d v="1899-12-30T22:04:52"/>
    <s v="1 hr 23 min 20s"/>
    <s v="ijr-ghhn-krq"/>
    <x v="2"/>
    <d v="1899-12-30T01:23:25"/>
    <d v="1899-12-30T02:02:56"/>
    <n v="0"/>
    <n v="1"/>
  </r>
  <r>
    <n v="13"/>
    <x v="29"/>
    <d v="1899-12-30T20:41:27"/>
    <d v="1899-12-30T20:41:30"/>
    <d v="1899-12-30T22:04:52"/>
    <s v="1 hr 23 min 20s"/>
    <s v="ijr-ghhn-krq"/>
    <x v="2"/>
    <d v="1899-12-30T01:23:25"/>
    <d v="1899-12-30T02:02:57"/>
    <n v="0"/>
    <n v="1"/>
  </r>
  <r>
    <n v="14"/>
    <x v="20"/>
    <d v="1899-12-30T20:41:27"/>
    <d v="1899-12-30T20:41:30"/>
    <d v="1899-12-30T22:04:52"/>
    <s v="1 hr 23 min 20s"/>
    <s v="ijr-ghhn-krq"/>
    <x v="2"/>
    <d v="1899-12-30T01:23:25"/>
    <d v="1899-12-30T02:02:59"/>
    <n v="0"/>
    <n v="1"/>
  </r>
  <r>
    <n v="15"/>
    <x v="10"/>
    <d v="1899-12-30T20:41:27"/>
    <d v="1899-12-30T20:41:30"/>
    <d v="1899-12-30T22:04:52"/>
    <s v="1 hr 23 min 20s"/>
    <s v="ijr-ghhn-krq"/>
    <x v="2"/>
    <d v="1899-12-30T01:23:25"/>
    <d v="1899-12-30T02:03:01"/>
    <n v="0"/>
    <n v="1"/>
  </r>
  <r>
    <n v="16"/>
    <x v="22"/>
    <d v="1899-12-30T20:41:27"/>
    <d v="1899-12-30T20:41:30"/>
    <d v="1899-12-30T22:04:52"/>
    <s v="1 hr 23 min 20s"/>
    <s v="ijr-ghhn-krq"/>
    <x v="2"/>
    <d v="1899-12-30T01:23:25"/>
    <d v="1899-12-30T02:03:03"/>
    <n v="0"/>
    <n v="1"/>
  </r>
  <r>
    <n v="17"/>
    <x v="30"/>
    <d v="1899-12-30T20:41:27"/>
    <d v="1899-12-30T20:41:30"/>
    <d v="1899-12-30T22:04:52"/>
    <s v="1 hr 23 min 20s"/>
    <s v="ijr-ghhn-krq"/>
    <x v="2"/>
    <d v="1899-12-30T01:23:25"/>
    <d v="1899-12-30T02:03:05"/>
    <n v="0"/>
    <n v="1"/>
  </r>
  <r>
    <n v="18"/>
    <x v="23"/>
    <d v="1899-12-30T20:41:27"/>
    <d v="1899-12-30T20:41:30"/>
    <d v="1899-12-30T22:04:52"/>
    <s v="1 hr 23 min 20s"/>
    <s v="ijr-ghhn-krq"/>
    <x v="2"/>
    <d v="1899-12-30T01:23:25"/>
    <d v="1899-12-30T02:03:06"/>
    <n v="0"/>
    <n v="1"/>
  </r>
  <r>
    <n v="1"/>
    <x v="0"/>
    <d v="1899-12-30T20:35:42"/>
    <d v="1899-12-30T21:36:11"/>
    <d v="1899-12-30T22:53:56"/>
    <s v="1 hr 15 min 37s"/>
    <s v="mig-ququ-qez"/>
    <x v="3"/>
    <d v="1899-12-30T02:18:14"/>
    <d v="1899-12-30T02:03:08"/>
    <n v="0"/>
    <n v="1"/>
  </r>
  <r>
    <n v="2"/>
    <x v="1"/>
    <d v="1899-12-30T20:35:42"/>
    <d v="1899-12-30T21:36:11"/>
    <d v="1899-12-30T22:53:56"/>
    <s v="1 hr 17 min 46s"/>
    <s v="mig-ququ-qez"/>
    <x v="3"/>
    <d v="1899-12-30T02:18:14"/>
    <d v="1899-12-30T02:03:07"/>
    <n v="0"/>
    <n v="1"/>
  </r>
  <r>
    <n v="3"/>
    <x v="2"/>
    <d v="1899-12-30T20:35:42"/>
    <d v="1899-12-30T21:36:11"/>
    <d v="1899-12-30T22:53:56"/>
    <s v="1 hr 17 min 45s"/>
    <s v="mig-ququ-qez"/>
    <x v="3"/>
    <d v="1899-12-30T02:18:14"/>
    <d v="1899-12-30T02:03:07"/>
    <n v="0"/>
    <n v="1"/>
  </r>
  <r>
    <n v="4"/>
    <x v="3"/>
    <d v="1899-12-30T20:35:42"/>
    <d v="1899-12-30T21:36:11"/>
    <d v="1899-12-30T22:53:56"/>
    <s v="1 hr 17 min 29s"/>
    <s v="mig-ququ-qez"/>
    <x v="3"/>
    <d v="1899-12-30T02:18:14"/>
    <d v="1899-12-30T02:03:06"/>
    <n v="0"/>
    <n v="1"/>
  </r>
  <r>
    <n v="5"/>
    <x v="13"/>
    <d v="1899-12-30T20:35:42"/>
    <d v="1899-12-30T21:36:11"/>
    <d v="1899-12-30T22:53:56"/>
    <s v="57 min 47s"/>
    <s v="mig-ququ-qez"/>
    <x v="3"/>
    <d v="1899-12-30T02:18:14"/>
    <d v="1899-12-30T02:03:05"/>
    <n v="0"/>
    <n v="1"/>
  </r>
  <r>
    <n v="6"/>
    <x v="4"/>
    <d v="1899-12-30T20:35:42"/>
    <d v="1899-12-30T20:35:45"/>
    <d v="1899-12-30T22:53:56"/>
    <s v="1 hr 56 min 55s"/>
    <s v="mig-ququ-qez"/>
    <x v="3"/>
    <d v="1899-12-30T02:18:14"/>
    <d v="1899-12-30T02:03:05"/>
    <n v="0"/>
    <n v="1"/>
  </r>
  <r>
    <n v="7"/>
    <x v="31"/>
    <d v="1899-12-30T20:35:42"/>
    <d v="1899-12-30T20:35:45"/>
    <d v="1899-12-30T22:53:56"/>
    <s v="1 hr 0 min 18s"/>
    <s v="mig-ququ-qez"/>
    <x v="3"/>
    <d v="1899-12-30T02:18:14"/>
    <d v="1899-12-30T02:03:04"/>
    <n v="0"/>
    <n v="1"/>
  </r>
  <r>
    <n v="8"/>
    <x v="14"/>
    <d v="1899-12-30T20:35:42"/>
    <d v="1899-12-30T20:35:45"/>
    <d v="1899-12-30T22:53:56"/>
    <s v="1 hr 44 min 5s"/>
    <s v="mig-ququ-qez"/>
    <x v="3"/>
    <d v="1899-12-30T02:18:14"/>
    <d v="1899-12-30T02:03:03"/>
    <n v="0"/>
    <n v="1"/>
  </r>
  <r>
    <n v="9"/>
    <x v="15"/>
    <d v="1899-12-30T20:35:42"/>
    <d v="1899-12-30T21:36:11"/>
    <d v="1899-12-30T22:53:56"/>
    <s v="1 hr 17 min 46s"/>
    <s v="mig-ququ-qez"/>
    <x v="3"/>
    <d v="1899-12-30T02:18:14"/>
    <d v="1899-12-30T02:03:03"/>
    <n v="0"/>
    <n v="1"/>
  </r>
  <r>
    <n v="10"/>
    <x v="5"/>
    <d v="1899-12-30T20:35:42"/>
    <d v="1899-12-30T20:35:45"/>
    <d v="1899-12-30T22:53:56"/>
    <s v="2 hr 18 min 4s"/>
    <s v="mig-ququ-qez"/>
    <x v="3"/>
    <d v="1899-12-30T02:18:14"/>
    <d v="1899-12-30T02:03:02"/>
    <n v="0"/>
    <n v="1"/>
  </r>
  <r>
    <n v="11"/>
    <x v="16"/>
    <d v="1899-12-30T20:35:42"/>
    <d v="1899-12-30T20:35:45"/>
    <d v="1899-12-30T22:53:56"/>
    <s v="1 hr 0 min 18s"/>
    <s v="mig-ququ-qez"/>
    <x v="3"/>
    <d v="1899-12-30T02:18:14"/>
    <d v="1899-12-30T02:03:01"/>
    <n v="0"/>
    <n v="1"/>
  </r>
  <r>
    <n v="12"/>
    <x v="6"/>
    <d v="1899-12-30T20:35:42"/>
    <d v="1899-12-30T20:35:45"/>
    <d v="1899-12-30T22:53:56"/>
    <s v="2 hr 18 min 4s"/>
    <s v="mig-ququ-qez"/>
    <x v="3"/>
    <d v="1899-12-30T02:18:14"/>
    <d v="1899-12-30T02:03:01"/>
    <n v="0"/>
    <n v="1"/>
  </r>
  <r>
    <n v="13"/>
    <x v="17"/>
    <d v="1899-12-30T20:35:42"/>
    <d v="1899-12-30T21:36:11"/>
    <d v="1899-12-30T22:53:56"/>
    <s v="1 hr 13 min 32s"/>
    <s v="mig-ququ-qez"/>
    <x v="3"/>
    <d v="1899-12-30T02:18:14"/>
    <d v="1899-12-30T02:03:00"/>
    <n v="0"/>
    <n v="1"/>
  </r>
  <r>
    <n v="14"/>
    <x v="7"/>
    <d v="1899-12-30T20:35:42"/>
    <d v="1899-12-30T20:35:45"/>
    <d v="1899-12-30T22:53:56"/>
    <s v="1 hr 30 min 16s"/>
    <s v="mig-ququ-qez"/>
    <x v="3"/>
    <d v="1899-12-30T02:18:14"/>
    <d v="1899-12-30T02:02:59"/>
    <n v="0"/>
    <n v="1"/>
  </r>
  <r>
    <n v="15"/>
    <x v="19"/>
    <d v="1899-12-30T20:35:42"/>
    <d v="1899-12-30T21:36:11"/>
    <d v="1899-12-30T22:53:56"/>
    <s v="1 hr 17 min 6s"/>
    <s v="mig-ququ-qez"/>
    <x v="3"/>
    <d v="1899-12-30T02:18:14"/>
    <d v="1899-12-30T02:02:59"/>
    <n v="0"/>
    <n v="1"/>
  </r>
  <r>
    <n v="16"/>
    <x v="8"/>
    <d v="1899-12-30T20:35:42"/>
    <d v="1899-12-30T21:36:11"/>
    <d v="1899-12-30T22:53:56"/>
    <s v="1 hr 17 min 44s"/>
    <s v="mig-ququ-qez"/>
    <x v="3"/>
    <d v="1899-12-30T02:18:14"/>
    <d v="1899-12-30T02:02:58"/>
    <n v="0"/>
    <n v="1"/>
  </r>
  <r>
    <n v="17"/>
    <x v="29"/>
    <d v="1899-12-30T20:35:42"/>
    <d v="1899-12-30T20:35:45"/>
    <d v="1899-12-30T22:53:56"/>
    <s v="1 hr 0 min 18s"/>
    <s v="mig-ququ-qez"/>
    <x v="3"/>
    <d v="1899-12-30T02:18:14"/>
    <d v="1899-12-30T02:02:57"/>
    <n v="0"/>
    <n v="1"/>
  </r>
  <r>
    <n v="18"/>
    <x v="20"/>
    <d v="1899-12-30T20:35:42"/>
    <d v="1899-12-30T21:36:11"/>
    <d v="1899-12-30T22:53:56"/>
    <s v="1 hr 17 min 46s"/>
    <s v="mig-ququ-qez"/>
    <x v="3"/>
    <d v="1899-12-30T02:18:14"/>
    <d v="1899-12-30T02:02:56"/>
    <n v="0"/>
    <n v="1"/>
  </r>
  <r>
    <n v="19"/>
    <x v="32"/>
    <d v="1899-12-30T20:35:42"/>
    <d v="1899-12-30T20:35:45"/>
    <d v="1899-12-30T22:53:56"/>
    <s v="1 hr 0 min 18s"/>
    <s v="mig-ququ-qez"/>
    <x v="3"/>
    <d v="1899-12-30T02:18:14"/>
    <d v="1899-12-30T02:02:56"/>
    <n v="0"/>
    <n v="1"/>
  </r>
  <r>
    <n v="20"/>
    <x v="10"/>
    <d v="1899-12-30T20:35:42"/>
    <d v="1899-12-30T20:35:45"/>
    <d v="1899-12-30T22:53:56"/>
    <s v="2 hr 17 min 53s"/>
    <s v="mig-ququ-qez"/>
    <x v="3"/>
    <d v="1899-12-30T02:18:14"/>
    <d v="1899-12-30T02:02:55"/>
    <n v="0"/>
    <n v="1"/>
  </r>
  <r>
    <n v="21"/>
    <x v="22"/>
    <d v="1899-12-30T20:35:42"/>
    <d v="1899-12-30T21:36:11"/>
    <d v="1899-12-30T22:53:56"/>
    <s v="22 min 56s"/>
    <s v="mig-ququ-qez"/>
    <x v="3"/>
    <d v="1899-12-30T02:18:14"/>
    <d v="1899-12-30T02:02:54"/>
    <n v="0"/>
    <n v="1"/>
  </r>
  <r>
    <n v="22"/>
    <x v="30"/>
    <d v="1899-12-30T20:35:42"/>
    <d v="1899-12-30T20:35:45"/>
    <d v="1899-12-30T22:53:56"/>
    <s v="1 hr 39 min 1s"/>
    <s v="mig-ququ-qez"/>
    <x v="3"/>
    <d v="1899-12-30T02:18:14"/>
    <d v="1899-12-30T02:02:54"/>
    <n v="0"/>
    <n v="1"/>
  </r>
  <r>
    <n v="23"/>
    <x v="33"/>
    <d v="1899-12-30T20:35:42"/>
    <d v="1899-12-30T21:36:11"/>
    <d v="1899-12-30T22:53:56"/>
    <s v="1 hr 15 min 8s"/>
    <s v="mig-ququ-qez"/>
    <x v="3"/>
    <d v="1899-12-30T02:18:14"/>
    <d v="1899-12-30T02:02:53"/>
    <n v="0"/>
    <n v="1"/>
  </r>
  <r>
    <n v="24"/>
    <x v="34"/>
    <d v="1899-12-30T20:35:42"/>
    <d v="1899-12-30T21:36:11"/>
    <d v="1899-12-30T22:53:56"/>
    <s v="31 min 8s"/>
    <s v="mig-ququ-qez"/>
    <x v="3"/>
    <d v="1899-12-30T02:18:14"/>
    <d v="1899-12-30T02:02:52"/>
    <n v="0"/>
    <n v="1"/>
  </r>
  <r>
    <n v="25"/>
    <x v="35"/>
    <d v="1899-12-30T20:35:42"/>
    <d v="1899-12-30T21:36:11"/>
    <d v="1899-12-30T22:53:56"/>
    <s v="53 min 27s"/>
    <s v="mig-ququ-qez"/>
    <x v="3"/>
    <d v="1899-12-30T02:18:14"/>
    <d v="1899-12-30T02:02:52"/>
    <n v="0"/>
    <n v="1"/>
  </r>
  <r>
    <n v="26"/>
    <x v="24"/>
    <d v="1899-12-30T20:35:42"/>
    <d v="1899-12-30T20:35:45"/>
    <d v="1899-12-30T22:53:56"/>
    <s v="2 hr 9 min 40s"/>
    <s v="mig-ququ-qez"/>
    <x v="3"/>
    <d v="1899-12-30T02:18:14"/>
    <d v="1899-12-30T02:02:51"/>
    <n v="0"/>
    <n v="1"/>
  </r>
  <r>
    <n v="27"/>
    <x v="25"/>
    <d v="1899-12-30T20:35:42"/>
    <d v="1899-12-30T20:35:45"/>
    <d v="1899-12-30T22:53:56"/>
    <s v="1 hr 53 min 4s"/>
    <s v="mig-ququ-qez"/>
    <x v="3"/>
    <d v="1899-12-30T02:18:14"/>
    <d v="1899-12-30T02:02:50"/>
    <n v="0"/>
    <n v="1"/>
  </r>
  <r>
    <n v="28"/>
    <x v="36"/>
    <d v="1899-12-30T20:35:42"/>
    <d v="1899-12-30T21:36:11"/>
    <d v="1899-12-30T22:53:56"/>
    <s v="1 hr 17 min 46s"/>
    <s v="mig-ququ-qez"/>
    <x v="3"/>
    <d v="1899-12-30T02:18:14"/>
    <d v="1899-12-30T02:02:49"/>
    <n v="0"/>
    <n v="1"/>
  </r>
  <r>
    <n v="29"/>
    <x v="11"/>
    <d v="1899-12-30T20:35:42"/>
    <d v="1899-12-30T21:36:11"/>
    <d v="1899-12-30T22:53:56"/>
    <s v="18 min 33s"/>
    <s v="mig-ququ-qez"/>
    <x v="3"/>
    <d v="1899-12-30T02:18:14"/>
    <d v="1899-12-30T02:02:49"/>
    <n v="0"/>
    <n v="1"/>
  </r>
  <r>
    <n v="1"/>
    <x v="0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2"/>
    <x v="1"/>
    <d v="1899-12-30T20:42:52"/>
    <d v="1899-12-30T22:46:40"/>
    <d v="1899-12-30T22:46:51"/>
    <s v="0 min 2s"/>
    <s v="ezh-nfwk-fuu"/>
    <x v="4"/>
    <d v="1899-12-30T02:03:59"/>
    <d v="1899-12-30T02:02:48"/>
    <n v="0"/>
    <n v="1"/>
  </r>
  <r>
    <n v="3"/>
    <x v="2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4"/>
    <x v="13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5"/>
    <x v="4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6"/>
    <x v="31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7"/>
    <x v="37"/>
    <d v="1899-12-30T20:42:52"/>
    <d v="1899-12-30T22:46:40"/>
    <d v="1899-12-30T22:46:51"/>
    <s v="0 min 12s"/>
    <s v="ezh-nfwk-fuu"/>
    <x v="4"/>
    <d v="1899-12-30T02:03:59"/>
    <d v="1899-12-30T02:02:48"/>
    <n v="0"/>
    <n v="1"/>
  </r>
  <r>
    <n v="8"/>
    <x v="5"/>
    <d v="1899-12-30T20:42:52"/>
    <d v="1899-12-30T20:42:56"/>
    <d v="1899-12-30T22:46:51"/>
    <s v="2 hr 3 min 43s"/>
    <s v="ezh-nfwk-fuu"/>
    <x v="4"/>
    <d v="1899-12-30T02:03:59"/>
    <d v="1899-12-30T02:02:48"/>
    <n v="0"/>
    <n v="1"/>
  </r>
  <r>
    <n v="9"/>
    <x v="16"/>
    <d v="1899-12-30T20:42:52"/>
    <d v="1899-12-30T20:42:56"/>
    <d v="1899-12-30T22:46:51"/>
    <s v="2 hr 3 min 31s"/>
    <s v="ezh-nfwk-fuu"/>
    <x v="4"/>
    <d v="1899-12-30T02:03:59"/>
    <d v="1899-12-30T02:02:48"/>
    <n v="0"/>
    <n v="1"/>
  </r>
  <r>
    <n v="10"/>
    <x v="6"/>
    <d v="1899-12-30T20:42:52"/>
    <d v="1899-12-30T20:42:56"/>
    <d v="1899-12-30T22:46:51"/>
    <s v="2 hr 3 min 40s"/>
    <s v="ezh-nfwk-fuu"/>
    <x v="4"/>
    <d v="1899-12-30T02:03:59"/>
    <d v="1899-12-30T02:02:48"/>
    <n v="0"/>
    <n v="1"/>
  </r>
  <r>
    <n v="11"/>
    <x v="17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2"/>
    <x v="7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3"/>
    <x v="19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4"/>
    <x v="38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5"/>
    <x v="8"/>
    <d v="1899-12-30T20:42:52"/>
    <d v="1899-12-30T20:42:56"/>
    <d v="1899-12-30T22:46:51"/>
    <s v="2 hr 3 min 43s"/>
    <s v="ezh-nfwk-fuu"/>
    <x v="4"/>
    <d v="1899-12-30T02:03:59"/>
    <d v="1899-12-30T02:02:47"/>
    <n v="0"/>
    <n v="1"/>
  </r>
  <r>
    <n v="16"/>
    <x v="2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7"/>
    <x v="39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8"/>
    <x v="1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9"/>
    <x v="22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0"/>
    <x v="23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1"/>
    <x v="34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2"/>
    <x v="40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23"/>
    <x v="24"/>
    <d v="1899-12-30T20:42:52"/>
    <d v="1899-12-30T20:42:56"/>
    <d v="1899-12-30T22:46:51"/>
    <s v="0 min 22s"/>
    <s v="ezh-nfwk-fuu"/>
    <x v="4"/>
    <d v="1899-12-30T02:03:59"/>
    <d v="1899-12-30T02:02:47"/>
    <n v="0"/>
    <n v="1"/>
  </r>
  <r>
    <n v="24"/>
    <x v="25"/>
    <d v="1899-12-30T20:42:52"/>
    <d v="1899-12-30T20:42:56"/>
    <d v="1899-12-30T22:46:51"/>
    <s v="2 hr 3 min 31s"/>
    <s v="ezh-nfwk-fuu"/>
    <x v="4"/>
    <d v="1899-12-30T02:03:59"/>
    <d v="1899-12-30T02:02:47"/>
    <n v="0"/>
    <n v="1"/>
  </r>
  <r>
    <n v="1"/>
    <x v="0"/>
    <d v="1899-12-30T20:36:31"/>
    <d v="1899-12-30T20:36:34"/>
    <d v="1899-12-30T22:10:45"/>
    <s v="1 hr 32 min 1s"/>
    <s v="syj-qorq-zij"/>
    <x v="5"/>
    <d v="1899-12-30T01:34:14"/>
    <d v="1899-12-30T02:02:47"/>
    <n v="0"/>
    <n v="1"/>
  </r>
  <r>
    <n v="2"/>
    <x v="1"/>
    <d v="1899-12-30T20:36:31"/>
    <d v="1899-12-30T20:36:34"/>
    <d v="1899-12-30T22:10:45"/>
    <s v="1 hr 34 min 10s"/>
    <s v="syj-qorq-zij"/>
    <x v="5"/>
    <d v="1899-12-30T01:34:14"/>
    <d v="1899-12-30T02:02:48"/>
    <n v="0"/>
    <n v="1"/>
  </r>
  <r>
    <n v="3"/>
    <x v="2"/>
    <d v="1899-12-30T20:36:31"/>
    <d v="1899-12-30T20:45:25"/>
    <d v="1899-12-30T22:10:45"/>
    <s v="1 hr 25 min 19s"/>
    <s v="syj-qorq-zij"/>
    <x v="5"/>
    <d v="1899-12-30T01:34:14"/>
    <d v="1899-12-30T02:02:49"/>
    <n v="0"/>
    <n v="1"/>
  </r>
  <r>
    <n v="4"/>
    <x v="3"/>
    <d v="1899-12-30T20:36:31"/>
    <d v="1899-12-30T20:44:43"/>
    <d v="1899-12-30T22:10:45"/>
    <s v="1 hr 24 min 54s"/>
    <s v="syj-qorq-zij"/>
    <x v="5"/>
    <d v="1899-12-30T01:34:14"/>
    <d v="1899-12-30T02:02:51"/>
    <n v="0"/>
    <n v="1"/>
  </r>
  <r>
    <n v="5"/>
    <x v="4"/>
    <d v="1899-12-30T20:36:31"/>
    <d v="1899-12-30T20:36:34"/>
    <d v="1899-12-30T22:10:45"/>
    <s v="1 hr 33 min 0s"/>
    <s v="syj-qorq-zij"/>
    <x v="5"/>
    <d v="1899-12-30T01:34:14"/>
    <d v="1899-12-30T02:02:52"/>
    <n v="0"/>
    <n v="1"/>
  </r>
  <r>
    <n v="6"/>
    <x v="31"/>
    <d v="1899-12-30T20:36:31"/>
    <d v="1899-12-30T20:36:34"/>
    <d v="1899-12-30T22:10:45"/>
    <s v="22 min 12s"/>
    <s v="syj-qorq-zij"/>
    <x v="5"/>
    <d v="1899-12-30T01:34:14"/>
    <d v="1899-12-30T02:02:53"/>
    <n v="0"/>
    <n v="1"/>
  </r>
  <r>
    <n v="7"/>
    <x v="27"/>
    <d v="1899-12-30T20:36:31"/>
    <d v="1899-12-30T20:36:34"/>
    <d v="1899-12-30T22:10:45"/>
    <s v="1 hr 22 min 39s"/>
    <s v="syj-qorq-zij"/>
    <x v="5"/>
    <d v="1899-12-30T01:34:14"/>
    <d v="1899-12-30T02:02:55"/>
    <n v="0"/>
    <n v="1"/>
  </r>
  <r>
    <n v="8"/>
    <x v="37"/>
    <d v="1899-12-30T20:36:31"/>
    <d v="1899-12-30T20:36:34"/>
    <d v="1899-12-30T22:10:45"/>
    <s v="20 min 44s"/>
    <s v="syj-qorq-zij"/>
    <x v="5"/>
    <d v="1899-12-30T01:34:14"/>
    <d v="1899-12-30T02:02:56"/>
    <n v="0"/>
    <n v="1"/>
  </r>
  <r>
    <n v="9"/>
    <x v="41"/>
    <d v="1899-12-30T20:36:31"/>
    <d v="1899-12-30T20:44:43"/>
    <d v="1899-12-30T22:10:45"/>
    <s v="1 hr 18 min 20s"/>
    <s v="syj-qorq-zij"/>
    <x v="5"/>
    <d v="1899-12-30T01:34:14"/>
    <d v="1899-12-30T02:02:57"/>
    <n v="0"/>
    <n v="1"/>
  </r>
  <r>
    <n v="10"/>
    <x v="15"/>
    <d v="1899-12-30T20:36:31"/>
    <d v="1899-12-30T20:36:34"/>
    <d v="1899-12-30T22:10:45"/>
    <s v="1 hr 34 min 10s"/>
    <s v="syj-qorq-zij"/>
    <x v="5"/>
    <d v="1899-12-30T01:34:14"/>
    <d v="1899-12-30T02:02:59"/>
    <n v="0"/>
    <n v="1"/>
  </r>
  <r>
    <n v="11"/>
    <x v="5"/>
    <d v="1899-12-30T20:36:31"/>
    <d v="1899-12-30T20:36:34"/>
    <d v="1899-12-30T22:10:45"/>
    <s v="1 hr 34 min 10s"/>
    <s v="syj-qorq-zij"/>
    <x v="5"/>
    <d v="1899-12-30T01:34:14"/>
    <d v="1899-12-30T02:03:00"/>
    <n v="0"/>
    <n v="1"/>
  </r>
  <r>
    <n v="12"/>
    <x v="42"/>
    <d v="1899-12-30T20:36:31"/>
    <d v="1899-12-30T20:36:34"/>
    <d v="1899-12-30T22:10:45"/>
    <s v="1 hr 11 min 50s"/>
    <s v="syj-qorq-zij"/>
    <x v="5"/>
    <d v="1899-12-30T01:34:14"/>
    <d v="1899-12-30T02:03:01"/>
    <n v="0"/>
    <n v="1"/>
  </r>
  <r>
    <n v="13"/>
    <x v="6"/>
    <d v="1899-12-30T20:36:31"/>
    <d v="1899-12-30T20:36:34"/>
    <d v="1899-12-30T22:10:45"/>
    <s v="1 hr 32 min 57s"/>
    <s v="syj-qorq-zij"/>
    <x v="5"/>
    <d v="1899-12-30T01:34:14"/>
    <d v="1899-12-30T02:03:03"/>
    <n v="0"/>
    <n v="1"/>
  </r>
  <r>
    <n v="14"/>
    <x v="17"/>
    <d v="1899-12-30T20:36:31"/>
    <d v="1899-12-30T20:46:14"/>
    <d v="1899-12-30T22:10:45"/>
    <s v="1 hr 24 min 30s"/>
    <s v="syj-qorq-zij"/>
    <x v="5"/>
    <d v="1899-12-30T01:34:14"/>
    <d v="1899-12-30T02:03:04"/>
    <n v="0"/>
    <n v="1"/>
  </r>
  <r>
    <n v="15"/>
    <x v="43"/>
    <d v="1899-12-30T20:36:31"/>
    <d v="1899-12-30T20:44:43"/>
    <d v="1899-12-30T22:10:45"/>
    <s v="1 hr 14 min 19s"/>
    <s v="syj-qorq-zij"/>
    <x v="5"/>
    <d v="1899-12-30T01:34:14"/>
    <d v="1899-12-30T02:03:06"/>
    <n v="0"/>
    <n v="1"/>
  </r>
  <r>
    <n v="16"/>
    <x v="28"/>
    <d v="1899-12-30T20:36:31"/>
    <d v="1899-12-30T20:36:34"/>
    <d v="1899-12-30T22:10:45"/>
    <s v="1 hr 24 min 18s"/>
    <s v="syj-qorq-zij"/>
    <x v="5"/>
    <d v="1899-12-30T01:34:14"/>
    <d v="1899-12-30T02:03:07"/>
    <n v="0"/>
    <n v="1"/>
  </r>
  <r>
    <n v="17"/>
    <x v="7"/>
    <d v="1899-12-30T20:36:31"/>
    <d v="1899-12-30T20:36:34"/>
    <d v="1899-12-30T22:10:45"/>
    <s v="1 hr 32 min 50s"/>
    <s v="syj-qorq-zij"/>
    <x v="5"/>
    <d v="1899-12-30T01:34:14"/>
    <d v="1899-12-30T02:03:08"/>
    <n v="0"/>
    <n v="1"/>
  </r>
  <r>
    <n v="18"/>
    <x v="18"/>
    <d v="1899-12-30T20:36:31"/>
    <d v="1899-12-30T20:36:34"/>
    <d v="1899-12-30T22:10:45"/>
    <s v="1 hr 22 min 39s"/>
    <s v="syj-qorq-zij"/>
    <x v="5"/>
    <d v="1899-12-30T01:34:14"/>
    <d v="1899-12-30T02:03:10"/>
    <n v="0"/>
    <n v="1"/>
  </r>
  <r>
    <n v="19"/>
    <x v="44"/>
    <d v="1899-12-30T20:36:31"/>
    <d v="1899-12-30T20:36:34"/>
    <d v="1899-12-30T22:10:45"/>
    <s v="1 hr 32 min 36s"/>
    <s v="syj-qorq-zij"/>
    <x v="5"/>
    <d v="1899-12-30T01:34:14"/>
    <d v="1899-12-30T02:03:11"/>
    <n v="0"/>
    <n v="1"/>
  </r>
  <r>
    <n v="20"/>
    <x v="19"/>
    <d v="1899-12-30T20:36:31"/>
    <d v="1899-12-30T20:36:34"/>
    <d v="1899-12-30T22:10:45"/>
    <s v="1 hr 32 min 53s"/>
    <s v="syj-qorq-zij"/>
    <x v="5"/>
    <d v="1899-12-30T01:34:14"/>
    <d v="1899-12-30T02:03:12"/>
    <n v="0"/>
    <n v="1"/>
  </r>
  <r>
    <n v="21"/>
    <x v="8"/>
    <d v="1899-12-30T20:36:31"/>
    <d v="1899-12-30T21:05:46"/>
    <d v="1899-12-30T22:10:45"/>
    <s v="1 hr 3 min 47s"/>
    <s v="syj-qorq-zij"/>
    <x v="5"/>
    <d v="1899-12-30T01:34:14"/>
    <d v="1899-12-30T02:03:14"/>
    <n v="0"/>
    <n v="1"/>
  </r>
  <r>
    <n v="22"/>
    <x v="29"/>
    <d v="1899-12-30T20:36:31"/>
    <d v="1899-12-30T20:36:34"/>
    <d v="1899-12-30T22:10:45"/>
    <s v="1 hr 30 min 49s"/>
    <s v="syj-qorq-zij"/>
    <x v="5"/>
    <d v="1899-12-30T01:34:14"/>
    <d v="1899-12-30T02:03:15"/>
    <n v="0"/>
    <n v="1"/>
  </r>
  <r>
    <n v="23"/>
    <x v="20"/>
    <d v="1899-12-30T20:36:31"/>
    <d v="1899-12-30T20:44:43"/>
    <d v="1899-12-30T22:10:45"/>
    <s v="1 hr 25 min 58s"/>
    <s v="syj-qorq-zij"/>
    <x v="5"/>
    <d v="1899-12-30T01:34:14"/>
    <d v="1899-12-30T02:03:17"/>
    <n v="0"/>
    <n v="1"/>
  </r>
  <r>
    <n v="24"/>
    <x v="9"/>
    <d v="1899-12-30T20:36:31"/>
    <d v="1899-12-30T20:36:34"/>
    <d v="1899-12-30T22:10:45"/>
    <s v="1 hr 32 min 1s"/>
    <s v="syj-qorq-zij"/>
    <x v="5"/>
    <d v="1899-12-30T01:34:14"/>
    <d v="1899-12-30T02:03:18"/>
    <n v="0"/>
    <n v="1"/>
  </r>
  <r>
    <n v="25"/>
    <x v="32"/>
    <d v="1899-12-30T20:36:31"/>
    <d v="1899-12-30T21:45:22"/>
    <d v="1899-12-30T22:10:45"/>
    <s v="23 min 48s"/>
    <s v="syj-qorq-zij"/>
    <x v="5"/>
    <d v="1899-12-30T01:34:14"/>
    <d v="1899-12-30T02:03:19"/>
    <n v="0"/>
    <n v="1"/>
  </r>
  <r>
    <n v="26"/>
    <x v="45"/>
    <d v="1899-12-30T20:36:31"/>
    <d v="1899-12-30T20:36:34"/>
    <d v="1899-12-30T22:10:45"/>
    <s v="1 hr 34 min 10s"/>
    <s v="syj-qorq-zij"/>
    <x v="5"/>
    <d v="1899-12-30T01:34:14"/>
    <d v="1899-12-30T02:03:21"/>
    <n v="0"/>
    <n v="1"/>
  </r>
  <r>
    <n v="27"/>
    <x v="10"/>
    <d v="1899-12-30T20:36:31"/>
    <d v="1899-12-30T20:44:43"/>
    <d v="1899-12-30T22:10:45"/>
    <s v="1 hr 23 min 52s"/>
    <s v="syj-qorq-zij"/>
    <x v="5"/>
    <d v="1899-12-30T01:34:14"/>
    <d v="1899-12-30T02:03:22"/>
    <n v="0"/>
    <n v="1"/>
  </r>
  <r>
    <n v="28"/>
    <x v="22"/>
    <d v="1899-12-30T20:36:31"/>
    <d v="1899-12-30T20:44:43"/>
    <d v="1899-12-30T22:10:45"/>
    <s v="1 hr 24 min 44s"/>
    <s v="syj-qorq-zij"/>
    <x v="5"/>
    <d v="1899-12-30T01:34:14"/>
    <d v="1899-12-30T02:03:23"/>
    <n v="0"/>
    <n v="1"/>
  </r>
  <r>
    <n v="29"/>
    <x v="23"/>
    <d v="1899-12-30T20:36:31"/>
    <d v="1899-12-30T20:36:51"/>
    <d v="1899-12-30T22:10:45"/>
    <s v="1 hr 32 min 19s"/>
    <s v="syj-qorq-zij"/>
    <x v="5"/>
    <d v="1899-12-30T01:34:14"/>
    <d v="1899-12-30T02:03:25"/>
    <n v="0"/>
    <n v="1"/>
  </r>
  <r>
    <n v="30"/>
    <x v="34"/>
    <d v="1899-12-30T20:36:31"/>
    <d v="1899-12-30T20:36:34"/>
    <d v="1899-12-30T22:10:45"/>
    <s v="1 hr 32 min 36s"/>
    <s v="syj-qorq-zij"/>
    <x v="5"/>
    <d v="1899-12-30T01:34:14"/>
    <d v="1899-12-30T02:03:26"/>
    <n v="0"/>
    <n v="1"/>
  </r>
  <r>
    <n v="31"/>
    <x v="35"/>
    <d v="1899-12-30T20:36:31"/>
    <d v="1899-12-30T21:31:40"/>
    <d v="1899-12-30T22:10:45"/>
    <s v="36 min 33s"/>
    <s v="syj-qorq-zij"/>
    <x v="5"/>
    <d v="1899-12-30T01:34:14"/>
    <d v="1899-12-30T02:03:28"/>
    <n v="0"/>
    <n v="1"/>
  </r>
  <r>
    <n v="32"/>
    <x v="46"/>
    <d v="1899-12-30T20:36:31"/>
    <d v="1899-12-30T20:36:34"/>
    <d v="1899-12-30T22:10:45"/>
    <s v="35 min 55s"/>
    <s v="syj-qorq-zij"/>
    <x v="5"/>
    <d v="1899-12-30T01:34:14"/>
    <d v="1899-12-30T02:03:29"/>
    <n v="0"/>
    <n v="1"/>
  </r>
  <r>
    <n v="33"/>
    <x v="24"/>
    <d v="1899-12-30T20:36:31"/>
    <d v="1899-12-30T20:44:43"/>
    <d v="1899-12-30T22:10:45"/>
    <s v="1 hr 25 min 16s"/>
    <s v="syj-qorq-zij"/>
    <x v="5"/>
    <d v="1899-12-30T01:34:14"/>
    <d v="1899-12-30T02:03:30"/>
    <n v="0"/>
    <n v="1"/>
  </r>
  <r>
    <n v="34"/>
    <x v="36"/>
    <d v="1899-12-30T20:36:31"/>
    <d v="1899-12-30T20:44:43"/>
    <d v="1899-12-30T22:10:45"/>
    <s v="1 hr 26 min 2s"/>
    <s v="syj-qorq-zij"/>
    <x v="5"/>
    <d v="1899-12-30T01:34:14"/>
    <d v="1899-12-30T02:03:32"/>
    <n v="0"/>
    <n v="1"/>
  </r>
  <r>
    <n v="35"/>
    <x v="47"/>
    <d v="1899-12-30T20:36:31"/>
    <d v="1899-12-30T20:36:34"/>
    <d v="1899-12-30T22:10:45"/>
    <s v="44 min 4s"/>
    <s v="syj-qorq-zij"/>
    <x v="5"/>
    <d v="1899-12-30T01:34:14"/>
    <d v="1899-12-30T02:03:33"/>
    <n v="0"/>
    <n v="1"/>
  </r>
  <r>
    <n v="36"/>
    <x v="11"/>
    <d v="1899-12-30T20:36:31"/>
    <d v="1899-12-30T20:36:34"/>
    <d v="1899-12-30T22:10:45"/>
    <s v="1 hr 24 min 34s"/>
    <s v="syj-qorq-zij"/>
    <x v="5"/>
    <d v="1899-12-30T01:34:14"/>
    <d v="1899-12-30T02:03:35"/>
    <n v="0"/>
    <n v="1"/>
  </r>
  <r>
    <n v="1"/>
    <x v="12"/>
    <d v="1899-12-30T20:37:20"/>
    <d v="1899-12-30T21:04:08"/>
    <d v="1899-12-30T22:36:05"/>
    <s v="24 min 39s"/>
    <s v="nmp-jvoq-txs"/>
    <x v="6"/>
    <d v="1899-12-30T01:58:45"/>
    <d v="1899-12-30T02:03:36"/>
    <n v="0"/>
    <n v="1"/>
  </r>
  <r>
    <n v="2"/>
    <x v="2"/>
    <d v="1899-12-30T20:37:20"/>
    <d v="1899-12-30T21:41:52"/>
    <d v="1899-12-30T22:36:05"/>
    <s v="53 min 14s"/>
    <s v="nmp-jvoq-txs"/>
    <x v="6"/>
    <d v="1899-12-30T01:58:45"/>
    <d v="1899-12-30T02:03:36"/>
    <n v="0"/>
    <n v="1"/>
  </r>
  <r>
    <n v="3"/>
    <x v="31"/>
    <d v="1899-12-30T20:37:20"/>
    <d v="1899-12-30T20:37:23"/>
    <d v="1899-12-30T22:36:05"/>
    <s v="27 min 26s"/>
    <s v="nmp-jvoq-txs"/>
    <x v="6"/>
    <d v="1899-12-30T01:58:45"/>
    <d v="1899-12-30T02:03:37"/>
    <n v="0"/>
    <n v="1"/>
  </r>
  <r>
    <n v="4"/>
    <x v="27"/>
    <d v="1899-12-30T20:37:20"/>
    <d v="1899-12-30T20:37:23"/>
    <d v="1899-12-30T22:36:05"/>
    <s v="1 hr 57 min 25s"/>
    <s v="nmp-jvoq-txs"/>
    <x v="6"/>
    <d v="1899-12-30T01:58:45"/>
    <d v="1899-12-30T02:03:37"/>
    <n v="0"/>
    <n v="1"/>
  </r>
  <r>
    <n v="5"/>
    <x v="37"/>
    <d v="1899-12-30T20:37:20"/>
    <d v="1899-12-30T20:37:23"/>
    <d v="1899-12-30T22:36:05"/>
    <s v="1 hr 17 min 7s"/>
    <s v="nmp-jvoq-txs"/>
    <x v="6"/>
    <d v="1899-12-30T01:58:45"/>
    <d v="1899-12-30T02:03:37"/>
    <n v="0"/>
    <n v="1"/>
  </r>
  <r>
    <n v="6"/>
    <x v="15"/>
    <d v="1899-12-30T20:37:20"/>
    <d v="1899-12-30T20:47:02"/>
    <d v="1899-12-30T22:36:05"/>
    <s v="33 min 5s"/>
    <s v="nmp-jvoq-txs"/>
    <x v="6"/>
    <d v="1899-12-30T01:58:45"/>
    <d v="1899-12-30T02:03:37"/>
    <n v="0"/>
    <n v="1"/>
  </r>
  <r>
    <n v="7"/>
    <x v="5"/>
    <d v="1899-12-30T20:37:20"/>
    <d v="1899-12-30T20:37:23"/>
    <d v="1899-12-30T22:36:05"/>
    <s v="1 hr 58 min 40s"/>
    <s v="nmp-jvoq-txs"/>
    <x v="6"/>
    <d v="1899-12-30T01:58:45"/>
    <d v="1899-12-30T02:03:38"/>
    <n v="0"/>
    <n v="1"/>
  </r>
  <r>
    <n v="8"/>
    <x v="6"/>
    <d v="1899-12-30T20:37:20"/>
    <d v="1899-12-30T20:37:23"/>
    <d v="1899-12-30T22:36:05"/>
    <s v="1 hr 35 min 46s"/>
    <s v="nmp-jvoq-txs"/>
    <x v="6"/>
    <d v="1899-12-30T01:58:45"/>
    <d v="1899-12-30T02:03:38"/>
    <n v="0"/>
    <n v="1"/>
  </r>
  <r>
    <n v="9"/>
    <x v="17"/>
    <d v="1899-12-30T20:37:20"/>
    <d v="1899-12-30T20:37:23"/>
    <d v="1899-12-30T22:36:05"/>
    <s v="1 hr 58 min 41s"/>
    <s v="nmp-jvoq-txs"/>
    <x v="6"/>
    <d v="1899-12-30T01:58:45"/>
    <d v="1899-12-30T02:03:38"/>
    <n v="0"/>
    <n v="1"/>
  </r>
  <r>
    <n v="10"/>
    <x v="7"/>
    <d v="1899-12-30T20:37:20"/>
    <d v="1899-12-30T20:48:40"/>
    <d v="1899-12-30T22:36:05"/>
    <s v="1 hr 46 min 15s"/>
    <s v="nmp-jvoq-txs"/>
    <x v="6"/>
    <d v="1899-12-30T01:58:45"/>
    <d v="1899-12-30T02:03:38"/>
    <n v="0"/>
    <n v="1"/>
  </r>
  <r>
    <n v="11"/>
    <x v="18"/>
    <d v="1899-12-30T20:37:20"/>
    <d v="1899-12-30T20:37:23"/>
    <d v="1899-12-30T22:36:05"/>
    <s v="39 min 18s"/>
    <s v="nmp-jvoq-txs"/>
    <x v="6"/>
    <d v="1899-12-30T01:58:45"/>
    <d v="1899-12-30T02:03:38"/>
    <n v="0"/>
    <n v="1"/>
  </r>
  <r>
    <n v="12"/>
    <x v="19"/>
    <d v="1899-12-30T20:37:20"/>
    <d v="1899-12-30T20:38:09"/>
    <d v="1899-12-30T22:36:05"/>
    <s v="1 hr 16 min 52s"/>
    <s v="nmp-jvoq-txs"/>
    <x v="6"/>
    <d v="1899-12-30T01:58:45"/>
    <d v="1899-12-30T02:03:39"/>
    <n v="0"/>
    <n v="1"/>
  </r>
  <r>
    <n v="13"/>
    <x v="38"/>
    <d v="1899-12-30T20:37:20"/>
    <d v="1899-12-30T20:37:23"/>
    <d v="1899-12-30T22:36:05"/>
    <s v="1 hr 58 min 0s"/>
    <s v="nmp-jvoq-txs"/>
    <x v="6"/>
    <d v="1899-12-30T01:58:45"/>
    <d v="1899-12-30T02:03:39"/>
    <n v="0"/>
    <n v="1"/>
  </r>
  <r>
    <n v="14"/>
    <x v="48"/>
    <d v="1899-12-30T20:37:20"/>
    <d v="1899-12-30T20:37:23"/>
    <d v="1899-12-30T22:36:05"/>
    <s v="36 min 30s"/>
    <s v="nmp-jvoq-txs"/>
    <x v="6"/>
    <d v="1899-12-30T01:58:45"/>
    <d v="1899-12-30T02:03:39"/>
    <n v="0"/>
    <n v="1"/>
  </r>
  <r>
    <n v="15"/>
    <x v="8"/>
    <d v="1899-12-30T20:37:20"/>
    <d v="1899-12-30T20:37:23"/>
    <d v="1899-12-30T22:36:05"/>
    <s v="1 hr 57 min 47s"/>
    <s v="nmp-jvoq-txs"/>
    <x v="6"/>
    <d v="1899-12-30T01:58:45"/>
    <d v="1899-12-30T02:03:39"/>
    <n v="0"/>
    <n v="1"/>
  </r>
  <r>
    <n v="16"/>
    <x v="29"/>
    <d v="1899-12-30T20:37:20"/>
    <d v="1899-12-30T20:52:05"/>
    <d v="1899-12-30T22:36:05"/>
    <s v="0 min 41s"/>
    <s v="nmp-jvoq-txs"/>
    <x v="6"/>
    <d v="1899-12-30T01:58:45"/>
    <d v="1899-12-30T02:03:40"/>
    <n v="0"/>
    <n v="1"/>
  </r>
  <r>
    <n v="17"/>
    <x v="20"/>
    <d v="1899-12-30T20:37:20"/>
    <d v="1899-12-30T20:37:23"/>
    <d v="1899-12-30T22:36:05"/>
    <s v="1 hr 58 min 41s"/>
    <s v="nmp-jvoq-txs"/>
    <x v="6"/>
    <d v="1899-12-30T01:58:45"/>
    <d v="1899-12-30T02:03:40"/>
    <n v="0"/>
    <n v="1"/>
  </r>
  <r>
    <n v="18"/>
    <x v="39"/>
    <d v="1899-12-30T20:37:20"/>
    <d v="1899-12-30T20:37:23"/>
    <d v="1899-12-30T22:36:05"/>
    <s v="9 min 38s"/>
    <s v="nmp-jvoq-txs"/>
    <x v="6"/>
    <d v="1899-12-30T01:58:45"/>
    <d v="1899-12-30T02:03:40"/>
    <n v="0"/>
    <n v="1"/>
  </r>
  <r>
    <n v="19"/>
    <x v="9"/>
    <d v="1899-12-30T20:37:20"/>
    <d v="1899-12-30T20:37:23"/>
    <d v="1899-12-30T22:36:05"/>
    <s v="1 hr 57 min 33s"/>
    <s v="nmp-jvoq-txs"/>
    <x v="6"/>
    <d v="1899-12-30T01:58:45"/>
    <d v="1899-12-30T02:03:40"/>
    <n v="0"/>
    <n v="1"/>
  </r>
  <r>
    <n v="20"/>
    <x v="21"/>
    <d v="1899-12-30T20:37:20"/>
    <d v="1899-12-30T20:37:23"/>
    <d v="1899-12-30T22:36:05"/>
    <s v="1 hr 57 min 35s"/>
    <s v="nmp-jvoq-txs"/>
    <x v="6"/>
    <d v="1899-12-30T01:58:45"/>
    <d v="1899-12-30T02:03:41"/>
    <n v="0"/>
    <n v="1"/>
  </r>
  <r>
    <n v="21"/>
    <x v="32"/>
    <d v="1899-12-30T20:37:20"/>
    <d v="1899-12-30T20:56:02"/>
    <d v="1899-12-30T22:36:05"/>
    <s v="1 hr 40 min 2s"/>
    <s v="nmp-jvoq-txs"/>
    <x v="6"/>
    <d v="1899-12-30T01:58:45"/>
    <d v="1899-12-30T02:03:41"/>
    <n v="0"/>
    <n v="1"/>
  </r>
  <r>
    <n v="22"/>
    <x v="10"/>
    <d v="1899-12-30T20:37:20"/>
    <d v="1899-12-30T20:37:23"/>
    <d v="1899-12-30T22:36:05"/>
    <s v="1 hr 12 min 34s"/>
    <s v="nmp-jvoq-txs"/>
    <x v="6"/>
    <d v="1899-12-30T01:58:45"/>
    <d v="1899-12-30T02:03:41"/>
    <n v="0"/>
    <n v="1"/>
  </r>
  <r>
    <n v="23"/>
    <x v="22"/>
    <d v="1899-12-30T20:37:20"/>
    <d v="1899-12-30T20:38:15"/>
    <d v="1899-12-30T22:36:05"/>
    <s v="1 hr 25 min 5s"/>
    <s v="nmp-jvoq-txs"/>
    <x v="6"/>
    <d v="1899-12-30T01:58:45"/>
    <d v="1899-12-30T02:03:41"/>
    <n v="0"/>
    <n v="1"/>
  </r>
  <r>
    <n v="24"/>
    <x v="30"/>
    <d v="1899-12-30T20:37:20"/>
    <d v="1899-12-30T20:37:23"/>
    <d v="1899-12-30T22:36:05"/>
    <s v="1 hr 54 min 16s"/>
    <s v="nmp-jvoq-txs"/>
    <x v="6"/>
    <d v="1899-12-30T01:58:45"/>
    <d v="1899-12-30T02:03:42"/>
    <n v="0"/>
    <n v="1"/>
  </r>
  <r>
    <n v="25"/>
    <x v="23"/>
    <d v="1899-12-30T20:37:20"/>
    <d v="1899-12-30T20:37:23"/>
    <d v="1899-12-30T22:36:05"/>
    <s v="1 hr 57 min 26s"/>
    <s v="nmp-jvoq-txs"/>
    <x v="6"/>
    <d v="1899-12-30T01:58:45"/>
    <d v="1899-12-30T02:03:42"/>
    <n v="0"/>
    <n v="1"/>
  </r>
  <r>
    <n v="26"/>
    <x v="34"/>
    <d v="1899-12-30T20:37:20"/>
    <d v="1899-12-30T20:47:02"/>
    <d v="1899-12-30T22:36:05"/>
    <s v="1 hr 4 min 15s"/>
    <s v="nmp-jvoq-txs"/>
    <x v="6"/>
    <d v="1899-12-30T01:58:45"/>
    <d v="1899-12-30T02:03:42"/>
    <n v="0"/>
    <n v="1"/>
  </r>
  <r>
    <n v="27"/>
    <x v="35"/>
    <d v="1899-12-30T20:37:20"/>
    <d v="1899-12-30T20:37:23"/>
    <d v="1899-12-30T22:36:05"/>
    <s v="57 min 28s"/>
    <s v="nmp-jvoq-txs"/>
    <x v="6"/>
    <d v="1899-12-30T01:58:45"/>
    <d v="1899-12-30T02:03:42"/>
    <n v="0"/>
    <n v="1"/>
  </r>
  <r>
    <n v="28"/>
    <x v="40"/>
    <d v="1899-12-30T20:37:20"/>
    <d v="1899-12-30T20:47:02"/>
    <d v="1899-12-30T22:36:05"/>
    <s v="53 min 37s"/>
    <s v="nmp-jvoq-txs"/>
    <x v="6"/>
    <d v="1899-12-30T01:58:45"/>
    <d v="1899-12-30T02:03:43"/>
    <n v="0"/>
    <n v="1"/>
  </r>
  <r>
    <n v="29"/>
    <x v="24"/>
    <d v="1899-12-30T20:37:20"/>
    <d v="1899-12-30T20:37:23"/>
    <d v="1899-12-30T22:36:05"/>
    <s v="1 hr 57 min 10s"/>
    <s v="nmp-jvoq-txs"/>
    <x v="6"/>
    <d v="1899-12-30T01:58:45"/>
    <d v="1899-12-30T02:03:43"/>
    <n v="0"/>
    <n v="1"/>
  </r>
  <r>
    <n v="30"/>
    <x v="25"/>
    <d v="1899-12-30T20:37:20"/>
    <d v="1899-12-30T20:47:02"/>
    <d v="1899-12-30T22:36:05"/>
    <s v="44 min 41s"/>
    <s v="nmp-jvoq-txs"/>
    <x v="6"/>
    <d v="1899-12-30T01:58:45"/>
    <d v="1899-12-30T02:03:43"/>
    <n v="0"/>
    <n v="1"/>
  </r>
  <r>
    <n v="31"/>
    <x v="26"/>
    <d v="1899-12-30T20:37:20"/>
    <d v="1899-12-30T20:50:17"/>
    <d v="1899-12-30T22:36:05"/>
    <s v="7 min 27s"/>
    <s v="nmp-jvoq-txs"/>
    <x v="6"/>
    <d v="1899-12-30T01:58:45"/>
    <d v="1899-12-30T02:03:43"/>
    <n v="0"/>
    <n v="1"/>
  </r>
  <r>
    <n v="1"/>
    <x v="0"/>
    <d v="1899-12-30T20:40:15"/>
    <d v="1899-12-30T20:40:19"/>
    <d v="1899-12-30T22:44:15"/>
    <s v="0 hr 16 min 31s"/>
    <s v="hke-ohwj-cwy"/>
    <x v="7"/>
    <d v="1899-12-30T02:04:00"/>
    <d v="1899-12-30T02:03:44"/>
    <n v="0"/>
    <n v="0"/>
  </r>
  <r>
    <n v="2"/>
    <x v="1"/>
    <d v="1899-12-30T20:40:15"/>
    <d v="1899-12-30T20:40:19"/>
    <d v="1899-12-30T22:44:15"/>
    <s v="1 hr 16 min 31s"/>
    <s v="hke-ohwj-cwy"/>
    <x v="7"/>
    <d v="1899-12-30T02:04:00"/>
    <d v="1899-12-30T02:03:44"/>
    <n v="0"/>
    <n v="0"/>
  </r>
  <r>
    <n v="3"/>
    <x v="2"/>
    <d v="1899-12-30T20:40:15"/>
    <d v="1899-12-30T20:40:19"/>
    <d v="1899-12-30T22:44:15"/>
    <s v="2 hr 3 min 3s"/>
    <s v="hke-ohwj-cwy"/>
    <x v="7"/>
    <d v="1899-12-30T02:04:00"/>
    <d v="1899-12-30T02:03:44"/>
    <n v="0"/>
    <n v="0"/>
  </r>
  <r>
    <n v="4"/>
    <x v="3"/>
    <d v="1899-12-30T20:40:15"/>
    <d v="1899-12-30T21:55:15"/>
    <d v="1899-12-30T22:44:15"/>
    <s v="48 min 19s"/>
    <s v="hke-ohwj-cwy"/>
    <x v="7"/>
    <d v="1899-12-30T02:04:00"/>
    <d v="1899-12-30T02:03:43"/>
    <n v="0"/>
    <n v="0"/>
  </r>
  <r>
    <n v="5"/>
    <x v="4"/>
    <d v="1899-12-30T20:40:15"/>
    <d v="1899-12-30T21:55:15"/>
    <d v="1899-12-30T22:44:15"/>
    <s v="49 min 0s"/>
    <s v="hke-ohwj-cwy"/>
    <x v="7"/>
    <d v="1899-12-30T02:04:00"/>
    <d v="1899-12-30T02:03:43"/>
    <n v="0"/>
    <n v="0"/>
  </r>
  <r>
    <n v="6"/>
    <x v="31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7"/>
    <x v="49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8"/>
    <x v="14"/>
    <d v="1899-12-30T20:40:15"/>
    <d v="1899-12-30T21:58:27"/>
    <d v="1899-12-30T22:44:15"/>
    <s v="36 min 28s"/>
    <s v="hke-ohwj-cwy"/>
    <x v="7"/>
    <d v="1899-12-30T02:04:00"/>
    <d v="1899-12-30T02:03:43"/>
    <n v="0"/>
    <n v="0"/>
  </r>
  <r>
    <n v="9"/>
    <x v="5"/>
    <d v="1899-12-30T20:40:15"/>
    <d v="1899-12-30T20:40:19"/>
    <d v="1899-12-30T22:44:15"/>
    <s v="2 hr 3 min 50s"/>
    <s v="hke-ohwj-cwy"/>
    <x v="7"/>
    <d v="1899-12-30T02:04:00"/>
    <d v="1899-12-30T02:03:43"/>
    <n v="0"/>
    <n v="0"/>
  </r>
  <r>
    <n v="10"/>
    <x v="50"/>
    <d v="1899-12-30T20:40:15"/>
    <d v="1899-12-30T20:40:19"/>
    <d v="1899-12-30T22:44:15"/>
    <s v="1 hr 17 min 21s"/>
    <s v="hke-ohwj-cwy"/>
    <x v="7"/>
    <d v="1899-12-30T02:04:00"/>
    <d v="1899-12-30T02:03:43"/>
    <n v="0"/>
    <n v="0"/>
  </r>
  <r>
    <n v="11"/>
    <x v="51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2"/>
    <x v="6"/>
    <d v="1899-12-30T20:40:15"/>
    <d v="1899-12-30T20:40:19"/>
    <d v="1899-12-30T22:44:15"/>
    <s v="1 hr 56 min 35s"/>
    <s v="hke-ohwj-cwy"/>
    <x v="7"/>
    <d v="1899-12-30T02:04:00"/>
    <d v="1899-12-30T02:03:43"/>
    <n v="0"/>
    <n v="0"/>
  </r>
  <r>
    <n v="13"/>
    <x v="43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4"/>
    <x v="7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15"/>
    <x v="18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6"/>
    <x v="19"/>
    <d v="1899-12-30T20:40:15"/>
    <d v="1899-12-30T20:40:19"/>
    <d v="1899-12-30T22:44:15"/>
    <s v="2 hr 2 min 58s"/>
    <s v="hke-ohwj-cwy"/>
    <x v="7"/>
    <d v="1899-12-30T02:04:00"/>
    <d v="1899-12-30T02:03:43"/>
    <n v="0"/>
    <n v="0"/>
  </r>
  <r>
    <n v="17"/>
    <x v="8"/>
    <d v="1899-12-30T20:40:15"/>
    <d v="1899-12-30T20:40:19"/>
    <d v="1899-12-30T22:44:15"/>
    <s v="2 hr 3 min 19s"/>
    <s v="hke-ohwj-cwy"/>
    <x v="7"/>
    <d v="1899-12-30T02:04:00"/>
    <d v="1899-12-30T02:03:43"/>
    <n v="0"/>
    <n v="0"/>
  </r>
  <r>
    <n v="18"/>
    <x v="20"/>
    <d v="1899-12-30T20:40:15"/>
    <d v="1899-12-30T20:40:19"/>
    <d v="1899-12-30T22:44:15"/>
    <s v="2 hr 3 min 7s"/>
    <s v="hke-ohwj-cwy"/>
    <x v="7"/>
    <d v="1899-12-30T02:04:00"/>
    <d v="1899-12-30T02:03:43"/>
    <n v="0"/>
    <n v="0"/>
  </r>
  <r>
    <n v="19"/>
    <x v="9"/>
    <d v="1899-12-30T20:40:15"/>
    <d v="1899-12-30T20:40:19"/>
    <d v="1899-12-30T22:44:15"/>
    <s v="2 hr 3 min 1s"/>
    <s v="hke-ohwj-cwy"/>
    <x v="7"/>
    <d v="1899-12-30T02:04:00"/>
    <d v="1899-12-30T02:03:43"/>
    <n v="0"/>
    <n v="0"/>
  </r>
  <r>
    <n v="20"/>
    <x v="10"/>
    <d v="1899-12-30T20:40:15"/>
    <d v="1899-12-30T20:40:19"/>
    <d v="1899-12-30T22:44:15"/>
    <s v="2 hr 3 min 6s"/>
    <s v="hke-ohwj-cwy"/>
    <x v="7"/>
    <d v="1899-12-30T02:04:00"/>
    <d v="1899-12-30T02:03:43"/>
    <n v="0"/>
    <n v="0"/>
  </r>
  <r>
    <n v="21"/>
    <x v="52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22"/>
    <x v="22"/>
    <d v="1899-12-30T20:40:15"/>
    <d v="1899-12-30T20:40:19"/>
    <d v="1899-12-30T22:44:15"/>
    <s v="2 hr 1 min 48s"/>
    <s v="hke-ohwj-cwy"/>
    <x v="7"/>
    <d v="1899-12-30T02:04:00"/>
    <d v="1899-12-30T02:03:43"/>
    <n v="0"/>
    <n v="0"/>
  </r>
  <r>
    <n v="23"/>
    <x v="23"/>
    <d v="1899-12-30T20:40:15"/>
    <d v="1899-12-30T20:40:19"/>
    <d v="1899-12-30T22:44:15"/>
    <s v="2 hr 2 min 59s"/>
    <s v="hke-ohwj-cwy"/>
    <x v="7"/>
    <d v="1899-12-30T02:04:00"/>
    <d v="1899-12-30T02:03:43"/>
    <n v="0"/>
    <n v="0"/>
  </r>
  <r>
    <n v="24"/>
    <x v="24"/>
    <d v="1899-12-30T20:40:15"/>
    <d v="1899-12-30T20:40:19"/>
    <d v="1899-12-30T22:44:15"/>
    <s v="1 hr 14 min 50s"/>
    <s v="hke-ohwj-cwy"/>
    <x v="7"/>
    <d v="1899-12-30T02:04:00"/>
    <d v="1899-12-30T02:03:43"/>
    <n v="0"/>
    <n v="0"/>
  </r>
  <r>
    <n v="1"/>
    <x v="0"/>
    <d v="1899-12-30T20:39:22"/>
    <d v="1899-12-30T20:39:26"/>
    <d v="1899-12-30T22:27:24"/>
    <s v="1 hr 47 min 55s"/>
    <s v="gma-zhih-uwt"/>
    <x v="8"/>
    <d v="1899-12-30T01:48:02"/>
    <d v="1899-12-30T02:03:43"/>
    <n v="0"/>
    <n v="0"/>
  </r>
  <r>
    <n v="2"/>
    <x v="1"/>
    <d v="1899-12-30T20:39:22"/>
    <d v="1899-12-30T20:39:26"/>
    <d v="1899-12-30T22:27:24"/>
    <s v="1 hr 47 min 55s"/>
    <s v="gma-zhih-uwt"/>
    <x v="8"/>
    <d v="1899-12-30T01:48:02"/>
    <d v="1899-12-30T02:03:44"/>
    <n v="0"/>
    <n v="0"/>
  </r>
  <r>
    <n v="3"/>
    <x v="2"/>
    <d v="1899-12-30T20:39:22"/>
    <d v="1899-12-30T20:39:26"/>
    <d v="1899-12-30T22:27:24"/>
    <s v="1 hr 47 min 55s"/>
    <s v="gma-zhih-uwt"/>
    <x v="8"/>
    <d v="1899-12-30T01:48:02"/>
    <d v="1899-12-30T02:03:45"/>
    <n v="0"/>
    <n v="0"/>
  </r>
  <r>
    <n v="4"/>
    <x v="4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5"/>
    <x v="31"/>
    <d v="1899-12-30T20:39:22"/>
    <d v="1899-12-30T20:39:26"/>
    <d v="1899-12-30T22:27:24"/>
    <s v="1 hr 47 min 53s"/>
    <s v="gma-zhih-uwt"/>
    <x v="8"/>
    <d v="1899-12-30T01:48:02"/>
    <d v="1899-12-30T02:03:46"/>
    <n v="0"/>
    <n v="0"/>
  </r>
  <r>
    <n v="6"/>
    <x v="27"/>
    <d v="1899-12-30T20:39:22"/>
    <d v="1899-12-30T20:39:26"/>
    <d v="1899-12-30T22:27:24"/>
    <s v="1 hr 47 min 53s"/>
    <s v="gma-zhih-uwt"/>
    <x v="8"/>
    <d v="1899-12-30T01:48:02"/>
    <d v="1899-12-30T02:03:47"/>
    <n v="0"/>
    <n v="0"/>
  </r>
  <r>
    <n v="7"/>
    <x v="14"/>
    <d v="1899-12-30T20:39:22"/>
    <d v="1899-12-30T20:39:26"/>
    <d v="1899-12-30T22:27:24"/>
    <s v="1 hr 47 min 53s"/>
    <s v="gma-zhih-uwt"/>
    <x v="8"/>
    <d v="1899-12-30T01:48:02"/>
    <d v="1899-12-30T02:03:48"/>
    <n v="0"/>
    <n v="0"/>
  </r>
  <r>
    <n v="8"/>
    <x v="15"/>
    <d v="1899-12-30T20:39:22"/>
    <d v="1899-12-30T20:39:26"/>
    <d v="1899-12-30T22:27:24"/>
    <s v="1 hr 47 min 53s"/>
    <s v="gma-zhih-uwt"/>
    <x v="8"/>
    <d v="1899-12-30T01:48:02"/>
    <d v="1899-12-30T02:03:49"/>
    <n v="0"/>
    <n v="0"/>
  </r>
  <r>
    <n v="9"/>
    <x v="5"/>
    <d v="1899-12-30T20:39:22"/>
    <d v="1899-12-30T20:39:26"/>
    <d v="1899-12-30T22:27:24"/>
    <s v="1 hr 47 min 55s"/>
    <s v="gma-zhih-uwt"/>
    <x v="8"/>
    <d v="1899-12-30T01:48:02"/>
    <d v="1899-12-30T02:03:50"/>
    <n v="0"/>
    <n v="0"/>
  </r>
  <r>
    <n v="10"/>
    <x v="6"/>
    <d v="1899-12-30T20:39:22"/>
    <d v="1899-12-30T20:39:26"/>
    <d v="1899-12-30T22:27:24"/>
    <s v="1 hr 47 min 53s"/>
    <s v="gma-zhih-uwt"/>
    <x v="8"/>
    <d v="1899-12-30T01:48:02"/>
    <d v="1899-12-30T02:03:50"/>
    <n v="0"/>
    <n v="0"/>
  </r>
  <r>
    <n v="11"/>
    <x v="28"/>
    <d v="1899-12-30T20:39:22"/>
    <d v="1899-12-30T20:39:26"/>
    <d v="1899-12-30T22:27:24"/>
    <s v="1 hr 47 min 53s"/>
    <s v="gma-zhih-uwt"/>
    <x v="8"/>
    <d v="1899-12-30T01:48:02"/>
    <d v="1899-12-30T02:03:51"/>
    <n v="0"/>
    <n v="0"/>
  </r>
  <r>
    <n v="12"/>
    <x v="7"/>
    <d v="1899-12-30T20:39:22"/>
    <d v="1899-12-30T20:39:26"/>
    <d v="1899-12-30T22:27:24"/>
    <s v="1 hr 47 min 53s"/>
    <s v="gma-zhih-uwt"/>
    <x v="8"/>
    <d v="1899-12-30T01:48:02"/>
    <d v="1899-12-30T02:03:52"/>
    <n v="0"/>
    <n v="0"/>
  </r>
  <r>
    <n v="13"/>
    <x v="18"/>
    <d v="1899-12-30T20:39:22"/>
    <d v="1899-12-30T20:39:26"/>
    <d v="1899-12-30T22:27:24"/>
    <s v="1 hr 47 min 53s"/>
    <s v="gma-zhih-uwt"/>
    <x v="8"/>
    <d v="1899-12-30T01:48:02"/>
    <d v="1899-12-30T02:03:53"/>
    <n v="0"/>
    <n v="0"/>
  </r>
  <r>
    <n v="14"/>
    <x v="19"/>
    <d v="1899-12-30T20:39:22"/>
    <d v="1899-12-30T20:39:26"/>
    <d v="1899-12-30T22:27:24"/>
    <s v="1 hr 47 min 53s"/>
    <s v="gma-zhih-uwt"/>
    <x v="8"/>
    <d v="1899-12-30T01:48:02"/>
    <d v="1899-12-30T02:03:54"/>
    <n v="0"/>
    <n v="0"/>
  </r>
  <r>
    <n v="15"/>
    <x v="8"/>
    <d v="1899-12-30T20:39:22"/>
    <d v="1899-12-30T20:39:26"/>
    <d v="1899-12-30T22:27:24"/>
    <s v="1 hr 47 min 55s"/>
    <s v="gma-zhih-uwt"/>
    <x v="8"/>
    <d v="1899-12-30T01:48:02"/>
    <d v="1899-12-30T02:03:54"/>
    <n v="0"/>
    <n v="0"/>
  </r>
  <r>
    <n v="16"/>
    <x v="20"/>
    <d v="1899-12-30T20:39:22"/>
    <d v="1899-12-30T20:39:26"/>
    <d v="1899-12-30T22:27:24"/>
    <s v="1 hr 47 min 55s"/>
    <s v="gma-zhih-uwt"/>
    <x v="8"/>
    <d v="1899-12-30T01:48:02"/>
    <d v="1899-12-30T02:03:55"/>
    <n v="0"/>
    <n v="0"/>
  </r>
  <r>
    <n v="17"/>
    <x v="9"/>
    <d v="1899-12-30T20:39:22"/>
    <d v="1899-12-30T20:39:26"/>
    <d v="1899-12-30T22:27:24"/>
    <s v="1 hr 47 min 55s"/>
    <s v="gma-zhih-uwt"/>
    <x v="8"/>
    <d v="1899-12-30T01:48:02"/>
    <d v="1899-12-30T02:03:56"/>
    <n v="0"/>
    <n v="0"/>
  </r>
  <r>
    <n v="18"/>
    <x v="53"/>
    <d v="1899-12-30T20:39:22"/>
    <d v="1899-12-30T20:39:26"/>
    <d v="1899-12-30T22:27:24"/>
    <s v="1 hr 47 min 53s"/>
    <s v="gma-zhih-uwt"/>
    <x v="8"/>
    <d v="1899-12-30T01:48:02"/>
    <d v="1899-12-30T02:03:57"/>
    <n v="0"/>
    <n v="0"/>
  </r>
  <r>
    <n v="19"/>
    <x v="10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0"/>
    <x v="22"/>
    <d v="1899-12-30T20:39:22"/>
    <d v="1899-12-30T20:39:26"/>
    <d v="1899-12-30T22:27:24"/>
    <s v="1 hr 47 min 53s"/>
    <s v="gma-zhih-uwt"/>
    <x v="8"/>
    <d v="1899-12-30T01:48:02"/>
    <d v="1899-12-30T02:03:58"/>
    <n v="0"/>
    <n v="0"/>
  </r>
  <r>
    <n v="21"/>
    <x v="23"/>
    <d v="1899-12-30T20:39:22"/>
    <d v="1899-12-30T20:39:26"/>
    <d v="1899-12-30T22:27:24"/>
    <s v="1 hr 47 min 53s"/>
    <s v="gma-zhih-uwt"/>
    <x v="8"/>
    <d v="1899-12-30T01:48:02"/>
    <d v="1899-12-30T02:03:59"/>
    <n v="0"/>
    <n v="0"/>
  </r>
  <r>
    <n v="22"/>
    <x v="34"/>
    <d v="1899-12-30T20:39:22"/>
    <d v="1899-12-30T20:39:26"/>
    <d v="1899-12-30T22:27:24"/>
    <s v="1 hr 47 min 53s"/>
    <s v="gma-zhih-uwt"/>
    <x v="8"/>
    <d v="1899-12-30T01:48:02"/>
    <d v="1899-12-30T02:04:00"/>
    <n v="0"/>
    <n v="0"/>
  </r>
  <r>
    <n v="23"/>
    <x v="35"/>
    <d v="1899-12-30T20:39:22"/>
    <d v="1899-12-30T20:39:26"/>
    <d v="1899-12-30T22:27:24"/>
    <s v="1 hr 47 min 53s"/>
    <s v="gma-zhih-uwt"/>
    <x v="8"/>
    <d v="1899-12-30T01:48:02"/>
    <d v="1899-12-30T02:04:01"/>
    <n v="0"/>
    <n v="0"/>
  </r>
  <r>
    <n v="24"/>
    <x v="46"/>
    <d v="1899-12-30T20:39:22"/>
    <d v="1899-12-30T20:39:26"/>
    <d v="1899-12-30T22:27:24"/>
    <s v="1 hr 47 min 53s"/>
    <s v="gma-zhih-uwt"/>
    <x v="8"/>
    <d v="1899-12-30T01:48:02"/>
    <d v="1899-12-30T02:04:02"/>
    <n v="0"/>
    <n v="0"/>
  </r>
  <r>
    <n v="25"/>
    <x v="24"/>
    <d v="1899-12-30T20:39:22"/>
    <d v="1899-12-30T20:39:26"/>
    <d v="1899-12-30T22:27:24"/>
    <s v="1 hr 47 min 53s"/>
    <s v="gma-zhih-uwt"/>
    <x v="8"/>
    <d v="1899-12-30T01:48:02"/>
    <d v="1899-12-30T02:04:03"/>
    <n v="0"/>
    <n v="0"/>
  </r>
  <r>
    <n v="1"/>
    <x v="12"/>
    <d v="1899-12-30T20:42:06"/>
    <d v="1899-12-30T22:40:56"/>
    <d v="1899-12-30T22:41:19"/>
    <s v="0 min 15s"/>
    <s v="dei-dnjy-xwn"/>
    <x v="9"/>
    <d v="1899-12-30T01:59:13"/>
    <d v="1899-12-30T02:04:03"/>
    <n v="0"/>
    <n v="0"/>
  </r>
  <r>
    <n v="2"/>
    <x v="0"/>
    <d v="1899-12-30T20:42:06"/>
    <d v="1899-12-30T20:42:09"/>
    <d v="1899-12-30T22:41:19"/>
    <s v="1 hr 58 min 52s"/>
    <s v="dei-dnjy-xwn"/>
    <x v="9"/>
    <d v="1899-12-30T01:59:13"/>
    <d v="1899-12-30T02:04:04"/>
    <n v="0"/>
    <n v="0"/>
  </r>
  <r>
    <n v="3"/>
    <x v="1"/>
    <d v="1899-12-30T20:42:06"/>
    <d v="1899-12-30T22:40:56"/>
    <d v="1899-12-30T22:41:19"/>
    <s v="0 min 24s"/>
    <s v="dei-dnjy-xwn"/>
    <x v="9"/>
    <d v="1899-12-30T01:59:13"/>
    <d v="1899-12-30T02:04:04"/>
    <n v="0"/>
    <n v="0"/>
  </r>
  <r>
    <n v="4"/>
    <x v="2"/>
    <d v="1899-12-30T20:42:06"/>
    <d v="1899-12-30T20:42:09"/>
    <d v="1899-12-30T22:41:19"/>
    <s v="1 hr 58 min 28s"/>
    <s v="dei-dnjy-xwn"/>
    <x v="9"/>
    <d v="1899-12-30T01:59:13"/>
    <d v="1899-12-30T02:04:04"/>
    <n v="0"/>
    <n v="0"/>
  </r>
  <r>
    <n v="5"/>
    <x v="13"/>
    <d v="1899-12-30T20:42:06"/>
    <d v="1899-12-30T20:42:09"/>
    <d v="1899-12-30T22:41:19"/>
    <s v="1 hr 58 min 47s"/>
    <s v="dei-dnjy-xwn"/>
    <x v="9"/>
    <d v="1899-12-30T01:59:13"/>
    <d v="1899-12-30T02:04:04"/>
    <n v="0"/>
    <n v="0"/>
  </r>
  <r>
    <n v="6"/>
    <x v="37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7"/>
    <x v="54"/>
    <d v="1899-12-30T20:42:06"/>
    <d v="1899-12-30T20:42:09"/>
    <d v="1899-12-30T22:41:19"/>
    <s v="1 hr 58 min 28s"/>
    <s v="dei-dnjy-xwn"/>
    <x v="9"/>
    <d v="1899-12-30T01:59:13"/>
    <d v="1899-12-30T02:04:05"/>
    <n v="0"/>
    <n v="0"/>
  </r>
  <r>
    <n v="8"/>
    <x v="15"/>
    <d v="1899-12-30T20:42:06"/>
    <d v="1899-12-30T20:50:26"/>
    <d v="1899-12-30T22:41:19"/>
    <s v="1 hr 50 min 15s"/>
    <s v="dei-dnjy-xwn"/>
    <x v="9"/>
    <d v="1899-12-30T01:59:13"/>
    <d v="1899-12-30T02:04:05"/>
    <n v="0"/>
    <n v="0"/>
  </r>
  <r>
    <n v="9"/>
    <x v="5"/>
    <d v="1899-12-30T20:42:06"/>
    <d v="1899-12-30T20:42:09"/>
    <d v="1899-12-30T22:41:19"/>
    <s v="1 hr 58 min 52s"/>
    <s v="dei-dnjy-xwn"/>
    <x v="9"/>
    <d v="1899-12-30T01:59:13"/>
    <d v="1899-12-30T02:04:05"/>
    <n v="0"/>
    <n v="0"/>
  </r>
  <r>
    <n v="10"/>
    <x v="6"/>
    <d v="1899-12-30T20:42:06"/>
    <d v="1899-12-30T22:41:12"/>
    <d v="1899-12-30T22:41:19"/>
    <s v="0 min 8s"/>
    <s v="dei-dnjy-xwn"/>
    <x v="9"/>
    <d v="1899-12-30T01:59:13"/>
    <d v="1899-12-30T02:04:06"/>
    <n v="0"/>
    <n v="0"/>
  </r>
  <r>
    <n v="11"/>
    <x v="17"/>
    <d v="1899-12-30T20:42:06"/>
    <d v="1899-12-30T22:40:56"/>
    <d v="1899-12-30T22:41:19"/>
    <s v="0 min 24s"/>
    <s v="dei-dnjy-xwn"/>
    <x v="9"/>
    <d v="1899-12-30T01:59:13"/>
    <d v="1899-12-30T02:04:06"/>
    <n v="0"/>
    <n v="0"/>
  </r>
  <r>
    <n v="12"/>
    <x v="43"/>
    <d v="1899-12-30T20:42:06"/>
    <d v="1899-12-30T20:50:26"/>
    <d v="1899-12-30T22:41:19"/>
    <s v="1 hr 50 min 15s"/>
    <s v="dei-dnjy-xwn"/>
    <x v="9"/>
    <d v="1899-12-30T01:59:13"/>
    <d v="1899-12-30T02:04:06"/>
    <n v="0"/>
    <n v="0"/>
  </r>
  <r>
    <n v="13"/>
    <x v="28"/>
    <d v="1899-12-30T20:42:06"/>
    <d v="1899-12-30T20:42:09"/>
    <d v="1899-12-30T22:41:19"/>
    <s v="1 hr 58 min 28s"/>
    <s v="dei-dnjy-xwn"/>
    <x v="9"/>
    <d v="1899-12-30T01:59:13"/>
    <d v="1899-12-30T02:04:06"/>
    <n v="0"/>
    <n v="0"/>
  </r>
  <r>
    <n v="14"/>
    <x v="18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5"/>
    <x v="19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6"/>
    <x v="8"/>
    <d v="1899-12-30T20:42:06"/>
    <d v="1899-12-30T20:42:09"/>
    <d v="1899-12-30T22:41:19"/>
    <s v="1 hr 58 min 52s"/>
    <s v="dei-dnjy-xwn"/>
    <x v="9"/>
    <d v="1899-12-30T01:59:13"/>
    <d v="1899-12-30T02:04:07"/>
    <n v="0"/>
    <n v="0"/>
  </r>
  <r>
    <n v="17"/>
    <x v="29"/>
    <d v="1899-12-30T20:42:06"/>
    <d v="1899-12-30T20:42:09"/>
    <d v="1899-12-30T22:41:19"/>
    <s v="1 hr 58 min 28s"/>
    <s v="dei-dnjy-xwn"/>
    <x v="9"/>
    <d v="1899-12-30T01:59:13"/>
    <d v="1899-12-30T02:04:07"/>
    <n v="0"/>
    <n v="0"/>
  </r>
  <r>
    <n v="18"/>
    <x v="20"/>
    <d v="1899-12-30T20:42:06"/>
    <d v="1899-12-30T20:50:26"/>
    <d v="1899-12-30T22:41:19"/>
    <s v="1 hr 50 min 39s"/>
    <s v="dei-dnjy-xwn"/>
    <x v="9"/>
    <d v="1899-12-30T01:59:13"/>
    <d v="1899-12-30T02:04:08"/>
    <n v="0"/>
    <n v="0"/>
  </r>
  <r>
    <n v="19"/>
    <x v="39"/>
    <d v="1899-12-30T20:42:06"/>
    <d v="1899-12-30T20:42:09"/>
    <d v="1899-12-30T22:41:19"/>
    <s v="1 hr 58 min 52s"/>
    <s v="dei-dnjy-xwn"/>
    <x v="9"/>
    <d v="1899-12-30T01:59:13"/>
    <d v="1899-12-30T02:04:08"/>
    <n v="0"/>
    <n v="0"/>
  </r>
  <r>
    <n v="20"/>
    <x v="9"/>
    <d v="1899-12-30T20:42:06"/>
    <d v="1899-12-30T20:42:09"/>
    <d v="1899-12-30T22:41:19"/>
    <s v="1 hr 58 min 28s"/>
    <s v="dei-dnjy-xwn"/>
    <x v="9"/>
    <d v="1899-12-30T01:59:13"/>
    <d v="1899-12-30T02:04:08"/>
    <n v="0"/>
    <n v="0"/>
  </r>
  <r>
    <n v="21"/>
    <x v="21"/>
    <d v="1899-12-30T20:42:06"/>
    <d v="1899-12-30T20:50:26"/>
    <d v="1899-12-30T22:41:19"/>
    <s v="1 hr 50 min 15s"/>
    <s v="dei-dnjy-xwn"/>
    <x v="9"/>
    <d v="1899-12-30T01:59:13"/>
    <d v="1899-12-30T02:04:08"/>
    <n v="0"/>
    <n v="0"/>
  </r>
  <r>
    <n v="22"/>
    <x v="10"/>
    <d v="1899-12-30T20:42:06"/>
    <d v="1899-12-30T20:50:26"/>
    <d v="1899-12-30T22:41:19"/>
    <s v="1 hr 50 min 16s"/>
    <s v="dei-dnjy-xwn"/>
    <x v="9"/>
    <d v="1899-12-30T01:59:13"/>
    <d v="1899-12-30T02:04:09"/>
    <n v="0"/>
    <n v="0"/>
  </r>
  <r>
    <n v="23"/>
    <x v="52"/>
    <d v="1899-12-30T20:42:06"/>
    <d v="1899-12-30T20:50:26"/>
    <d v="1899-12-30T22:41:19"/>
    <s v="1 hr 50 min 15s"/>
    <s v="dei-dnjy-xwn"/>
    <x v="9"/>
    <d v="1899-12-30T01:59:13"/>
    <d v="1899-12-30T02:04:09"/>
    <n v="0"/>
    <n v="0"/>
  </r>
  <r>
    <n v="24"/>
    <x v="55"/>
    <d v="1899-12-30T20:42:06"/>
    <d v="1899-12-30T20:50:26"/>
    <d v="1899-12-30T22:41:19"/>
    <s v="1 hr 50 min 39s"/>
    <s v="dei-dnjy-xwn"/>
    <x v="9"/>
    <d v="1899-12-30T01:59:13"/>
    <d v="1899-12-30T02:04:09"/>
    <n v="0"/>
    <n v="0"/>
  </r>
  <r>
    <n v="25"/>
    <x v="30"/>
    <d v="1899-12-30T20:42:06"/>
    <d v="1899-12-30T20:42:09"/>
    <d v="1899-12-30T22:41:19"/>
    <s v="1 hr 58 min 28s"/>
    <s v="dei-dnjy-xwn"/>
    <x v="9"/>
    <d v="1899-12-30T01:59:13"/>
    <d v="1899-12-30T02:04:09"/>
    <n v="0"/>
    <n v="0"/>
  </r>
  <r>
    <n v="26"/>
    <x v="23"/>
    <d v="1899-12-30T20:42:06"/>
    <d v="1899-12-30T20:50:26"/>
    <d v="1899-12-30T22:41:19"/>
    <s v="1 hr 50 min 15s"/>
    <s v="dei-dnjy-xwn"/>
    <x v="9"/>
    <d v="1899-12-30T01:59:13"/>
    <d v="1899-12-30T02:04:10"/>
    <n v="0"/>
    <n v="0"/>
  </r>
  <r>
    <n v="27"/>
    <x v="34"/>
    <d v="1899-12-30T20:42:06"/>
    <d v="1899-12-30T20:42:09"/>
    <d v="1899-12-30T22:41:19"/>
    <s v="1 hr 58 min 28s"/>
    <s v="dei-dnjy-xwn"/>
    <x v="9"/>
    <d v="1899-12-30T01:59:13"/>
    <d v="1899-12-30T02:04:10"/>
    <n v="0"/>
    <n v="0"/>
  </r>
  <r>
    <n v="28"/>
    <x v="35"/>
    <d v="1899-12-30T20:42:06"/>
    <d v="1899-12-30T22:40:56"/>
    <d v="1899-12-30T22:41:19"/>
    <s v="0 min 24s"/>
    <s v="dei-dnjy-xwn"/>
    <x v="9"/>
    <d v="1899-12-30T01:59:13"/>
    <d v="1899-12-30T02:04:10"/>
    <n v="0"/>
    <n v="0"/>
  </r>
  <r>
    <n v="29"/>
    <x v="46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30"/>
    <x v="24"/>
    <d v="1899-12-30T20:42:06"/>
    <d v="1899-12-30T20:50:26"/>
    <d v="1899-12-30T22:41:19"/>
    <s v="1 hr 50 min 15s"/>
    <s v="dei-dnjy-xwn"/>
    <x v="9"/>
    <d v="1899-12-30T01:59:13"/>
    <d v="1899-12-30T02:04:11"/>
    <n v="0"/>
    <n v="0"/>
  </r>
  <r>
    <n v="31"/>
    <x v="11"/>
    <d v="1899-12-30T20:42:06"/>
    <d v="1899-12-30T20:42:09"/>
    <d v="1899-12-30T22:41:19"/>
    <s v="1 hr 58 min 28s"/>
    <s v="dei-dnjy-xwn"/>
    <x v="9"/>
    <d v="1899-12-30T01:59:13"/>
    <d v="1899-12-30T02:04:11"/>
    <n v="0"/>
    <n v="0"/>
  </r>
  <r>
    <n v="1"/>
    <x v="1"/>
    <d v="1899-12-30T20:37:47"/>
    <d v="1899-12-30T22:45:20"/>
    <d v="1899-12-30T22:57:24"/>
    <s v="11 min 43s"/>
    <s v="utm-dhtc-qab"/>
    <x v="10"/>
    <d v="1899-12-30T02:19:37"/>
    <d v="1899-12-30T02:04:11"/>
    <n v="0"/>
    <n v="0"/>
  </r>
  <r>
    <n v="2"/>
    <x v="2"/>
    <d v="1899-12-30T20:37:47"/>
    <d v="1899-12-30T22:45:20"/>
    <d v="1899-12-30T22:57:24"/>
    <s v="11 min 58s"/>
    <s v="utm-dhtc-qab"/>
    <x v="10"/>
    <d v="1899-12-30T02:19:37"/>
    <d v="1899-12-30T02:04:10"/>
    <n v="0"/>
    <n v="0"/>
  </r>
  <r>
    <n v="3"/>
    <x v="13"/>
    <d v="1899-12-30T20:37:47"/>
    <d v="1899-12-30T20:37:50"/>
    <d v="1899-12-30T22:57:24"/>
    <s v="2 hr 19 min 2s"/>
    <s v="utm-dhtc-qab"/>
    <x v="10"/>
    <d v="1899-12-30T02:19:37"/>
    <d v="1899-12-30T02:04:10"/>
    <n v="0"/>
    <n v="0"/>
  </r>
  <r>
    <n v="4"/>
    <x v="31"/>
    <d v="1899-12-30T20:37:47"/>
    <d v="1899-12-30T20:38:04"/>
    <d v="1899-12-30T22:57:24"/>
    <s v="2 hr 6 min 50s"/>
    <s v="utm-dhtc-qab"/>
    <x v="10"/>
    <d v="1899-12-30T02:19:37"/>
    <d v="1899-12-30T02:04:09"/>
    <n v="0"/>
    <n v="0"/>
  </r>
  <r>
    <n v="5"/>
    <x v="37"/>
    <d v="1899-12-30T20:37:47"/>
    <d v="1899-12-30T20:37:50"/>
    <d v="1899-12-30T22:57:24"/>
    <s v="2 hr 18 min 47s"/>
    <s v="utm-dhtc-qab"/>
    <x v="10"/>
    <d v="1899-12-30T02:19:37"/>
    <d v="1899-12-30T02:04:08"/>
    <n v="0"/>
    <n v="0"/>
  </r>
  <r>
    <n v="6"/>
    <x v="49"/>
    <d v="1899-12-30T20:37:47"/>
    <d v="1899-12-30T20:37:50"/>
    <d v="1899-12-30T22:57:24"/>
    <s v="2 hr 7 min 4s"/>
    <s v="utm-dhtc-qab"/>
    <x v="10"/>
    <d v="1899-12-30T02:19:37"/>
    <d v="1899-12-30T02:04:07"/>
    <n v="0"/>
    <n v="0"/>
  </r>
  <r>
    <n v="7"/>
    <x v="56"/>
    <d v="1899-12-30T20:37:47"/>
    <d v="1899-12-30T22:45:20"/>
    <d v="1899-12-30T22:57:24"/>
    <s v="11 min 43s"/>
    <s v="utm-dhtc-qab"/>
    <x v="10"/>
    <d v="1899-12-30T02:19:37"/>
    <d v="1899-12-30T02:04:06"/>
    <n v="0"/>
    <n v="0"/>
  </r>
  <r>
    <n v="8"/>
    <x v="5"/>
    <d v="1899-12-30T20:37:47"/>
    <d v="1899-12-30T20:37:50"/>
    <d v="1899-12-30T22:57:24"/>
    <s v="2 hr 19 min 2s"/>
    <s v="utm-dhtc-qab"/>
    <x v="10"/>
    <d v="1899-12-30T02:19:37"/>
    <d v="1899-12-30T02:04:06"/>
    <n v="0"/>
    <n v="0"/>
  </r>
  <r>
    <n v="9"/>
    <x v="50"/>
    <d v="1899-12-30T20:37:47"/>
    <d v="1899-12-30T22:45:20"/>
    <d v="1899-12-30T22:57:24"/>
    <s v="11 min 43s"/>
    <s v="utm-dhtc-qab"/>
    <x v="10"/>
    <d v="1899-12-30T02:19:37"/>
    <d v="1899-12-30T02:04:05"/>
    <n v="0"/>
    <n v="0"/>
  </r>
  <r>
    <n v="10"/>
    <x v="51"/>
    <d v="1899-12-30T20:37:47"/>
    <d v="1899-12-30T20:37:50"/>
    <d v="1899-12-30T22:57:24"/>
    <s v="2 hr 7 min 4s"/>
    <s v="utm-dhtc-qab"/>
    <x v="10"/>
    <d v="1899-12-30T02:19:37"/>
    <d v="1899-12-30T02:04:04"/>
    <n v="0"/>
    <n v="0"/>
  </r>
  <r>
    <n v="11"/>
    <x v="6"/>
    <d v="1899-12-30T20:37:47"/>
    <d v="1899-12-30T20:37:50"/>
    <d v="1899-12-30T22:57:24"/>
    <s v="2 hr 18 min 47s"/>
    <s v="utm-dhtc-qab"/>
    <x v="10"/>
    <d v="1899-12-30T02:19:37"/>
    <d v="1899-12-30T02:04:03"/>
    <n v="0"/>
    <n v="0"/>
  </r>
  <r>
    <n v="12"/>
    <x v="17"/>
    <d v="1899-12-30T20:37:47"/>
    <d v="1899-12-30T22:45:20"/>
    <d v="1899-12-30T22:57:24"/>
    <s v="11 min 58s"/>
    <s v="utm-dhtc-qab"/>
    <x v="10"/>
    <d v="1899-12-30T02:19:37"/>
    <d v="1899-12-30T02:04:02"/>
    <n v="0"/>
    <n v="0"/>
  </r>
  <r>
    <n v="13"/>
    <x v="28"/>
    <d v="1899-12-30T20:37:47"/>
    <d v="1899-12-30T22:45:20"/>
    <d v="1899-12-30T22:57:24"/>
    <s v="11 min 43s"/>
    <s v="utm-dhtc-qab"/>
    <x v="10"/>
    <d v="1899-12-30T02:19:37"/>
    <d v="1899-12-30T02:04:01"/>
    <n v="0"/>
    <n v="0"/>
  </r>
  <r>
    <n v="14"/>
    <x v="7"/>
    <d v="1899-12-30T20:37:47"/>
    <d v="1899-12-30T20:37:50"/>
    <d v="1899-12-30T22:57:24"/>
    <s v="2 hr 7 min 4s"/>
    <s v="utm-dhtc-qab"/>
    <x v="10"/>
    <d v="1899-12-30T02:19:37"/>
    <d v="1899-12-30T02:04:01"/>
    <n v="0"/>
    <n v="0"/>
  </r>
  <r>
    <n v="15"/>
    <x v="57"/>
    <d v="1899-12-30T20:37:47"/>
    <d v="1899-12-30T20:37:50"/>
    <d v="1899-12-30T22:57:24"/>
    <s v="2 hr 7 min 4s"/>
    <s v="utm-dhtc-qab"/>
    <x v="10"/>
    <d v="1899-12-30T02:19:37"/>
    <d v="1899-12-30T02:04:00"/>
    <n v="0"/>
    <n v="0"/>
  </r>
  <r>
    <n v="16"/>
    <x v="19"/>
    <d v="1899-12-30T20:37:47"/>
    <d v="1899-12-30T20:37:50"/>
    <d v="1899-12-30T22:57:24"/>
    <s v="2 hr 7 min 4s"/>
    <s v="utm-dhtc-qab"/>
    <x v="10"/>
    <d v="1899-12-30T02:19:37"/>
    <d v="1899-12-30T02:03:59"/>
    <n v="0"/>
    <n v="0"/>
  </r>
  <r>
    <n v="17"/>
    <x v="8"/>
    <d v="1899-12-30T20:37:47"/>
    <d v="1899-12-30T20:37:50"/>
    <d v="1899-12-30T22:57:24"/>
    <s v="2 hr 19 min 2s"/>
    <s v="utm-dhtc-qab"/>
    <x v="10"/>
    <d v="1899-12-30T02:19:37"/>
    <d v="1899-12-30T02:03:58"/>
    <n v="0"/>
    <n v="0"/>
  </r>
  <r>
    <n v="18"/>
    <x v="20"/>
    <d v="1899-12-30T20:37:47"/>
    <d v="1899-12-30T20:37:50"/>
    <d v="1899-12-30T22:57:24"/>
    <s v="2 hr 19 min 2s"/>
    <s v="utm-dhtc-qab"/>
    <x v="10"/>
    <d v="1899-12-30T02:19:37"/>
    <d v="1899-12-30T02:03:57"/>
    <n v="0"/>
    <n v="0"/>
  </r>
  <r>
    <n v="19"/>
    <x v="21"/>
    <d v="1899-12-30T20:37:47"/>
    <d v="1899-12-30T20:37:50"/>
    <d v="1899-12-30T22:57:24"/>
    <s v="2 hr 18 min 47s"/>
    <s v="utm-dhtc-qab"/>
    <x v="10"/>
    <d v="1899-12-30T02:19:37"/>
    <d v="1899-12-30T02:03:56"/>
    <n v="0"/>
    <n v="0"/>
  </r>
  <r>
    <n v="20"/>
    <x v="53"/>
    <d v="1899-12-30T20:37:47"/>
    <d v="1899-12-30T20:37:50"/>
    <d v="1899-12-30T22:57:24"/>
    <s v="2 hr 7 min 4s"/>
    <s v="utm-dhtc-qab"/>
    <x v="10"/>
    <d v="1899-12-30T02:19:37"/>
    <d v="1899-12-30T02:03:56"/>
    <n v="0"/>
    <n v="0"/>
  </r>
  <r>
    <n v="21"/>
    <x v="10"/>
    <d v="1899-12-30T20:37:47"/>
    <d v="1899-12-30T20:37:50"/>
    <d v="1899-12-30T22:57:24"/>
    <s v="2 hr 19 min 2s"/>
    <s v="utm-dhtc-qab"/>
    <x v="10"/>
    <d v="1899-12-30T02:19:37"/>
    <d v="1899-12-30T02:03:55"/>
    <n v="0"/>
    <n v="0"/>
  </r>
  <r>
    <n v="22"/>
    <x v="22"/>
    <d v="1899-12-30T20:37:47"/>
    <d v="1899-12-30T20:37:50"/>
    <d v="1899-12-30T22:57:24"/>
    <s v="2 hr 7 min 4s"/>
    <s v="utm-dhtc-qab"/>
    <x v="10"/>
    <d v="1899-12-30T02:19:37"/>
    <d v="1899-12-30T02:03:54"/>
    <n v="0"/>
    <n v="0"/>
  </r>
  <r>
    <n v="23"/>
    <x v="34"/>
    <d v="1899-12-30T20:37:47"/>
    <d v="1899-12-30T20:37:50"/>
    <d v="1899-12-30T22:57:24"/>
    <s v="2 hr 18 min 47s"/>
    <s v="utm-dhtc-qab"/>
    <x v="10"/>
    <d v="1899-12-30T02:19:37"/>
    <d v="1899-12-30T02:03:53"/>
    <n v="0"/>
    <n v="0"/>
  </r>
  <r>
    <n v="24"/>
    <x v="46"/>
    <d v="1899-12-30T20:37:47"/>
    <d v="1899-12-30T20:37:50"/>
    <d v="1899-12-30T22:57:24"/>
    <s v="2 hr 7 min 4s"/>
    <s v="utm-dhtc-qab"/>
    <x v="10"/>
    <d v="1899-12-30T02:19:37"/>
    <d v="1899-12-30T02:03:52"/>
    <n v="0"/>
    <n v="0"/>
  </r>
  <r>
    <n v="25"/>
    <x v="24"/>
    <d v="1899-12-30T20:37:47"/>
    <d v="1899-12-30T20:37:50"/>
    <d v="1899-12-30T22:57:24"/>
    <s v="2 hr 18 min 47s"/>
    <s v="utm-dhtc-qab"/>
    <x v="10"/>
    <d v="1899-12-30T02:19:37"/>
    <d v="1899-12-30T02:03:51"/>
    <n v="0"/>
    <n v="0"/>
  </r>
  <r>
    <n v="26"/>
    <x v="36"/>
    <d v="1899-12-30T20:37:47"/>
    <d v="1899-12-30T22:45:20"/>
    <d v="1899-12-30T22:57:24"/>
    <s v="11 min 58s"/>
    <s v="utm-dhtc-qab"/>
    <x v="10"/>
    <d v="1899-12-30T02:19:37"/>
    <d v="1899-12-30T02:03:50"/>
    <n v="0"/>
    <n v="0"/>
  </r>
  <r>
    <n v="27"/>
    <x v="47"/>
    <d v="1899-12-30T20:37:47"/>
    <d v="1899-12-30T20:37:50"/>
    <d v="1899-12-30T22:57:24"/>
    <s v="2 hr 7 min 4s"/>
    <s v="utm-dhtc-qab"/>
    <x v="10"/>
    <d v="1899-12-30T02:19:37"/>
    <d v="1899-12-30T02:03:50"/>
    <n v="0"/>
    <n v="0"/>
  </r>
  <r>
    <n v="1"/>
    <x v="0"/>
    <d v="1899-12-30T20:36:56"/>
    <d v="1899-12-30T20:37:00"/>
    <d v="1899-12-30T22:21:12"/>
    <s v="1 hr 40 min 29s"/>
    <s v="xcg-iedr-bvk"/>
    <x v="11"/>
    <d v="1899-12-30T01:44:16"/>
    <d v="1899-12-30T02:03:49"/>
    <n v="0"/>
    <n v="0"/>
  </r>
  <r>
    <n v="2"/>
    <x v="2"/>
    <d v="1899-12-30T20:36:56"/>
    <d v="1899-12-30T20:37:34"/>
    <d v="1899-12-30T22:21:12"/>
    <s v="1 hr 39 min 24s"/>
    <s v="xcg-iedr-bvk"/>
    <x v="11"/>
    <d v="1899-12-30T01:44:16"/>
    <d v="1899-12-30T02:03:50"/>
    <n v="0"/>
    <n v="0"/>
  </r>
  <r>
    <n v="3"/>
    <x v="13"/>
    <d v="1899-12-30T20:36:56"/>
    <d v="1899-12-30T20:37:00"/>
    <d v="1899-12-30T22:21:12"/>
    <s v="1 hr 18 min 55s"/>
    <s v="xcg-iedr-bvk"/>
    <x v="11"/>
    <d v="1899-12-30T01:44:16"/>
    <d v="1899-12-30T02:03:51"/>
    <n v="0"/>
    <n v="0"/>
  </r>
  <r>
    <n v="4"/>
    <x v="31"/>
    <d v="1899-12-30T20:36:56"/>
    <d v="1899-12-30T20:37:00"/>
    <d v="1899-12-30T22:21:12"/>
    <s v="1 hr 10 min 2s"/>
    <s v="xcg-iedr-bvk"/>
    <x v="11"/>
    <d v="1899-12-30T01:44:16"/>
    <d v="1899-12-30T02:03:52"/>
    <n v="0"/>
    <n v="0"/>
  </r>
  <r>
    <n v="5"/>
    <x v="37"/>
    <d v="1899-12-30T20:36:56"/>
    <d v="1899-12-30T20:37:00"/>
    <d v="1899-12-30T22:21:12"/>
    <s v="1 hr 10 min 2s"/>
    <s v="xcg-iedr-bvk"/>
    <x v="11"/>
    <d v="1899-12-30T01:44:16"/>
    <d v="1899-12-30T02:03:53"/>
    <n v="0"/>
    <n v="0"/>
  </r>
  <r>
    <n v="6"/>
    <x v="41"/>
    <d v="1899-12-30T20:36:56"/>
    <d v="1899-12-30T20:37:00"/>
    <d v="1899-12-30T22:21:12"/>
    <s v="1 hr 43 min 21s"/>
    <s v="xcg-iedr-bvk"/>
    <x v="11"/>
    <d v="1899-12-30T01:44:16"/>
    <d v="1899-12-30T02:03:54"/>
    <n v="0"/>
    <n v="0"/>
  </r>
  <r>
    <n v="7"/>
    <x v="49"/>
    <d v="1899-12-30T20:36:56"/>
    <d v="1899-12-30T20:37:00"/>
    <d v="1899-12-30T22:21:12"/>
    <s v="1 hr 10 min 2s"/>
    <s v="xcg-iedr-bvk"/>
    <x v="11"/>
    <d v="1899-12-30T01:44:16"/>
    <d v="1899-12-30T02:03:55"/>
    <n v="0"/>
    <n v="0"/>
  </r>
  <r>
    <n v="8"/>
    <x v="14"/>
    <d v="1899-12-30T20:36:56"/>
    <d v="1899-12-30T21:47:53"/>
    <d v="1899-12-30T22:21:12"/>
    <s v="23 min 50s"/>
    <s v="xcg-iedr-bvk"/>
    <x v="11"/>
    <d v="1899-12-30T01:44:16"/>
    <d v="1899-12-30T02:03:56"/>
    <n v="0"/>
    <n v="0"/>
  </r>
  <r>
    <n v="9"/>
    <x v="5"/>
    <d v="1899-12-30T20:36:56"/>
    <d v="1899-12-30T20:37:00"/>
    <d v="1899-12-30T22:21:12"/>
    <s v="1 hr 43 min 21s"/>
    <s v="xcg-iedr-bvk"/>
    <x v="11"/>
    <d v="1899-12-30T01:44:16"/>
    <d v="1899-12-30T02:03:57"/>
    <n v="0"/>
    <n v="0"/>
  </r>
  <r>
    <n v="10"/>
    <x v="50"/>
    <d v="1899-12-30T20:36:56"/>
    <d v="1899-12-30T20:37:00"/>
    <d v="1899-12-30T22:21:12"/>
    <s v="1 hr 10 min 2s"/>
    <s v="xcg-iedr-bvk"/>
    <x v="11"/>
    <d v="1899-12-30T01:44:16"/>
    <d v="1899-12-30T02:03:58"/>
    <n v="0"/>
    <n v="0"/>
  </r>
  <r>
    <n v="11"/>
    <x v="51"/>
    <d v="1899-12-30T20:36:56"/>
    <d v="1899-12-30T20:37:00"/>
    <d v="1899-12-30T22:21:12"/>
    <s v="1 hr 40 min 12s"/>
    <s v="xcg-iedr-bvk"/>
    <x v="11"/>
    <d v="1899-12-30T01:44:16"/>
    <d v="1899-12-30T02:03:59"/>
    <n v="0"/>
    <n v="0"/>
  </r>
  <r>
    <n v="12"/>
    <x v="6"/>
    <d v="1899-12-30T20:36:56"/>
    <d v="1899-12-30T20:37:00"/>
    <d v="1899-12-30T22:21:12"/>
    <s v="1 hr 21 min 41s"/>
    <s v="xcg-iedr-bvk"/>
    <x v="11"/>
    <d v="1899-12-30T01:44:16"/>
    <d v="1899-12-30T02:04:01"/>
    <n v="0"/>
    <n v="0"/>
  </r>
  <r>
    <n v="13"/>
    <x v="17"/>
    <d v="1899-12-30T20:36:56"/>
    <d v="1899-12-30T20:37:00"/>
    <d v="1899-12-30T22:21:12"/>
    <s v="1 hr 39 min 39s"/>
    <s v="xcg-iedr-bvk"/>
    <x v="11"/>
    <d v="1899-12-30T01:44:16"/>
    <d v="1899-12-30T02:04:02"/>
    <n v="0"/>
    <n v="0"/>
  </r>
  <r>
    <n v="14"/>
    <x v="28"/>
    <d v="1899-12-30T20:36:56"/>
    <d v="1899-12-30T21:47:53"/>
    <d v="1899-12-30T22:21:12"/>
    <s v="13 min 12s"/>
    <s v="xcg-iedr-bvk"/>
    <x v="11"/>
    <d v="1899-12-30T01:44:16"/>
    <d v="1899-12-30T02:04:03"/>
    <n v="0"/>
    <n v="0"/>
  </r>
  <r>
    <n v="15"/>
    <x v="58"/>
    <d v="1899-12-30T20:36:56"/>
    <d v="1899-12-30T20:37:00"/>
    <d v="1899-12-30T22:21:12"/>
    <s v="1 hr 10 min 2s"/>
    <s v="xcg-iedr-bvk"/>
    <x v="11"/>
    <d v="1899-12-30T01:44:16"/>
    <d v="1899-12-30T02:04:04"/>
    <n v="0"/>
    <n v="0"/>
  </r>
  <r>
    <n v="16"/>
    <x v="7"/>
    <d v="1899-12-30T20:36:56"/>
    <d v="1899-12-30T21:47:53"/>
    <d v="1899-12-30T22:21:12"/>
    <s v="23 min 41s"/>
    <s v="xcg-iedr-bvk"/>
    <x v="11"/>
    <d v="1899-12-30T01:44:16"/>
    <d v="1899-12-30T02:04:05"/>
    <n v="0"/>
    <n v="0"/>
  </r>
  <r>
    <n v="17"/>
    <x v="19"/>
    <d v="1899-12-30T20:36:56"/>
    <d v="1899-12-30T20:37:00"/>
    <d v="1899-12-30T22:21:12"/>
    <s v="1 hr 25 min 19s"/>
    <s v="xcg-iedr-bvk"/>
    <x v="11"/>
    <d v="1899-12-30T01:44:16"/>
    <d v="1899-12-30T02:04:06"/>
    <n v="0"/>
    <n v="0"/>
  </r>
  <r>
    <n v="18"/>
    <x v="59"/>
    <d v="1899-12-30T20:36:56"/>
    <d v="1899-12-30T20:37:00"/>
    <d v="1899-12-30T22:21:12"/>
    <s v="1 hr 10 min 2s"/>
    <s v="xcg-iedr-bvk"/>
    <x v="11"/>
    <d v="1899-12-30T01:44:16"/>
    <d v="1899-12-30T02:04:07"/>
    <n v="0"/>
    <n v="0"/>
  </r>
  <r>
    <n v="19"/>
    <x v="8"/>
    <d v="1899-12-30T20:36:56"/>
    <d v="1899-12-30T20:37:00"/>
    <d v="1899-12-30T22:21:12"/>
    <s v="1 hr 40 min 23s"/>
    <s v="xcg-iedr-bvk"/>
    <x v="11"/>
    <d v="1899-12-30T01:44:16"/>
    <d v="1899-12-30T02:04:08"/>
    <n v="0"/>
    <n v="0"/>
  </r>
  <r>
    <n v="20"/>
    <x v="20"/>
    <d v="1899-12-30T20:36:56"/>
    <d v="1899-12-30T20:37:00"/>
    <d v="1899-12-30T22:21:12"/>
    <s v="1 hr 40 min 53s"/>
    <s v="xcg-iedr-bvk"/>
    <x v="11"/>
    <d v="1899-12-30T01:44:16"/>
    <d v="1899-12-30T02:04:09"/>
    <n v="0"/>
    <n v="0"/>
  </r>
  <r>
    <n v="21"/>
    <x v="9"/>
    <d v="1899-12-30T20:36:56"/>
    <d v="1899-12-30T21:47:53"/>
    <d v="1899-12-30T22:21:12"/>
    <s v="29 min 57s"/>
    <s v="xcg-iedr-bvk"/>
    <x v="11"/>
    <d v="1899-12-30T01:44:16"/>
    <d v="1899-12-30T02:04:10"/>
    <n v="0"/>
    <n v="0"/>
  </r>
  <r>
    <n v="22"/>
    <x v="21"/>
    <d v="1899-12-30T20:36:56"/>
    <d v="1899-12-30T20:37:00"/>
    <d v="1899-12-30T22:21:12"/>
    <s v="1 hr 23 min 42s"/>
    <s v="xcg-iedr-bvk"/>
    <x v="11"/>
    <d v="1899-12-30T01:44:16"/>
    <d v="1899-12-30T02:04:11"/>
    <n v="0"/>
    <n v="0"/>
  </r>
  <r>
    <n v="23"/>
    <x v="60"/>
    <d v="1899-12-30T20:36:56"/>
    <d v="1899-12-30T21:57:01"/>
    <d v="1899-12-30T22:21:12"/>
    <s v="4 min 33s"/>
    <s v="xcg-iedr-bvk"/>
    <x v="11"/>
    <d v="1899-12-30T01:44:16"/>
    <d v="1899-12-30T02:04:12"/>
    <n v="0"/>
    <n v="0"/>
  </r>
  <r>
    <n v="24"/>
    <x v="22"/>
    <d v="1899-12-30T20:36:56"/>
    <d v="1899-12-30T20:37:00"/>
    <d v="1899-12-30T22:21:12"/>
    <s v="1 hr 37 min 51s"/>
    <s v="xcg-iedr-bvk"/>
    <x v="11"/>
    <d v="1899-12-30T01:44:16"/>
    <d v="1899-12-30T02:04:14"/>
    <n v="0"/>
    <n v="0"/>
  </r>
  <r>
    <n v="25"/>
    <x v="30"/>
    <d v="1899-12-30T20:36:56"/>
    <d v="1899-12-30T20:37:00"/>
    <d v="1899-12-30T22:21:12"/>
    <s v="1 hr 25 min 10s"/>
    <s v="xcg-iedr-bvk"/>
    <x v="11"/>
    <d v="1899-12-30T01:44:16"/>
    <d v="1899-12-30T02:04:15"/>
    <n v="0"/>
    <n v="0"/>
  </r>
  <r>
    <n v="26"/>
    <x v="23"/>
    <d v="1899-12-30T20:36:56"/>
    <d v="1899-12-30T20:37:00"/>
    <d v="1899-12-30T22:21:12"/>
    <s v="1 hr 23 min 10s"/>
    <s v="xcg-iedr-bvk"/>
    <x v="11"/>
    <d v="1899-12-30T01:44:16"/>
    <d v="1899-12-30T02:04:16"/>
    <n v="0"/>
    <n v="0"/>
  </r>
  <r>
    <n v="27"/>
    <x v="34"/>
    <d v="1899-12-30T20:36:56"/>
    <d v="1899-12-30T20:37:00"/>
    <d v="1899-12-30T22:21:12"/>
    <s v="1 hr 23 min 41s"/>
    <s v="xcg-iedr-bvk"/>
    <x v="11"/>
    <d v="1899-12-30T01:44:16"/>
    <d v="1899-12-30T02:04:17"/>
    <n v="0"/>
    <n v="0"/>
  </r>
  <r>
    <n v="28"/>
    <x v="35"/>
    <d v="1899-12-30T20:36:56"/>
    <d v="1899-12-30T20:37:00"/>
    <d v="1899-12-30T22:21:12"/>
    <s v="1 hr 37 min 40s"/>
    <s v="xcg-iedr-bvk"/>
    <x v="11"/>
    <d v="1899-12-30T01:44:16"/>
    <d v="1899-12-30T02:04:18"/>
    <n v="0"/>
    <n v="0"/>
  </r>
  <r>
    <n v="29"/>
    <x v="46"/>
    <d v="1899-12-30T20:36:56"/>
    <d v="1899-12-30T20:37:00"/>
    <d v="1899-12-30T22:21:12"/>
    <s v="1 hr 26 min 55s"/>
    <s v="xcg-iedr-bvk"/>
    <x v="11"/>
    <d v="1899-12-30T01:44:16"/>
    <d v="1899-12-30T02:04:19"/>
    <n v="0"/>
    <n v="0"/>
  </r>
  <r>
    <n v="30"/>
    <x v="24"/>
    <d v="1899-12-30T20:36:56"/>
    <d v="1899-12-30T21:47:53"/>
    <d v="1899-12-30T22:21:12"/>
    <s v="29 min 51s"/>
    <s v="xcg-iedr-bvk"/>
    <x v="11"/>
    <d v="1899-12-30T01:44:16"/>
    <d v="1899-12-30T02:04:20"/>
    <n v="0"/>
    <n v="0"/>
  </r>
  <r>
    <n v="31"/>
    <x v="36"/>
    <d v="1899-12-30T20:36:56"/>
    <d v="1899-12-30T21:47:53"/>
    <d v="1899-12-30T22:21:12"/>
    <s v="33 min 19s"/>
    <s v="xcg-iedr-bvk"/>
    <x v="11"/>
    <d v="1899-12-30T01:44:16"/>
    <d v="1899-12-30T02:04:21"/>
    <n v="0"/>
    <n v="0"/>
  </r>
  <r>
    <n v="32"/>
    <x v="26"/>
    <d v="1899-12-30T20:36:56"/>
    <d v="1899-12-30T20:37:00"/>
    <d v="1899-12-30T22:21:12"/>
    <s v="1 hr 10 min 2s"/>
    <s v="xcg-iedr-bvk"/>
    <x v="11"/>
    <d v="1899-12-30T01:44:16"/>
    <d v="1899-12-30T02:04:22"/>
    <n v="0"/>
    <n v="0"/>
  </r>
  <r>
    <n v="1"/>
    <x v="0"/>
    <d v="1899-12-30T20:40:19"/>
    <d v="1899-12-30T20:40:23"/>
    <d v="1899-12-30T22:23:40"/>
    <s v="1 hr 43 min 17s"/>
    <s v="biw-tumb-mxh"/>
    <x v="12"/>
    <d v="1899-12-30T01:43:21"/>
    <d v="1899-12-30T02:04:24"/>
    <n v="0"/>
    <n v="0"/>
  </r>
  <r>
    <n v="2"/>
    <x v="1"/>
    <d v="1899-12-30T20:40:19"/>
    <d v="1899-12-30T20:40:23"/>
    <d v="1899-12-30T22:23:40"/>
    <s v="1 hr 43 min 15s"/>
    <s v="biw-tumb-mxh"/>
    <x v="12"/>
    <d v="1899-12-30T01:43:21"/>
    <d v="1899-12-30T02:04:25"/>
    <n v="0"/>
    <n v="0"/>
  </r>
  <r>
    <n v="3"/>
    <x v="2"/>
    <d v="1899-12-30T20:40:19"/>
    <d v="1899-12-30T20:40:23"/>
    <d v="1899-12-30T22:23:40"/>
    <s v="1 hr 43 min 10s"/>
    <s v="biw-tumb-mxh"/>
    <x v="12"/>
    <d v="1899-12-30T01:43:21"/>
    <d v="1899-12-30T02:04:26"/>
    <n v="0"/>
    <n v="0"/>
  </r>
  <r>
    <n v="4"/>
    <x v="3"/>
    <d v="1899-12-30T20:40:19"/>
    <d v="1899-12-30T22:17:29"/>
    <d v="1899-12-30T22:23:40"/>
    <s v="6 min 5s"/>
    <s v="biw-tumb-mxh"/>
    <x v="12"/>
    <d v="1899-12-30T01:43:21"/>
    <d v="1899-12-30T02:04:27"/>
    <n v="0"/>
    <n v="0"/>
  </r>
  <r>
    <n v="5"/>
    <x v="13"/>
    <d v="1899-12-30T20:40:19"/>
    <d v="1899-12-30T20:40:23"/>
    <d v="1899-12-30T22:23:40"/>
    <s v="1 hr 37 min 5s"/>
    <s v="biw-tumb-mxh"/>
    <x v="12"/>
    <d v="1899-12-30T01:43:21"/>
    <d v="1899-12-30T02:04:28"/>
    <n v="0"/>
    <n v="0"/>
  </r>
  <r>
    <n v="6"/>
    <x v="31"/>
    <d v="1899-12-30T20:40:19"/>
    <d v="1899-12-30T20:40:23"/>
    <d v="1899-12-30T22:23:40"/>
    <s v="1 hr 37 min 5s"/>
    <s v="biw-tumb-mxh"/>
    <x v="12"/>
    <d v="1899-12-30T01:43:21"/>
    <d v="1899-12-30T02:04:29"/>
    <n v="0"/>
    <n v="0"/>
  </r>
  <r>
    <n v="7"/>
    <x v="41"/>
    <d v="1899-12-30T20:40:19"/>
    <d v="1899-12-30T20:40:23"/>
    <d v="1899-12-30T22:23:40"/>
    <s v="1 hr 43 min 17s"/>
    <s v="biw-tumb-mxh"/>
    <x v="12"/>
    <d v="1899-12-30T01:43:21"/>
    <d v="1899-12-30T02:04:31"/>
    <n v="0"/>
    <n v="0"/>
  </r>
  <r>
    <n v="8"/>
    <x v="49"/>
    <d v="1899-12-30T20:40:19"/>
    <d v="1899-12-30T20:40:23"/>
    <d v="1899-12-30T22:23:40"/>
    <s v="1 hr 37 min 5s"/>
    <s v="biw-tumb-mxh"/>
    <x v="12"/>
    <d v="1899-12-30T01:43:21"/>
    <d v="1899-12-30T02:04:32"/>
    <n v="0"/>
    <n v="0"/>
  </r>
  <r>
    <n v="9"/>
    <x v="14"/>
    <d v="1899-12-30T20:40:19"/>
    <d v="1899-12-30T20:40:23"/>
    <d v="1899-12-30T22:23:40"/>
    <s v="1 hr 43 min 10s"/>
    <s v="biw-tumb-mxh"/>
    <x v="12"/>
    <d v="1899-12-30T01:43:21"/>
    <d v="1899-12-30T02:04:33"/>
    <n v="0"/>
    <n v="0"/>
  </r>
  <r>
    <n v="10"/>
    <x v="56"/>
    <d v="1899-12-30T20:40:19"/>
    <d v="1899-12-30T20:40:23"/>
    <d v="1899-12-30T22:23:40"/>
    <s v="1 hr 37 min 5s"/>
    <s v="biw-tumb-mxh"/>
    <x v="12"/>
    <d v="1899-12-30T01:43:21"/>
    <d v="1899-12-30T02:04:34"/>
    <n v="0"/>
    <n v="0"/>
  </r>
  <r>
    <n v="11"/>
    <x v="5"/>
    <d v="1899-12-30T20:40:19"/>
    <d v="1899-12-30T20:40:23"/>
    <d v="1899-12-30T22:23:40"/>
    <s v="1 hr 43 min 17s"/>
    <s v="biw-tumb-mxh"/>
    <x v="12"/>
    <d v="1899-12-30T01:43:21"/>
    <d v="1899-12-30T02:04:35"/>
    <n v="0"/>
    <n v="0"/>
  </r>
  <r>
    <n v="12"/>
    <x v="50"/>
    <d v="1899-12-30T20:40:19"/>
    <d v="1899-12-30T20:40:23"/>
    <d v="1899-12-30T22:23:40"/>
    <s v="1 hr 37 min 5s"/>
    <s v="biw-tumb-mxh"/>
    <x v="12"/>
    <d v="1899-12-30T01:43:21"/>
    <d v="1899-12-30T02:04:37"/>
    <n v="0"/>
    <n v="0"/>
  </r>
  <r>
    <n v="13"/>
    <x v="51"/>
    <d v="1899-12-30T20:40:19"/>
    <d v="1899-12-30T20:40:23"/>
    <d v="1899-12-30T22:23:40"/>
    <s v="1 hr 43 min 10s"/>
    <s v="biw-tumb-mxh"/>
    <x v="12"/>
    <d v="1899-12-30T01:43:21"/>
    <d v="1899-12-30T02:04:38"/>
    <n v="0"/>
    <n v="0"/>
  </r>
  <r>
    <n v="14"/>
    <x v="6"/>
    <d v="1899-12-30T20:40:19"/>
    <d v="1899-12-30T20:40:23"/>
    <d v="1899-12-30T22:23:40"/>
    <s v="1 hr 43 min 10s"/>
    <s v="biw-tumb-mxh"/>
    <x v="12"/>
    <d v="1899-12-30T01:43:21"/>
    <d v="1899-12-30T02:04:39"/>
    <n v="0"/>
    <n v="0"/>
  </r>
  <r>
    <n v="15"/>
    <x v="17"/>
    <d v="1899-12-30T20:40:19"/>
    <d v="1899-12-30T20:40:23"/>
    <d v="1899-12-30T22:23:40"/>
    <s v="1 hr 43 min 17s"/>
    <s v="biw-tumb-mxh"/>
    <x v="12"/>
    <d v="1899-12-30T01:43:21"/>
    <d v="1899-12-30T02:04:40"/>
    <n v="0"/>
    <n v="0"/>
  </r>
  <r>
    <n v="16"/>
    <x v="28"/>
    <d v="1899-12-30T20:40:19"/>
    <d v="1899-12-30T20:40:23"/>
    <d v="1899-12-30T22:23:40"/>
    <s v="1 hr 37 min 5s"/>
    <s v="biw-tumb-mxh"/>
    <x v="12"/>
    <d v="1899-12-30T01:43:21"/>
    <d v="1899-12-30T02:04:41"/>
    <n v="0"/>
    <n v="0"/>
  </r>
  <r>
    <n v="17"/>
    <x v="7"/>
    <d v="1899-12-30T20:40:19"/>
    <d v="1899-12-30T20:40:23"/>
    <d v="1899-12-30T22:23:40"/>
    <s v="1 hr 43 min 10s"/>
    <s v="biw-tumb-mxh"/>
    <x v="12"/>
    <d v="1899-12-30T01:43:21"/>
    <d v="1899-12-30T02:04:43"/>
    <n v="0"/>
    <n v="0"/>
  </r>
  <r>
    <n v="18"/>
    <x v="19"/>
    <d v="1899-12-30T20:40:19"/>
    <d v="1899-12-30T20:40:23"/>
    <d v="1899-12-30T22:23:40"/>
    <s v="1 hr 43 min 10s"/>
    <s v="biw-tumb-mxh"/>
    <x v="12"/>
    <d v="1899-12-30T01:43:21"/>
    <d v="1899-12-30T02:04:44"/>
    <n v="0"/>
    <n v="0"/>
  </r>
  <r>
    <n v="19"/>
    <x v="38"/>
    <d v="1899-12-30T20:40:19"/>
    <d v="1899-12-30T20:40:23"/>
    <d v="1899-12-30T22:23:40"/>
    <s v="1 hr 37 min 5s"/>
    <s v="biw-tumb-mxh"/>
    <x v="12"/>
    <d v="1899-12-30T01:43:21"/>
    <d v="1899-12-30T02:04:45"/>
    <n v="0"/>
    <n v="0"/>
  </r>
  <r>
    <n v="20"/>
    <x v="48"/>
    <d v="1899-12-30T20:40:19"/>
    <d v="1899-12-30T20:40:23"/>
    <d v="1899-12-30T22:23:40"/>
    <s v="1 hr 37 min 5s"/>
    <s v="biw-tumb-mxh"/>
    <x v="12"/>
    <d v="1899-12-30T01:43:21"/>
    <d v="1899-12-30T02:04:46"/>
    <n v="0"/>
    <n v="0"/>
  </r>
  <r>
    <n v="21"/>
    <x v="8"/>
    <d v="1899-12-30T20:40:19"/>
    <d v="1899-12-30T20:40:23"/>
    <d v="1899-12-30T22:23:40"/>
    <s v="1 hr 43 min 17s"/>
    <s v="biw-tumb-mxh"/>
    <x v="12"/>
    <d v="1899-12-30T01:43:21"/>
    <d v="1899-12-30T02:04:47"/>
    <n v="0"/>
    <n v="0"/>
  </r>
  <r>
    <n v="22"/>
    <x v="20"/>
    <d v="1899-12-30T20:40:19"/>
    <d v="1899-12-30T20:40:23"/>
    <d v="1899-12-30T22:23:40"/>
    <s v="1 hr 43 min 17s"/>
    <s v="biw-tumb-mxh"/>
    <x v="12"/>
    <d v="1899-12-30T01:43:21"/>
    <d v="1899-12-30T02:04:49"/>
    <n v="0"/>
    <n v="0"/>
  </r>
  <r>
    <n v="23"/>
    <x v="9"/>
    <d v="1899-12-30T20:40:19"/>
    <d v="1899-12-30T20:40:23"/>
    <d v="1899-12-30T22:23:40"/>
    <s v="1 hr 37 min 5s"/>
    <s v="biw-tumb-mxh"/>
    <x v="12"/>
    <d v="1899-12-30T01:43:21"/>
    <d v="1899-12-30T02:04:50"/>
    <n v="0"/>
    <n v="0"/>
  </r>
  <r>
    <n v="24"/>
    <x v="21"/>
    <d v="1899-12-30T20:40:19"/>
    <d v="1899-12-30T20:40:23"/>
    <d v="1899-12-30T22:23:40"/>
    <s v="1 hr 37 min 5s"/>
    <s v="biw-tumb-mxh"/>
    <x v="12"/>
    <d v="1899-12-30T01:43:21"/>
    <d v="1899-12-30T02:04:51"/>
    <n v="0"/>
    <n v="0"/>
  </r>
  <r>
    <n v="25"/>
    <x v="10"/>
    <d v="1899-12-30T20:40:19"/>
    <d v="1899-12-30T20:40:23"/>
    <d v="1899-12-30T22:23:40"/>
    <s v="1 hr 37 min 26s"/>
    <s v="biw-tumb-mxh"/>
    <x v="12"/>
    <d v="1899-12-30T01:43:21"/>
    <d v="1899-12-30T02:04:52"/>
    <n v="0"/>
    <n v="0"/>
  </r>
  <r>
    <n v="26"/>
    <x v="23"/>
    <d v="1899-12-30T20:40:19"/>
    <d v="1899-12-30T20:40:23"/>
    <d v="1899-12-30T22:23:40"/>
    <s v="1 hr 43 min 10s"/>
    <s v="biw-tumb-mxh"/>
    <x v="12"/>
    <d v="1899-12-30T01:43:21"/>
    <d v="1899-12-30T02:04:54"/>
    <n v="0"/>
    <n v="0"/>
  </r>
  <r>
    <n v="27"/>
    <x v="34"/>
    <d v="1899-12-30T20:40:19"/>
    <d v="1899-12-30T20:40:23"/>
    <d v="1899-12-30T22:23:40"/>
    <s v="1 hr 37 min 5s"/>
    <s v="biw-tumb-mxh"/>
    <x v="12"/>
    <d v="1899-12-30T01:43:21"/>
    <d v="1899-12-30T02:04:55"/>
    <n v="0"/>
    <n v="0"/>
  </r>
  <r>
    <n v="28"/>
    <x v="61"/>
    <d v="1899-12-30T20:40:19"/>
    <d v="1899-12-30T20:40:23"/>
    <d v="1899-12-30T22:23:40"/>
    <s v="1 hr 37 min 5s"/>
    <s v="biw-tumb-mxh"/>
    <x v="12"/>
    <d v="1899-12-30T01:43:21"/>
    <d v="1899-12-30T02:04:56"/>
    <n v="0"/>
    <n v="0"/>
  </r>
  <r>
    <n v="29"/>
    <x v="35"/>
    <d v="1899-12-30T20:40:19"/>
    <d v="1899-12-30T22:17:29"/>
    <d v="1899-12-30T22:23:40"/>
    <s v="6 min 5s"/>
    <s v="biw-tumb-mxh"/>
    <x v="12"/>
    <d v="1899-12-30T01:43:21"/>
    <d v="1899-12-30T02:04:57"/>
    <n v="0"/>
    <n v="0"/>
  </r>
  <r>
    <n v="30"/>
    <x v="46"/>
    <d v="1899-12-30T20:40:19"/>
    <d v="1899-12-30T20:40:23"/>
    <d v="1899-12-30T22:23:40"/>
    <s v="1 hr 43 min 10s"/>
    <s v="biw-tumb-mxh"/>
    <x v="12"/>
    <d v="1899-12-30T01:43:21"/>
    <d v="1899-12-30T02:04:59"/>
    <n v="0"/>
    <n v="0"/>
  </r>
  <r>
    <n v="31"/>
    <x v="24"/>
    <d v="1899-12-30T20:40:19"/>
    <d v="1899-12-30T20:40:23"/>
    <d v="1899-12-30T22:23:40"/>
    <s v="1 hr 43 min 10s"/>
    <s v="biw-tumb-mxh"/>
    <x v="12"/>
    <d v="1899-12-30T01:43:21"/>
    <d v="1899-12-30T02:05:00"/>
    <n v="0"/>
    <n v="0"/>
  </r>
  <r>
    <n v="32"/>
    <x v="62"/>
    <d v="1899-12-30T20:40:19"/>
    <d v="1899-12-30T20:40:23"/>
    <d v="1899-12-30T22:23:40"/>
    <s v="1 hr 37 min 5s"/>
    <s v="biw-tumb-mxh"/>
    <x v="12"/>
    <d v="1899-12-30T01:43:21"/>
    <d v="1899-12-30T02:05:01"/>
    <n v="0"/>
    <n v="0"/>
  </r>
  <r>
    <n v="33"/>
    <x v="36"/>
    <d v="1899-12-30T20:40:19"/>
    <d v="1899-12-30T20:40:23"/>
    <d v="1899-12-30T22:23:40"/>
    <s v="1 hr 43 min 10s"/>
    <s v="biw-tumb-mxh"/>
    <x v="12"/>
    <d v="1899-12-30T01:43:21"/>
    <d v="1899-12-30T02:05:02"/>
    <n v="0"/>
    <n v="0"/>
  </r>
  <r>
    <n v="34"/>
    <x v="11"/>
    <d v="1899-12-30T20:40:19"/>
    <d v="1899-12-30T20:40:23"/>
    <d v="1899-12-30T22:23:40"/>
    <s v="1 hr 37 min 5s"/>
    <s v="biw-tumb-mxh"/>
    <x v="12"/>
    <d v="1899-12-30T01:43:21"/>
    <d v="1899-12-30T02:05:04"/>
    <n v="0"/>
    <n v="0"/>
  </r>
  <r>
    <n v="1"/>
    <x v="12"/>
    <d v="1899-12-30T20:36:17"/>
    <d v="1899-12-30T20:48:44"/>
    <d v="1899-12-30T22:11:35"/>
    <s v="1 hr 22 min 51s"/>
    <s v="gzo-xsdr-gbk"/>
    <x v="13"/>
    <d v="1899-12-30T01:35:18"/>
    <d v="1899-12-30T02:05:05"/>
    <n v="0"/>
    <n v="0"/>
  </r>
  <r>
    <n v="2"/>
    <x v="0"/>
    <d v="1899-12-30T20:36:17"/>
    <d v="1899-12-30T20:36:21"/>
    <d v="1899-12-30T22:11:35"/>
    <s v="1 hr 35 min 13s"/>
    <s v="gzo-xsdr-gbk"/>
    <x v="13"/>
    <d v="1899-12-30T01:35:18"/>
    <d v="1899-12-30T02:05:06"/>
    <n v="0"/>
    <n v="0"/>
  </r>
  <r>
    <n v="3"/>
    <x v="1"/>
    <d v="1899-12-30T20:36:17"/>
    <d v="1899-12-30T20:36:21"/>
    <d v="1899-12-30T22:11:35"/>
    <s v="1 hr 35 min 13s"/>
    <s v="gzo-xsdr-gbk"/>
    <x v="13"/>
    <d v="1899-12-30T01:35:18"/>
    <d v="1899-12-30T02:05:08"/>
    <n v="0"/>
    <n v="0"/>
  </r>
  <r>
    <n v="4"/>
    <x v="2"/>
    <d v="1899-12-30T20:36:17"/>
    <d v="1899-12-30T20:48:44"/>
    <d v="1899-12-30T22:11:35"/>
    <s v="1 hr 22 min 51s"/>
    <s v="gzo-xsdr-gbk"/>
    <x v="13"/>
    <d v="1899-12-30T01:35:18"/>
    <d v="1899-12-30T02:05:10"/>
    <n v="0"/>
    <n v="0"/>
  </r>
  <r>
    <n v="5"/>
    <x v="13"/>
    <d v="1899-12-30T20:36:17"/>
    <d v="1899-12-30T20:36:21"/>
    <d v="1899-12-30T22:11:35"/>
    <s v="1 hr 35 min 13s"/>
    <s v="gzo-xsdr-gbk"/>
    <x v="13"/>
    <d v="1899-12-30T01:35:18"/>
    <d v="1899-12-30T02:05:12"/>
    <n v="0"/>
    <n v="0"/>
  </r>
  <r>
    <n v="6"/>
    <x v="4"/>
    <d v="1899-12-30T20:36:17"/>
    <d v="1899-12-30T20:36:21"/>
    <d v="1899-12-30T22:11:35"/>
    <s v="1 hr 35 min 13s"/>
    <s v="gzo-xsdr-gbk"/>
    <x v="13"/>
    <d v="1899-12-30T01:35:18"/>
    <d v="1899-12-30T02:05:13"/>
    <n v="0"/>
    <n v="0"/>
  </r>
  <r>
    <n v="7"/>
    <x v="31"/>
    <d v="1899-12-30T20:36:17"/>
    <d v="1899-12-30T20:36:21"/>
    <d v="1899-12-30T22:11:35"/>
    <s v="1 hr 35 min 13s"/>
    <s v="gzo-xsdr-gbk"/>
    <x v="13"/>
    <d v="1899-12-30T01:35:18"/>
    <d v="1899-12-30T02:05:15"/>
    <n v="0"/>
    <n v="0"/>
  </r>
  <r>
    <n v="8"/>
    <x v="27"/>
    <d v="1899-12-30T20:36:17"/>
    <d v="1899-12-30T20:48:44"/>
    <d v="1899-12-30T22:11:35"/>
    <s v="1 hr 22 min 51s"/>
    <s v="gzo-xsdr-gbk"/>
    <x v="13"/>
    <d v="1899-12-30T01:35:18"/>
    <d v="1899-12-30T02:05:17"/>
    <n v="0"/>
    <n v="0"/>
  </r>
  <r>
    <n v="9"/>
    <x v="37"/>
    <d v="1899-12-30T20:36:17"/>
    <d v="1899-12-30T20:36:21"/>
    <d v="1899-12-30T22:11:35"/>
    <s v="1 hr 35 min 13s"/>
    <s v="gzo-xsdr-gbk"/>
    <x v="13"/>
    <d v="1899-12-30T01:35:18"/>
    <d v="1899-12-30T02:05:19"/>
    <n v="0"/>
    <n v="0"/>
  </r>
  <r>
    <n v="10"/>
    <x v="41"/>
    <d v="1899-12-30T20:36:17"/>
    <d v="1899-12-30T20:48:44"/>
    <d v="1899-12-30T22:11:35"/>
    <s v="1 hr 22 min 51s"/>
    <s v="gzo-xsdr-gbk"/>
    <x v="13"/>
    <d v="1899-12-30T01:35:18"/>
    <d v="1899-12-30T02:05:20"/>
    <n v="0"/>
    <n v="0"/>
  </r>
  <r>
    <n v="11"/>
    <x v="49"/>
    <d v="1899-12-30T20:36:17"/>
    <d v="1899-12-30T20:36:21"/>
    <d v="1899-12-30T22:11:35"/>
    <s v="1 hr 35 min 13s"/>
    <s v="gzo-xsdr-gbk"/>
    <x v="13"/>
    <d v="1899-12-30T01:35:18"/>
    <d v="1899-12-30T02:05:22"/>
    <n v="0"/>
    <n v="0"/>
  </r>
  <r>
    <n v="12"/>
    <x v="14"/>
    <d v="1899-12-30T20:36:17"/>
    <d v="1899-12-30T20:36:21"/>
    <d v="1899-12-30T22:11:35"/>
    <s v="1 hr 35 min 13s"/>
    <s v="gzo-xsdr-gbk"/>
    <x v="13"/>
    <d v="1899-12-30T01:35:18"/>
    <d v="1899-12-30T02:05:24"/>
    <n v="0"/>
    <n v="0"/>
  </r>
  <r>
    <n v="13"/>
    <x v="56"/>
    <d v="1899-12-30T20:36:17"/>
    <d v="1899-12-30T20:48:44"/>
    <d v="1899-12-30T22:11:35"/>
    <s v="1 hr 22 min 51s"/>
    <s v="gzo-xsdr-gbk"/>
    <x v="13"/>
    <d v="1899-12-30T01:35:18"/>
    <d v="1899-12-30T02:05:26"/>
    <n v="0"/>
    <n v="0"/>
  </r>
  <r>
    <n v="14"/>
    <x v="15"/>
    <d v="1899-12-30T20:36:17"/>
    <d v="1899-12-30T20:36:21"/>
    <d v="1899-12-30T22:11:35"/>
    <s v="1 hr 35 min 13s"/>
    <s v="gzo-xsdr-gbk"/>
    <x v="13"/>
    <d v="1899-12-30T01:35:18"/>
    <d v="1899-12-30T02:05:27"/>
    <n v="0"/>
    <n v="0"/>
  </r>
  <r>
    <n v="15"/>
    <x v="5"/>
    <d v="1899-12-30T20:36:17"/>
    <d v="1899-12-30T20:36:21"/>
    <d v="1899-12-30T22:11:35"/>
    <s v="1 hr 35 min 13s"/>
    <s v="gzo-xsdr-gbk"/>
    <x v="13"/>
    <d v="1899-12-30T01:35:18"/>
    <d v="1899-12-30T02:05:29"/>
    <n v="0"/>
    <n v="0"/>
  </r>
  <r>
    <n v="16"/>
    <x v="51"/>
    <d v="1899-12-30T20:36:17"/>
    <d v="1899-12-30T20:48:44"/>
    <d v="1899-12-30T22:11:35"/>
    <s v="1 hr 22 min 51s"/>
    <s v="gzo-xsdr-gbk"/>
    <x v="13"/>
    <d v="1899-12-30T01:35:18"/>
    <d v="1899-12-30T02:05:31"/>
    <n v="0"/>
    <n v="0"/>
  </r>
  <r>
    <n v="17"/>
    <x v="17"/>
    <d v="1899-12-30T20:36:17"/>
    <d v="1899-12-30T20:36:21"/>
    <d v="1899-12-30T22:11:35"/>
    <s v="1 hr 35 min 13s"/>
    <s v="gzo-xsdr-gbk"/>
    <x v="13"/>
    <d v="1899-12-30T01:35:18"/>
    <d v="1899-12-30T02:05:33"/>
    <n v="0"/>
    <n v="0"/>
  </r>
  <r>
    <n v="18"/>
    <x v="63"/>
    <d v="1899-12-30T20:36:17"/>
    <d v="1899-12-30T20:48:44"/>
    <d v="1899-12-30T22:11:35"/>
    <s v="1 hr 22 min 51s"/>
    <s v="gzo-xsdr-gbk"/>
    <x v="13"/>
    <d v="1899-12-30T01:35:18"/>
    <d v="1899-12-30T02:05:34"/>
    <n v="0"/>
    <n v="0"/>
  </r>
  <r>
    <n v="19"/>
    <x v="43"/>
    <d v="1899-12-30T20:36:17"/>
    <d v="1899-12-30T20:48:44"/>
    <d v="1899-12-30T22:11:35"/>
    <s v="1 hr 22 min 51s"/>
    <s v="gzo-xsdr-gbk"/>
    <x v="13"/>
    <d v="1899-12-30T01:35:18"/>
    <d v="1899-12-30T02:05:36"/>
    <n v="0"/>
    <n v="0"/>
  </r>
  <r>
    <n v="20"/>
    <x v="28"/>
    <d v="1899-12-30T20:36:17"/>
    <d v="1899-12-30T20:48:44"/>
    <d v="1899-12-30T22:11:35"/>
    <s v="1 hr 22 min 51s"/>
    <s v="gzo-xsdr-gbk"/>
    <x v="13"/>
    <d v="1899-12-30T01:35:18"/>
    <d v="1899-12-30T02:05:38"/>
    <n v="0"/>
    <n v="0"/>
  </r>
  <r>
    <n v="21"/>
    <x v="7"/>
    <d v="1899-12-30T20:36:17"/>
    <d v="1899-12-30T20:36:21"/>
    <d v="1899-12-30T22:11:35"/>
    <s v="1 hr 35 min 13s"/>
    <s v="gzo-xsdr-gbk"/>
    <x v="13"/>
    <d v="1899-12-30T01:35:18"/>
    <d v="1899-12-30T02:05:40"/>
    <n v="0"/>
    <n v="0"/>
  </r>
  <r>
    <n v="22"/>
    <x v="19"/>
    <d v="1899-12-30T20:36:17"/>
    <d v="1899-12-30T20:36:21"/>
    <d v="1899-12-30T22:11:35"/>
    <s v="1 hr 35 min 13s"/>
    <s v="gzo-xsdr-gbk"/>
    <x v="13"/>
    <d v="1899-12-30T01:35:18"/>
    <d v="1899-12-30T02:05:41"/>
    <n v="0"/>
    <n v="0"/>
  </r>
  <r>
    <n v="23"/>
    <x v="38"/>
    <d v="1899-12-30T20:36:17"/>
    <d v="1899-12-30T20:48:44"/>
    <d v="1899-12-30T22:11:35"/>
    <s v="1 hr 22 min 51s"/>
    <s v="gzo-xsdr-gbk"/>
    <x v="13"/>
    <d v="1899-12-30T01:35:18"/>
    <d v="1899-12-30T02:05:43"/>
    <n v="0"/>
    <n v="0"/>
  </r>
  <r>
    <n v="24"/>
    <x v="48"/>
    <d v="1899-12-30T20:36:17"/>
    <d v="1899-12-30T20:36:21"/>
    <d v="1899-12-30T22:11:35"/>
    <s v="1 hr 35 min 13s"/>
    <s v="gzo-xsdr-gbk"/>
    <x v="13"/>
    <d v="1899-12-30T01:35:18"/>
    <d v="1899-12-30T02:05:45"/>
    <n v="0"/>
    <n v="0"/>
  </r>
  <r>
    <n v="25"/>
    <x v="59"/>
    <d v="1899-12-30T20:36:17"/>
    <d v="1899-12-30T20:36:21"/>
    <d v="1899-12-30T22:11:35"/>
    <s v="1 hr 35 min 13s"/>
    <s v="gzo-xsdr-gbk"/>
    <x v="13"/>
    <d v="1899-12-30T01:35:18"/>
    <d v="1899-12-30T02:05:47"/>
    <n v="0"/>
    <n v="0"/>
  </r>
  <r>
    <n v="26"/>
    <x v="8"/>
    <d v="1899-12-30T20:36:17"/>
    <d v="1899-12-30T20:48:44"/>
    <d v="1899-12-30T22:11:35"/>
    <s v="1 hr 22 min 51s"/>
    <s v="gzo-xsdr-gbk"/>
    <x v="13"/>
    <d v="1899-12-30T01:35:18"/>
    <d v="1899-12-30T02:05:49"/>
    <n v="0"/>
    <n v="0"/>
  </r>
  <r>
    <n v="27"/>
    <x v="20"/>
    <d v="1899-12-30T20:36:17"/>
    <d v="1899-12-30T20:36:21"/>
    <d v="1899-12-30T22:11:35"/>
    <s v="1 hr 35 min 13s"/>
    <s v="gzo-xsdr-gbk"/>
    <x v="13"/>
    <d v="1899-12-30T01:35:18"/>
    <d v="1899-12-30T02:05:50"/>
    <n v="0"/>
    <n v="0"/>
  </r>
  <r>
    <n v="28"/>
    <x v="39"/>
    <d v="1899-12-30T20:36:17"/>
    <d v="1899-12-30T20:36:21"/>
    <d v="1899-12-30T22:11:35"/>
    <s v="1 hr 35 min 13s"/>
    <s v="gzo-xsdr-gbk"/>
    <x v="13"/>
    <d v="1899-12-30T01:35:18"/>
    <d v="1899-12-30T02:05:52"/>
    <n v="0"/>
    <n v="0"/>
  </r>
  <r>
    <n v="29"/>
    <x v="21"/>
    <d v="1899-12-30T20:36:17"/>
    <d v="1899-12-30T20:36:21"/>
    <d v="1899-12-30T22:11:35"/>
    <s v="1 hr 35 min 13s"/>
    <s v="gzo-xsdr-gbk"/>
    <x v="13"/>
    <d v="1899-12-30T01:35:18"/>
    <d v="1899-12-30T02:05:54"/>
    <n v="0"/>
    <n v="0"/>
  </r>
  <r>
    <n v="30"/>
    <x v="64"/>
    <d v="1899-12-30T20:36:17"/>
    <d v="1899-12-30T20:36:21"/>
    <d v="1899-12-30T22:11:35"/>
    <s v="1 hr 35 min 13s"/>
    <s v="gzo-xsdr-gbk"/>
    <x v="13"/>
    <d v="1899-12-30T01:35:18"/>
    <d v="1899-12-30T02:05:56"/>
    <n v="0"/>
    <n v="0"/>
  </r>
  <r>
    <n v="31"/>
    <x v="53"/>
    <d v="1899-12-30T20:36:17"/>
    <d v="1899-12-30T20:36:21"/>
    <d v="1899-12-30T22:11:35"/>
    <s v="1 hr 35 min 13s"/>
    <s v="gzo-xsdr-gbk"/>
    <x v="13"/>
    <d v="1899-12-30T01:35:18"/>
    <d v="1899-12-30T02:05:58"/>
    <n v="0"/>
    <n v="0"/>
  </r>
  <r>
    <n v="32"/>
    <x v="10"/>
    <d v="1899-12-30T20:36:17"/>
    <d v="1899-12-30T20:36:21"/>
    <d v="1899-12-30T22:11:35"/>
    <s v="1 hr 35 min 13s"/>
    <s v="gzo-xsdr-gbk"/>
    <x v="13"/>
    <d v="1899-12-30T01:35:18"/>
    <d v="1899-12-30T02:05:59"/>
    <n v="0"/>
    <n v="0"/>
  </r>
  <r>
    <n v="33"/>
    <x v="22"/>
    <d v="1899-12-30T20:36:17"/>
    <d v="1899-12-30T20:48:44"/>
    <d v="1899-12-30T22:11:35"/>
    <s v="1 hr 22 min 51s"/>
    <s v="gzo-xsdr-gbk"/>
    <x v="13"/>
    <d v="1899-12-30T01:35:18"/>
    <d v="1899-12-30T02:06:01"/>
    <n v="0"/>
    <n v="0"/>
  </r>
  <r>
    <n v="34"/>
    <x v="30"/>
    <d v="1899-12-30T20:36:17"/>
    <d v="1899-12-30T20:36:21"/>
    <d v="1899-12-30T22:11:35"/>
    <s v="1 hr 35 min 13s"/>
    <s v="gzo-xsdr-gbk"/>
    <x v="13"/>
    <d v="1899-12-30T01:35:18"/>
    <d v="1899-12-30T02:06:03"/>
    <n v="0"/>
    <n v="0"/>
  </r>
  <r>
    <n v="35"/>
    <x v="34"/>
    <d v="1899-12-30T20:36:17"/>
    <d v="1899-12-30T20:36:21"/>
    <d v="1899-12-30T22:11:35"/>
    <s v="1 hr 35 min 13s"/>
    <s v="gzo-xsdr-gbk"/>
    <x v="13"/>
    <d v="1899-12-30T01:35:18"/>
    <d v="1899-12-30T02:06:05"/>
    <n v="0"/>
    <n v="0"/>
  </r>
  <r>
    <n v="36"/>
    <x v="35"/>
    <d v="1899-12-30T20:36:17"/>
    <d v="1899-12-30T20:36:21"/>
    <d v="1899-12-30T22:11:35"/>
    <s v="1 hr 35 min 13s"/>
    <s v="gzo-xsdr-gbk"/>
    <x v="13"/>
    <d v="1899-12-30T01:35:18"/>
    <d v="1899-12-30T02:06:07"/>
    <n v="0"/>
    <n v="0"/>
  </r>
  <r>
    <n v="37"/>
    <x v="46"/>
    <d v="1899-12-30T20:36:17"/>
    <d v="1899-12-30T20:36:21"/>
    <d v="1899-12-30T22:11:35"/>
    <s v="1 hr 35 min 13s"/>
    <s v="gzo-xsdr-gbk"/>
    <x v="13"/>
    <d v="1899-12-30T01:35:18"/>
    <d v="1899-12-30T02:06:09"/>
    <n v="0"/>
    <n v="0"/>
  </r>
  <r>
    <n v="38"/>
    <x v="24"/>
    <d v="1899-12-30T20:36:17"/>
    <d v="1899-12-30T20:48:44"/>
    <d v="1899-12-30T22:11:35"/>
    <s v="1 hr 22 min 51s"/>
    <s v="gzo-xsdr-gbk"/>
    <x v="13"/>
    <d v="1899-12-30T01:35:18"/>
    <d v="1899-12-30T02:06:10"/>
    <n v="0"/>
    <n v="0"/>
  </r>
  <r>
    <n v="39"/>
    <x v="62"/>
    <d v="1899-12-30T20:36:17"/>
    <d v="1899-12-30T20:48:44"/>
    <d v="1899-12-30T22:11:35"/>
    <s v="1 hr 22 min 51s"/>
    <s v="gzo-xsdr-gbk"/>
    <x v="13"/>
    <d v="1899-12-30T01:35:18"/>
    <d v="1899-12-30T02:06:12"/>
    <n v="0"/>
    <n v="0"/>
  </r>
  <r>
    <n v="40"/>
    <x v="25"/>
    <d v="1899-12-30T20:36:17"/>
    <d v="1899-12-30T20:48:44"/>
    <d v="1899-12-30T22:11:35"/>
    <s v="1 hr 22 min 51s"/>
    <s v="gzo-xsdr-gbk"/>
    <x v="13"/>
    <d v="1899-12-30T01:35:18"/>
    <d v="1899-12-30T02:06:14"/>
    <n v="0"/>
    <n v="0"/>
  </r>
  <r>
    <n v="41"/>
    <x v="11"/>
    <d v="1899-12-30T20:36:17"/>
    <d v="1899-12-30T20:36:21"/>
    <d v="1899-12-30T22:11:35"/>
    <s v="1 hr 35 min 13s"/>
    <s v="gzo-xsdr-gbk"/>
    <x v="13"/>
    <d v="1899-12-30T01:35:18"/>
    <d v="1899-12-30T02:06:16"/>
    <n v="0"/>
    <n v="0"/>
  </r>
  <r>
    <n v="1"/>
    <x v="12"/>
    <d v="1899-12-30T20:40:28"/>
    <d v="1899-12-30T20:40:32"/>
    <d v="1899-12-30T22:52:05"/>
    <s v="1 hr 47 min 59s"/>
    <s v="nkc-hvzh-vkm"/>
    <x v="14"/>
    <d v="1899-12-30T02:11:37"/>
    <d v="1899-12-30T02:06:18"/>
    <n v="0"/>
    <n v="0"/>
  </r>
  <r>
    <n v="2"/>
    <x v="0"/>
    <d v="1899-12-30T20:40:28"/>
    <d v="1899-12-30T20:40:32"/>
    <d v="1899-12-30T22:52:05"/>
    <s v="2 hr 9 min 12s"/>
    <s v="nkc-hvzh-vkm"/>
    <x v="14"/>
    <d v="1899-12-30T02:11:37"/>
    <d v="1899-12-30T02:06:18"/>
    <n v="0"/>
    <n v="0"/>
  </r>
  <r>
    <n v="3"/>
    <x v="1"/>
    <d v="1899-12-30T20:40:28"/>
    <d v="1899-12-30T20:40:32"/>
    <d v="1899-12-30T22:52:05"/>
    <s v="2 hr 11 min 19s"/>
    <s v="nkc-hvzh-vkm"/>
    <x v="14"/>
    <d v="1899-12-30T02:11:37"/>
    <d v="1899-12-30T02:06:17"/>
    <n v="0"/>
    <n v="0"/>
  </r>
  <r>
    <n v="4"/>
    <x v="2"/>
    <d v="1899-12-30T20:40:28"/>
    <d v="1899-12-30T20:40:32"/>
    <d v="1899-12-30T22:52:05"/>
    <s v="2 hr 8 min 1s"/>
    <s v="nkc-hvzh-vkm"/>
    <x v="14"/>
    <d v="1899-12-30T02:11:37"/>
    <d v="1899-12-30T02:06:17"/>
    <n v="0"/>
    <n v="0"/>
  </r>
  <r>
    <n v="5"/>
    <x v="13"/>
    <d v="1899-12-30T20:40:28"/>
    <d v="1899-12-30T20:40:32"/>
    <d v="1899-12-30T22:52:05"/>
    <s v="1 hr 58 min 0s"/>
    <s v="nkc-hvzh-vkm"/>
    <x v="14"/>
    <d v="1899-12-30T02:11:37"/>
    <d v="1899-12-30T02:06:17"/>
    <n v="0"/>
    <n v="0"/>
  </r>
  <r>
    <n v="6"/>
    <x v="4"/>
    <d v="1899-12-30T20:40:28"/>
    <d v="1899-12-30T21:58:01"/>
    <d v="1899-12-30T22:52:05"/>
    <s v="41 min 29s"/>
    <s v="nkc-hvzh-vkm"/>
    <x v="14"/>
    <d v="1899-12-30T02:11:37"/>
    <d v="1899-12-30T02:06:16"/>
    <n v="0"/>
    <n v="0"/>
  </r>
  <r>
    <n v="7"/>
    <x v="31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8"/>
    <x v="27"/>
    <d v="1899-12-30T20:40:28"/>
    <d v="1899-12-30T20:40:32"/>
    <d v="1899-12-30T22:52:05"/>
    <s v="1 hr 17 min 28s"/>
    <s v="nkc-hvzh-vkm"/>
    <x v="14"/>
    <d v="1899-12-30T02:11:37"/>
    <d v="1899-12-30T02:06:16"/>
    <n v="0"/>
    <n v="0"/>
  </r>
  <r>
    <n v="9"/>
    <x v="37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0"/>
    <x v="49"/>
    <d v="1899-12-30T20:40:28"/>
    <d v="1899-12-30T20:40:32"/>
    <d v="1899-12-30T22:52:05"/>
    <s v="1 hr 26 min 9s"/>
    <s v="nkc-hvzh-vkm"/>
    <x v="14"/>
    <d v="1899-12-30T02:11:37"/>
    <d v="1899-12-30T02:06:15"/>
    <n v="0"/>
    <n v="0"/>
  </r>
  <r>
    <n v="11"/>
    <x v="14"/>
    <d v="1899-12-30T20:40:28"/>
    <d v="1899-12-30T20:40:32"/>
    <d v="1899-12-30T22:52:05"/>
    <s v="1 hr 17 min 28s"/>
    <s v="nkc-hvzh-vkm"/>
    <x v="14"/>
    <d v="1899-12-30T02:11:37"/>
    <d v="1899-12-30T02:06:15"/>
    <n v="0"/>
    <n v="0"/>
  </r>
  <r>
    <n v="12"/>
    <x v="15"/>
    <d v="1899-12-30T20:40:28"/>
    <d v="1899-12-30T20:40:32"/>
    <d v="1899-12-30T22:52:05"/>
    <s v="2 hr 8 min 1s"/>
    <s v="nkc-hvzh-vkm"/>
    <x v="14"/>
    <d v="1899-12-30T02:11:37"/>
    <d v="1899-12-30T02:06:14"/>
    <n v="0"/>
    <n v="0"/>
  </r>
  <r>
    <n v="13"/>
    <x v="5"/>
    <d v="1899-12-30T20:40:28"/>
    <d v="1899-12-30T20:40:32"/>
    <d v="1899-12-30T22:52:05"/>
    <s v="2 hr 11 min 33s"/>
    <s v="nkc-hvzh-vkm"/>
    <x v="14"/>
    <d v="1899-12-30T02:11:37"/>
    <d v="1899-12-30T02:06:14"/>
    <n v="0"/>
    <n v="0"/>
  </r>
  <r>
    <n v="14"/>
    <x v="51"/>
    <d v="1899-12-30T20:40:28"/>
    <d v="1899-12-30T20:40:32"/>
    <d v="1899-12-30T22:52:05"/>
    <s v="2 hr 7 min 36s"/>
    <s v="nkc-hvzh-vkm"/>
    <x v="14"/>
    <d v="1899-12-30T02:11:37"/>
    <d v="1899-12-30T02:06:14"/>
    <n v="0"/>
    <n v="0"/>
  </r>
  <r>
    <n v="15"/>
    <x v="6"/>
    <d v="1899-12-30T20:40:28"/>
    <d v="1899-12-30T20:40:32"/>
    <d v="1899-12-30T22:52:05"/>
    <s v="2 hr 7 min 50s"/>
    <s v="nkc-hvzh-vkm"/>
    <x v="14"/>
    <d v="1899-12-30T02:11:37"/>
    <d v="1899-12-30T02:06:13"/>
    <n v="0"/>
    <n v="0"/>
  </r>
  <r>
    <n v="16"/>
    <x v="17"/>
    <d v="1899-12-30T20:40:28"/>
    <d v="1899-12-30T20:40:32"/>
    <d v="1899-12-30T22:52:05"/>
    <s v="2 hr 8 min 45s"/>
    <s v="nkc-hvzh-vkm"/>
    <x v="14"/>
    <d v="1899-12-30T02:11:37"/>
    <d v="1899-12-30T02:06:13"/>
    <n v="0"/>
    <n v="0"/>
  </r>
  <r>
    <n v="17"/>
    <x v="28"/>
    <d v="1899-12-30T20:40:28"/>
    <d v="1899-12-30T20:40:32"/>
    <d v="1899-12-30T22:52:05"/>
    <s v="1 hr 17 min 28s"/>
    <s v="nkc-hvzh-vkm"/>
    <x v="14"/>
    <d v="1899-12-30T02:11:37"/>
    <d v="1899-12-30T02:06:13"/>
    <n v="0"/>
    <n v="0"/>
  </r>
  <r>
    <n v="18"/>
    <x v="7"/>
    <d v="1899-12-30T20:40:28"/>
    <d v="1899-12-30T20:40:32"/>
    <d v="1899-12-30T22:52:05"/>
    <s v="2 hr 11 min 33s"/>
    <s v="nkc-hvzh-vkm"/>
    <x v="14"/>
    <d v="1899-12-30T02:11:37"/>
    <d v="1899-12-30T02:06:12"/>
    <n v="0"/>
    <n v="0"/>
  </r>
  <r>
    <n v="19"/>
    <x v="19"/>
    <d v="1899-12-30T20:40:28"/>
    <d v="1899-12-30T20:40:32"/>
    <d v="1899-12-30T22:52:05"/>
    <s v="1 hr 58 min 25s"/>
    <s v="nkc-hvzh-vkm"/>
    <x v="14"/>
    <d v="1899-12-30T02:11:37"/>
    <d v="1899-12-30T02:06:12"/>
    <n v="0"/>
    <n v="0"/>
  </r>
  <r>
    <n v="20"/>
    <x v="38"/>
    <d v="1899-12-30T20:40:28"/>
    <d v="1899-12-30T21:58:01"/>
    <d v="1899-12-30T22:52:05"/>
    <s v="54 min 5s"/>
    <s v="nkc-hvzh-vkm"/>
    <x v="14"/>
    <d v="1899-12-30T02:11:37"/>
    <d v="1899-12-30T02:06:12"/>
    <n v="0"/>
    <n v="0"/>
  </r>
  <r>
    <n v="21"/>
    <x v="48"/>
    <d v="1899-12-30T20:40:28"/>
    <d v="1899-12-30T20:40:32"/>
    <d v="1899-12-30T22:52:05"/>
    <s v="1 hr 17 min 28s"/>
    <s v="nkc-hvzh-vkm"/>
    <x v="14"/>
    <d v="1899-12-30T02:11:37"/>
    <d v="1899-12-30T02:06:11"/>
    <n v="0"/>
    <n v="0"/>
  </r>
  <r>
    <n v="22"/>
    <x v="8"/>
    <d v="1899-12-30T20:40:28"/>
    <d v="1899-12-30T20:40:32"/>
    <d v="1899-12-30T22:52:05"/>
    <s v="2 hr 11 min 33s"/>
    <s v="nkc-hvzh-vkm"/>
    <x v="14"/>
    <d v="1899-12-30T02:11:37"/>
    <d v="1899-12-30T02:06:11"/>
    <n v="0"/>
    <n v="0"/>
  </r>
  <r>
    <n v="23"/>
    <x v="20"/>
    <d v="1899-12-30T20:40:28"/>
    <d v="1899-12-30T21:58:01"/>
    <d v="1899-12-30T22:52:05"/>
    <s v="54 min 5s"/>
    <s v="nkc-hvzh-vkm"/>
    <x v="14"/>
    <d v="1899-12-30T02:11:37"/>
    <d v="1899-12-30T02:06:11"/>
    <n v="0"/>
    <n v="0"/>
  </r>
  <r>
    <n v="24"/>
    <x v="9"/>
    <d v="1899-12-30T20:40:28"/>
    <d v="1899-12-30T20:40:32"/>
    <d v="1899-12-30T22:52:05"/>
    <s v="2 hr 10 min 57s"/>
    <s v="nkc-hvzh-vkm"/>
    <x v="14"/>
    <d v="1899-12-30T02:11:37"/>
    <d v="1899-12-30T02:06:10"/>
    <n v="0"/>
    <n v="0"/>
  </r>
  <r>
    <n v="25"/>
    <x v="10"/>
    <d v="1899-12-30T20:40:28"/>
    <d v="1899-12-30T20:40:32"/>
    <d v="1899-12-30T22:52:05"/>
    <s v="2 hr 7 min 11s"/>
    <s v="nkc-hvzh-vkm"/>
    <x v="14"/>
    <d v="1899-12-30T02:11:37"/>
    <d v="1899-12-30T02:06:10"/>
    <n v="0"/>
    <n v="0"/>
  </r>
  <r>
    <n v="26"/>
    <x v="52"/>
    <d v="1899-12-30T20:40:28"/>
    <d v="1899-12-30T21:58:01"/>
    <d v="1899-12-30T22:52:05"/>
    <s v="3 min 52s"/>
    <s v="nkc-hvzh-vkm"/>
    <x v="14"/>
    <d v="1899-12-30T02:11:37"/>
    <d v="1899-12-30T02:06:10"/>
    <n v="0"/>
    <n v="0"/>
  </r>
  <r>
    <n v="27"/>
    <x v="22"/>
    <d v="1899-12-30T20:40:28"/>
    <d v="1899-12-30T20:40:32"/>
    <d v="1899-12-30T22:52:05"/>
    <s v="1 hr 17 min 28s"/>
    <s v="nkc-hvzh-vkm"/>
    <x v="14"/>
    <d v="1899-12-30T02:11:37"/>
    <d v="1899-12-30T02:06:09"/>
    <n v="0"/>
    <n v="0"/>
  </r>
  <r>
    <n v="28"/>
    <x v="30"/>
    <d v="1899-12-30T20:40:28"/>
    <d v="1899-12-30T20:40:32"/>
    <d v="1899-12-30T22:52:05"/>
    <s v="2 hr 9 min 19s"/>
    <s v="nkc-hvzh-vkm"/>
    <x v="14"/>
    <d v="1899-12-30T02:11:37"/>
    <d v="1899-12-30T02:06:09"/>
    <n v="0"/>
    <n v="0"/>
  </r>
  <r>
    <n v="29"/>
    <x v="23"/>
    <d v="1899-12-30T20:40:28"/>
    <d v="1899-12-30T21:58:01"/>
    <d v="1899-12-30T22:52:05"/>
    <s v="50 min 34s"/>
    <s v="nkc-hvzh-vkm"/>
    <x v="14"/>
    <d v="1899-12-30T02:11:37"/>
    <d v="1899-12-30T02:06:09"/>
    <n v="0"/>
    <n v="0"/>
  </r>
  <r>
    <n v="30"/>
    <x v="34"/>
    <d v="1899-12-30T20:40:28"/>
    <d v="1899-12-30T20:40:32"/>
    <d v="1899-12-30T22:52:05"/>
    <s v="1 hr 45 min 48s"/>
    <s v="nkc-hvzh-vkm"/>
    <x v="14"/>
    <d v="1899-12-30T02:11:37"/>
    <d v="1899-12-30T02:06:08"/>
    <n v="0"/>
    <n v="0"/>
  </r>
  <r>
    <n v="31"/>
    <x v="35"/>
    <d v="1899-12-30T20:40:28"/>
    <d v="1899-12-30T20:40:32"/>
    <d v="1899-12-30T22:52:05"/>
    <s v="2 hr 1 min 52s"/>
    <s v="nkc-hvzh-vkm"/>
    <x v="14"/>
    <d v="1899-12-30T02:11:37"/>
    <d v="1899-12-30T02:06:08"/>
    <n v="0"/>
    <n v="0"/>
  </r>
  <r>
    <n v="32"/>
    <x v="46"/>
    <d v="1899-12-30T20:40:28"/>
    <d v="1899-12-30T20:40:32"/>
    <d v="1899-12-30T22:52:05"/>
    <s v="2 hr 11 min 33s"/>
    <s v="nkc-hvzh-vkm"/>
    <x v="14"/>
    <d v="1899-12-30T02:11:37"/>
    <d v="1899-12-30T02:06:08"/>
    <n v="0"/>
    <n v="0"/>
  </r>
  <r>
    <n v="33"/>
    <x v="24"/>
    <d v="1899-12-30T20:40:28"/>
    <d v="1899-12-30T20:40:32"/>
    <d v="1899-12-30T22:52:05"/>
    <s v="2 hr 10 min 45s"/>
    <s v="nkc-hvzh-vkm"/>
    <x v="14"/>
    <d v="1899-12-30T02:11:37"/>
    <d v="1899-12-30T02:06:07"/>
    <n v="0"/>
    <n v="0"/>
  </r>
  <r>
    <n v="1"/>
    <x v="0"/>
    <d v="1899-12-30T20:36:07"/>
    <d v="1899-12-30T20:36:11"/>
    <d v="1899-12-30T22:25:37"/>
    <s v="1 hr 43 min 31s"/>
    <s v="bcx-rdnv-qnb"/>
    <x v="15"/>
    <d v="1899-12-30T01:49:30"/>
    <d v="1899-12-30T02:06:07"/>
    <n v="0"/>
    <n v="0"/>
  </r>
  <r>
    <n v="2"/>
    <x v="1"/>
    <d v="1899-12-30T20:36:07"/>
    <d v="1899-12-30T20:36:11"/>
    <d v="1899-12-30T22:25:37"/>
    <s v="1 hr 49 min 24s"/>
    <s v="bcx-rdnv-qnb"/>
    <x v="15"/>
    <d v="1899-12-30T01:49:30"/>
    <d v="1899-12-30T02:06:08"/>
    <n v="0"/>
    <n v="0"/>
  </r>
  <r>
    <n v="3"/>
    <x v="2"/>
    <d v="1899-12-30T20:36:07"/>
    <d v="1899-12-30T20:36:11"/>
    <d v="1899-12-30T22:25:37"/>
    <s v="1 hr 47 min 6s"/>
    <s v="bcx-rdnv-qnb"/>
    <x v="15"/>
    <d v="1899-12-30T01:49:30"/>
    <d v="1899-12-30T02:06:09"/>
    <n v="0"/>
    <n v="0"/>
  </r>
  <r>
    <n v="4"/>
    <x v="65"/>
    <d v="1899-12-30T20:36:07"/>
    <d v="1899-12-30T20:36:11"/>
    <d v="1899-12-30T22:25:37"/>
    <s v="1 hr 28 min 52s"/>
    <s v="bcx-rdnv-qnb"/>
    <x v="15"/>
    <d v="1899-12-30T01:49:30"/>
    <d v="1899-12-30T02:06:10"/>
    <n v="0"/>
    <n v="0"/>
  </r>
  <r>
    <n v="5"/>
    <x v="13"/>
    <d v="1899-12-30T20:36:07"/>
    <d v="1899-12-30T20:36:11"/>
    <d v="1899-12-30T22:25:37"/>
    <s v="1 hr 46 min 16s"/>
    <s v="bcx-rdnv-qnb"/>
    <x v="15"/>
    <d v="1899-12-30T01:49:30"/>
    <d v="1899-12-30T02:06:11"/>
    <n v="0"/>
    <n v="0"/>
  </r>
  <r>
    <n v="6"/>
    <x v="31"/>
    <d v="1899-12-30T20:36:07"/>
    <d v="1899-12-30T20:36:11"/>
    <d v="1899-12-30T22:25:37"/>
    <s v="1 hr 5 min 3s"/>
    <s v="bcx-rdnv-qnb"/>
    <x v="15"/>
    <d v="1899-12-30T01:49:30"/>
    <d v="1899-12-30T02:06:12"/>
    <n v="0"/>
    <n v="0"/>
  </r>
  <r>
    <n v="7"/>
    <x v="37"/>
    <d v="1899-12-30T20:36:07"/>
    <d v="1899-12-30T20:36:11"/>
    <d v="1899-12-30T22:25:37"/>
    <s v="1 hr 5 min 3s"/>
    <s v="bcx-rdnv-qnb"/>
    <x v="15"/>
    <d v="1899-12-30T01:49:30"/>
    <d v="1899-12-30T02:06:13"/>
    <n v="0"/>
    <n v="0"/>
  </r>
  <r>
    <n v="8"/>
    <x v="49"/>
    <d v="1899-12-30T20:36:07"/>
    <d v="1899-12-30T20:37:22"/>
    <d v="1899-12-30T22:25:37"/>
    <s v="1 hr 27 min 40s"/>
    <s v="bcx-rdnv-qnb"/>
    <x v="15"/>
    <d v="1899-12-30T01:49:30"/>
    <d v="1899-12-30T02:06:14"/>
    <n v="0"/>
    <n v="0"/>
  </r>
  <r>
    <n v="9"/>
    <x v="14"/>
    <d v="1899-12-30T20:36:07"/>
    <d v="1899-12-30T21:41:16"/>
    <d v="1899-12-30T22:25:37"/>
    <s v="23 min 49s"/>
    <s v="bcx-rdnv-qnb"/>
    <x v="15"/>
    <d v="1899-12-30T01:49:30"/>
    <d v="1899-12-30T02:06:15"/>
    <n v="0"/>
    <n v="0"/>
  </r>
  <r>
    <n v="10"/>
    <x v="56"/>
    <d v="1899-12-30T20:36:07"/>
    <d v="1899-12-30T21:41:16"/>
    <d v="1899-12-30T22:25:37"/>
    <s v="23 min 49s"/>
    <s v="bcx-rdnv-qnb"/>
    <x v="15"/>
    <d v="1899-12-30T01:49:30"/>
    <d v="1899-12-30T02:06:16"/>
    <n v="0"/>
    <n v="0"/>
  </r>
  <r>
    <n v="11"/>
    <x v="15"/>
    <d v="1899-12-30T20:36:07"/>
    <d v="1899-12-30T20:36:11"/>
    <d v="1899-12-30T22:25:37"/>
    <s v="1 hr 42 min 40s"/>
    <s v="bcx-rdnv-qnb"/>
    <x v="15"/>
    <d v="1899-12-30T01:49:30"/>
    <d v="1899-12-30T02:06:17"/>
    <n v="0"/>
    <n v="0"/>
  </r>
  <r>
    <n v="12"/>
    <x v="5"/>
    <d v="1899-12-30T20:36:07"/>
    <d v="1899-12-30T20:36:11"/>
    <d v="1899-12-30T22:25:37"/>
    <s v="1 hr 49 min 24s"/>
    <s v="bcx-rdnv-qnb"/>
    <x v="15"/>
    <d v="1899-12-30T01:49:30"/>
    <d v="1899-12-30T02:06:18"/>
    <n v="0"/>
    <n v="0"/>
  </r>
  <r>
    <n v="13"/>
    <x v="51"/>
    <d v="1899-12-30T20:36:07"/>
    <d v="1899-12-30T20:36:11"/>
    <d v="1899-12-30T22:25:37"/>
    <s v="1 hr 5 min 3s"/>
    <s v="bcx-rdnv-qnb"/>
    <x v="15"/>
    <d v="1899-12-30T01:49:30"/>
    <d v="1899-12-30T02:06:20"/>
    <n v="0"/>
    <n v="0"/>
  </r>
  <r>
    <n v="14"/>
    <x v="42"/>
    <d v="1899-12-30T20:36:07"/>
    <d v="1899-12-30T20:36:11"/>
    <d v="1899-12-30T22:25:37"/>
    <s v="1 hr 10 min 4s"/>
    <s v="bcx-rdnv-qnb"/>
    <x v="15"/>
    <d v="1899-12-30T01:49:30"/>
    <d v="1899-12-30T02:06:21"/>
    <n v="0"/>
    <n v="0"/>
  </r>
  <r>
    <n v="15"/>
    <x v="6"/>
    <d v="1899-12-30T20:36:07"/>
    <d v="1899-12-30T20:36:11"/>
    <d v="1899-12-30T22:25:37"/>
    <s v="1 hr 45 min 43s"/>
    <s v="bcx-rdnv-qnb"/>
    <x v="15"/>
    <d v="1899-12-30T01:49:30"/>
    <d v="1899-12-30T02:06:22"/>
    <n v="0"/>
    <n v="0"/>
  </r>
  <r>
    <n v="16"/>
    <x v="17"/>
    <d v="1899-12-30T20:36:07"/>
    <d v="1899-12-30T20:36:11"/>
    <d v="1899-12-30T22:25:37"/>
    <s v="1 hr 49 min 24s"/>
    <s v="bcx-rdnv-qnb"/>
    <x v="15"/>
    <d v="1899-12-30T01:49:30"/>
    <d v="1899-12-30T02:06:23"/>
    <n v="0"/>
    <n v="0"/>
  </r>
  <r>
    <n v="17"/>
    <x v="63"/>
    <d v="1899-12-30T20:36:07"/>
    <d v="1899-12-30T20:36:11"/>
    <d v="1899-12-30T22:25:37"/>
    <s v="1 hr 32 min 40s"/>
    <s v="bcx-rdnv-qnb"/>
    <x v="15"/>
    <d v="1899-12-30T01:49:30"/>
    <d v="1899-12-30T02:06:24"/>
    <n v="0"/>
    <n v="0"/>
  </r>
  <r>
    <n v="18"/>
    <x v="28"/>
    <d v="1899-12-30T20:36:07"/>
    <d v="1899-12-30T21:41:16"/>
    <d v="1899-12-30T22:25:37"/>
    <s v="23 min 49s"/>
    <s v="bcx-rdnv-qnb"/>
    <x v="15"/>
    <d v="1899-12-30T01:49:30"/>
    <d v="1899-12-30T02:06:25"/>
    <n v="0"/>
    <n v="0"/>
  </r>
  <r>
    <n v="19"/>
    <x v="7"/>
    <d v="1899-12-30T20:36:07"/>
    <d v="1899-12-30T20:36:11"/>
    <d v="1899-12-30T22:25:37"/>
    <s v="1 hr 45 min 25s"/>
    <s v="bcx-rdnv-qnb"/>
    <x v="15"/>
    <d v="1899-12-30T01:49:30"/>
    <d v="1899-12-30T02:06:26"/>
    <n v="0"/>
    <n v="0"/>
  </r>
  <r>
    <n v="20"/>
    <x v="18"/>
    <d v="1899-12-30T20:36:07"/>
    <d v="1899-12-30T20:36:42"/>
    <d v="1899-12-30T22:25:37"/>
    <s v="1 hr 4 min 31s"/>
    <s v="bcx-rdnv-qnb"/>
    <x v="15"/>
    <d v="1899-12-30T01:49:30"/>
    <d v="1899-12-30T02:06:27"/>
    <n v="0"/>
    <n v="0"/>
  </r>
  <r>
    <n v="21"/>
    <x v="19"/>
    <d v="1899-12-30T20:36:07"/>
    <d v="1899-12-30T20:36:11"/>
    <d v="1899-12-30T22:25:37"/>
    <s v="1 hr 28 min 45s"/>
    <s v="bcx-rdnv-qnb"/>
    <x v="15"/>
    <d v="1899-12-30T01:49:30"/>
    <d v="1899-12-30T02:06:28"/>
    <n v="0"/>
    <n v="0"/>
  </r>
  <r>
    <n v="22"/>
    <x v="48"/>
    <d v="1899-12-30T20:36:07"/>
    <d v="1899-12-30T20:36:11"/>
    <d v="1899-12-30T22:25:37"/>
    <s v="1 hr 5 min 3s"/>
    <s v="bcx-rdnv-qnb"/>
    <x v="15"/>
    <d v="1899-12-30T01:49:30"/>
    <d v="1899-12-30T02:06:29"/>
    <n v="0"/>
    <n v="0"/>
  </r>
  <r>
    <n v="23"/>
    <x v="59"/>
    <d v="1899-12-30T20:36:07"/>
    <d v="1899-12-30T20:36:11"/>
    <d v="1899-12-30T22:25:37"/>
    <s v="1 hr 8 min 25s"/>
    <s v="bcx-rdnv-qnb"/>
    <x v="15"/>
    <d v="1899-12-30T01:49:30"/>
    <d v="1899-12-30T02:06:30"/>
    <n v="0"/>
    <n v="0"/>
  </r>
  <r>
    <n v="24"/>
    <x v="8"/>
    <d v="1899-12-30T20:36:07"/>
    <d v="1899-12-30T20:37:10"/>
    <d v="1899-12-30T22:25:37"/>
    <s v="1 hr 48 min 24s"/>
    <s v="bcx-rdnv-qnb"/>
    <x v="15"/>
    <d v="1899-12-30T01:49:30"/>
    <d v="1899-12-30T02:06:31"/>
    <n v="0"/>
    <n v="0"/>
  </r>
  <r>
    <n v="25"/>
    <x v="29"/>
    <d v="1899-12-30T20:36:07"/>
    <d v="1899-12-30T21:41:16"/>
    <d v="1899-12-30T22:25:37"/>
    <s v="33 min 13s"/>
    <s v="bcx-rdnv-qnb"/>
    <x v="15"/>
    <d v="1899-12-30T01:49:30"/>
    <d v="1899-12-30T02:06:32"/>
    <n v="0"/>
    <n v="0"/>
  </r>
  <r>
    <n v="26"/>
    <x v="20"/>
    <d v="1899-12-30T20:36:07"/>
    <d v="1899-12-30T20:36:57"/>
    <d v="1899-12-30T22:25:37"/>
    <s v="1 hr 48 min 37s"/>
    <s v="bcx-rdnv-qnb"/>
    <x v="15"/>
    <d v="1899-12-30T01:49:30"/>
    <d v="1899-12-30T02:06:33"/>
    <n v="0"/>
    <n v="0"/>
  </r>
  <r>
    <n v="27"/>
    <x v="9"/>
    <d v="1899-12-30T20:36:07"/>
    <d v="1899-12-30T20:36:11"/>
    <d v="1899-12-30T22:25:37"/>
    <s v="1 hr 49 min 24s"/>
    <s v="bcx-rdnv-qnb"/>
    <x v="15"/>
    <d v="1899-12-30T01:49:30"/>
    <d v="1899-12-30T02:06:34"/>
    <n v="0"/>
    <n v="0"/>
  </r>
  <r>
    <n v="28"/>
    <x v="53"/>
    <d v="1899-12-30T20:36:07"/>
    <d v="1899-12-30T21:41:16"/>
    <d v="1899-12-30T22:25:37"/>
    <s v="23 min 49s"/>
    <s v="bcx-rdnv-qnb"/>
    <x v="15"/>
    <d v="1899-12-30T01:49:30"/>
    <d v="1899-12-30T02:06:36"/>
    <n v="0"/>
    <n v="0"/>
  </r>
  <r>
    <n v="29"/>
    <x v="10"/>
    <d v="1899-12-30T20:36:07"/>
    <d v="1899-12-30T21:41:16"/>
    <d v="1899-12-30T22:25:37"/>
    <s v="44 min 18s"/>
    <s v="bcx-rdnv-qnb"/>
    <x v="15"/>
    <d v="1899-12-30T01:49:30"/>
    <d v="1899-12-30T02:06:37"/>
    <n v="0"/>
    <n v="0"/>
  </r>
  <r>
    <n v="30"/>
    <x v="22"/>
    <d v="1899-12-30T20:36:07"/>
    <d v="1899-12-30T21:41:16"/>
    <d v="1899-12-30T22:25:37"/>
    <s v="30 min 35s"/>
    <s v="bcx-rdnv-qnb"/>
    <x v="15"/>
    <d v="1899-12-30T01:49:30"/>
    <d v="1899-12-30T02:06:38"/>
    <n v="0"/>
    <n v="0"/>
  </r>
  <r>
    <n v="31"/>
    <x v="30"/>
    <d v="1899-12-30T20:36:07"/>
    <d v="1899-12-30T20:36:11"/>
    <d v="1899-12-30T22:25:37"/>
    <s v="1 hr 42 min 40s"/>
    <s v="bcx-rdnv-qnb"/>
    <x v="15"/>
    <d v="1899-12-30T01:49:30"/>
    <d v="1899-12-30T02:06:39"/>
    <n v="0"/>
    <n v="0"/>
  </r>
  <r>
    <n v="32"/>
    <x v="66"/>
    <d v="1899-12-30T20:36:07"/>
    <d v="1899-12-30T21:41:16"/>
    <d v="1899-12-30T22:25:37"/>
    <s v="44 min 14s"/>
    <s v="bcx-rdnv-qnb"/>
    <x v="15"/>
    <d v="1899-12-30T01:49:30"/>
    <d v="1899-12-30T02:06:40"/>
    <n v="0"/>
    <n v="0"/>
  </r>
  <r>
    <n v="33"/>
    <x v="34"/>
    <d v="1899-12-30T20:36:07"/>
    <d v="1899-12-30T20:36:11"/>
    <d v="1899-12-30T22:25:37"/>
    <s v="1 hr 49 min 17s"/>
    <s v="bcx-rdnv-qnb"/>
    <x v="15"/>
    <d v="1899-12-30T01:49:30"/>
    <d v="1899-12-30T02:06:41"/>
    <n v="0"/>
    <n v="0"/>
  </r>
  <r>
    <n v="34"/>
    <x v="61"/>
    <d v="1899-12-30T20:36:07"/>
    <d v="1899-12-30T20:36:11"/>
    <d v="1899-12-30T22:25:37"/>
    <s v="1 hr 36 min 30s"/>
    <s v="bcx-rdnv-qnb"/>
    <x v="15"/>
    <d v="1899-12-30T01:49:30"/>
    <d v="1899-12-30T02:06:42"/>
    <n v="0"/>
    <n v="0"/>
  </r>
  <r>
    <n v="35"/>
    <x v="35"/>
    <d v="1899-12-30T20:36:07"/>
    <d v="1899-12-30T20:36:11"/>
    <d v="1899-12-30T22:25:37"/>
    <s v="1 hr 49 min 19s"/>
    <s v="bcx-rdnv-qnb"/>
    <x v="15"/>
    <d v="1899-12-30T01:49:30"/>
    <d v="1899-12-30T02:06:43"/>
    <n v="0"/>
    <n v="0"/>
  </r>
  <r>
    <n v="36"/>
    <x v="46"/>
    <d v="1899-12-30T20:36:07"/>
    <d v="1899-12-30T20:36:11"/>
    <d v="1899-12-30T22:25:37"/>
    <s v="1 hr 28 min 52s"/>
    <s v="bcx-rdnv-qnb"/>
    <x v="15"/>
    <d v="1899-12-30T01:49:30"/>
    <d v="1899-12-30T02:06:44"/>
    <n v="0"/>
    <n v="0"/>
  </r>
  <r>
    <n v="37"/>
    <x v="24"/>
    <d v="1899-12-30T20:36:07"/>
    <d v="1899-12-30T21:41:16"/>
    <d v="1899-12-30T22:25:37"/>
    <s v="37 min 37s"/>
    <s v="bcx-rdnv-qnb"/>
    <x v="15"/>
    <d v="1899-12-30T01:49:30"/>
    <d v="1899-12-30T02:06:45"/>
    <n v="0"/>
    <n v="0"/>
  </r>
  <r>
    <n v="38"/>
    <x v="67"/>
    <d v="1899-12-30T20:36:07"/>
    <d v="1899-12-30T20:36:11"/>
    <d v="1899-12-30T22:25:37"/>
    <s v="1 hr 28 min 52s"/>
    <s v="bcx-rdnv-qnb"/>
    <x v="15"/>
    <d v="1899-12-30T01:49:30"/>
    <d v="1899-12-30T02:06:47"/>
    <n v="0"/>
    <n v="0"/>
  </r>
  <r>
    <n v="1"/>
    <x v="0"/>
    <d v="1899-12-30T20:36:28"/>
    <d v="1899-12-30T20:36:31"/>
    <d v="1899-12-30T22:36:09"/>
    <s v="1 hr 38 min 37s"/>
    <s v="evq-epfh-ove"/>
    <x v="16"/>
    <d v="1899-12-30T01:59:41"/>
    <d v="1899-12-30T02:06:48"/>
    <n v="0"/>
    <n v="0"/>
  </r>
  <r>
    <n v="2"/>
    <x v="1"/>
    <d v="1899-12-30T20:36:28"/>
    <d v="1899-12-30T20:46:06"/>
    <d v="1899-12-30T22:36:09"/>
    <s v="6 min 43s"/>
    <s v="evq-epfh-ove"/>
    <x v="16"/>
    <d v="1899-12-30T01:59:41"/>
    <d v="1899-12-30T02:06:48"/>
    <n v="0"/>
    <n v="0"/>
  </r>
  <r>
    <n v="3"/>
    <x v="2"/>
    <d v="1899-12-30T20:36:28"/>
    <d v="1899-12-30T20:36:31"/>
    <d v="1899-12-30T22:36:09"/>
    <s v="1 hr 58 min 36s"/>
    <s v="evq-epfh-ove"/>
    <x v="16"/>
    <d v="1899-12-30T01:59:41"/>
    <d v="1899-12-30T02:06:49"/>
    <n v="0"/>
    <n v="0"/>
  </r>
  <r>
    <n v="4"/>
    <x v="4"/>
    <d v="1899-12-30T20:36:28"/>
    <d v="1899-12-30T20:46:06"/>
    <d v="1899-12-30T22:36:09"/>
    <s v="1 hr 11 min 48s"/>
    <s v="evq-epfh-ove"/>
    <x v="16"/>
    <d v="1899-12-30T01:59:41"/>
    <d v="1899-12-30T02:06:49"/>
    <n v="0"/>
    <n v="0"/>
  </r>
  <r>
    <n v="5"/>
    <x v="31"/>
    <d v="1899-12-30T20:36:28"/>
    <d v="1899-12-30T20:36:31"/>
    <d v="1899-12-30T22:36:09"/>
    <s v="1 hr 1 min 7s"/>
    <s v="evq-epfh-ove"/>
    <x v="16"/>
    <d v="1899-12-30T01:59:41"/>
    <d v="1899-12-30T02:06:50"/>
    <n v="0"/>
    <n v="0"/>
  </r>
  <r>
    <n v="6"/>
    <x v="27"/>
    <d v="1899-12-30T20:36:28"/>
    <d v="1899-12-30T20:36:31"/>
    <d v="1899-12-30T22:36:09"/>
    <s v="26 min 14s"/>
    <s v="evq-epfh-ove"/>
    <x v="16"/>
    <d v="1899-12-30T01:59:41"/>
    <d v="1899-12-30T02:06:50"/>
    <n v="0"/>
    <n v="0"/>
  </r>
  <r>
    <n v="7"/>
    <x v="37"/>
    <d v="1899-12-30T20:36:28"/>
    <d v="1899-12-30T20:46:06"/>
    <d v="1899-12-30T22:36:09"/>
    <s v="1 hr 7 min 1s"/>
    <s v="evq-epfh-ove"/>
    <x v="16"/>
    <d v="1899-12-30T01:59:41"/>
    <d v="1899-12-30T02:06:50"/>
    <n v="0"/>
    <n v="0"/>
  </r>
  <r>
    <n v="8"/>
    <x v="49"/>
    <d v="1899-12-30T20:36:28"/>
    <d v="1899-12-30T20:36:31"/>
    <d v="1899-12-30T22:36:09"/>
    <s v="40 min 28s"/>
    <s v="evq-epfh-ove"/>
    <x v="16"/>
    <d v="1899-12-30T01:59:41"/>
    <d v="1899-12-30T02:06:51"/>
    <n v="0"/>
    <n v="0"/>
  </r>
  <r>
    <n v="9"/>
    <x v="14"/>
    <d v="1899-12-30T20:36:28"/>
    <d v="1899-12-30T20:36:31"/>
    <d v="1899-12-30T22:36:09"/>
    <s v="1 hr 58 min 14s"/>
    <s v="evq-epfh-ove"/>
    <x v="16"/>
    <d v="1899-12-30T01:59:41"/>
    <d v="1899-12-30T02:06:51"/>
    <n v="0"/>
    <n v="0"/>
  </r>
  <r>
    <n v="10"/>
    <x v="56"/>
    <d v="1899-12-30T20:36:28"/>
    <d v="1899-12-30T20:36:31"/>
    <d v="1899-12-30T22:36:09"/>
    <s v="18 min 13s"/>
    <s v="evq-epfh-ove"/>
    <x v="16"/>
    <d v="1899-12-30T01:59:41"/>
    <d v="1899-12-30T02:06:52"/>
    <n v="0"/>
    <n v="0"/>
  </r>
  <r>
    <n v="11"/>
    <x v="5"/>
    <d v="1899-12-30T20:36:28"/>
    <d v="1899-12-30T20:36:31"/>
    <d v="1899-12-30T22:36:09"/>
    <s v="1 hr 59 min 36s"/>
    <s v="evq-epfh-ove"/>
    <x v="16"/>
    <d v="1899-12-30T01:59:41"/>
    <d v="1899-12-30T02:06:52"/>
    <n v="0"/>
    <n v="0"/>
  </r>
  <r>
    <n v="12"/>
    <x v="50"/>
    <d v="1899-12-30T20:36:28"/>
    <d v="1899-12-30T20:36:31"/>
    <d v="1899-12-30T22:36:09"/>
    <s v="1 hr 14 min 20s"/>
    <s v="evq-epfh-ove"/>
    <x v="16"/>
    <d v="1899-12-30T01:59:41"/>
    <d v="1899-12-30T02:06:53"/>
    <n v="0"/>
    <n v="0"/>
  </r>
  <r>
    <n v="13"/>
    <x v="51"/>
    <d v="1899-12-30T20:36:28"/>
    <d v="1899-12-30T20:36:42"/>
    <d v="1899-12-30T22:36:09"/>
    <s v="1 hr 4 min 31s"/>
    <s v="evq-epfh-ove"/>
    <x v="16"/>
    <d v="1899-12-30T01:59:41"/>
    <d v="1899-12-30T02:06:53"/>
    <n v="0"/>
    <n v="0"/>
  </r>
  <r>
    <n v="14"/>
    <x v="68"/>
    <d v="1899-12-30T20:36:28"/>
    <d v="1899-12-30T20:46:06"/>
    <d v="1899-12-30T22:36:09"/>
    <s v="1 hr 50 min 2s"/>
    <s v="evq-epfh-ove"/>
    <x v="16"/>
    <d v="1899-12-30T01:59:41"/>
    <d v="1899-12-30T02:06:54"/>
    <n v="0"/>
    <n v="0"/>
  </r>
  <r>
    <n v="15"/>
    <x v="6"/>
    <d v="1899-12-30T20:36:28"/>
    <d v="1899-12-30T20:36:31"/>
    <d v="1899-12-30T22:36:09"/>
    <s v="1 hr 11 min 31s"/>
    <s v="evq-epfh-ove"/>
    <x v="16"/>
    <d v="1899-12-30T01:59:41"/>
    <d v="1899-12-30T02:06:54"/>
    <n v="0"/>
    <n v="0"/>
  </r>
  <r>
    <n v="16"/>
    <x v="17"/>
    <d v="1899-12-30T20:36:28"/>
    <d v="1899-12-30T20:36:31"/>
    <d v="1899-12-30T22:36:09"/>
    <s v="1 hr 59 min 36s"/>
    <s v="evq-epfh-ove"/>
    <x v="16"/>
    <d v="1899-12-30T01:59:41"/>
    <d v="1899-12-30T02:06:55"/>
    <n v="0"/>
    <n v="0"/>
  </r>
  <r>
    <n v="17"/>
    <x v="28"/>
    <d v="1899-12-30T20:36:28"/>
    <d v="1899-12-30T21:03:46"/>
    <d v="1899-12-30T22:36:09"/>
    <s v="34 min 57s"/>
    <s v="evq-epfh-ove"/>
    <x v="16"/>
    <d v="1899-12-30T01:59:41"/>
    <d v="1899-12-30T02:06:55"/>
    <n v="0"/>
    <n v="0"/>
  </r>
  <r>
    <n v="18"/>
    <x v="7"/>
    <d v="1899-12-30T20:36:28"/>
    <d v="1899-12-30T20:36:31"/>
    <d v="1899-12-30T22:36:09"/>
    <s v="46 min 32s"/>
    <s v="evq-epfh-ove"/>
    <x v="16"/>
    <d v="1899-12-30T01:59:41"/>
    <d v="1899-12-30T02:06:56"/>
    <n v="0"/>
    <n v="0"/>
  </r>
  <r>
    <n v="19"/>
    <x v="19"/>
    <d v="1899-12-30T20:36:28"/>
    <d v="1899-12-30T20:36:31"/>
    <d v="1899-12-30T22:36:09"/>
    <s v="1 hr 59 min 36s"/>
    <s v="evq-epfh-ove"/>
    <x v="16"/>
    <d v="1899-12-30T01:59:41"/>
    <d v="1899-12-30T02:06:56"/>
    <n v="0"/>
    <n v="0"/>
  </r>
  <r>
    <n v="20"/>
    <x v="8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1"/>
    <x v="20"/>
    <d v="1899-12-30T20:36:28"/>
    <d v="1899-12-30T20:36:31"/>
    <d v="1899-12-30T22:36:09"/>
    <s v="1 hr 59 min 36s"/>
    <s v="evq-epfh-ove"/>
    <x v="16"/>
    <d v="1899-12-30T01:59:41"/>
    <d v="1899-12-30T02:06:57"/>
    <n v="0"/>
    <n v="0"/>
  </r>
  <r>
    <n v="22"/>
    <x v="9"/>
    <d v="1899-12-30T20:36:28"/>
    <d v="1899-12-30T20:36:31"/>
    <d v="1899-12-30T22:36:09"/>
    <s v="1 hr 58 min 28s"/>
    <s v="evq-epfh-ove"/>
    <x v="16"/>
    <d v="1899-12-30T01:59:41"/>
    <d v="1899-12-30T02:06:58"/>
    <n v="0"/>
    <n v="0"/>
  </r>
  <r>
    <n v="23"/>
    <x v="32"/>
    <d v="1899-12-30T20:36:28"/>
    <d v="1899-12-30T20:36:31"/>
    <d v="1899-12-30T22:36:09"/>
    <s v="1 hr 1 min 57s"/>
    <s v="evq-epfh-ove"/>
    <x v="16"/>
    <d v="1899-12-30T01:59:41"/>
    <d v="1899-12-30T02:06:58"/>
    <n v="0"/>
    <n v="0"/>
  </r>
  <r>
    <n v="24"/>
    <x v="10"/>
    <d v="1899-12-30T20:36:28"/>
    <d v="1899-12-30T20:36:31"/>
    <d v="1899-12-30T22:36:09"/>
    <s v="23 min 59s"/>
    <s v="evq-epfh-ove"/>
    <x v="16"/>
    <d v="1899-12-30T01:59:41"/>
    <d v="1899-12-30T02:06:59"/>
    <n v="0"/>
    <n v="0"/>
  </r>
  <r>
    <n v="25"/>
    <x v="30"/>
    <d v="1899-12-30T20:36:28"/>
    <d v="1899-12-30T20:36:31"/>
    <d v="1899-12-30T22:36:09"/>
    <s v="1 hr 58 min 15s"/>
    <s v="evq-epfh-ove"/>
    <x v="16"/>
    <d v="1899-12-30T01:59:41"/>
    <d v="1899-12-30T02:06:59"/>
    <n v="0"/>
    <n v="0"/>
  </r>
  <r>
    <n v="26"/>
    <x v="33"/>
    <d v="1899-12-30T20:36:28"/>
    <d v="1899-12-30T20:46:06"/>
    <d v="1899-12-30T22:36:09"/>
    <s v="13 min 45s"/>
    <s v="evq-epfh-ove"/>
    <x v="16"/>
    <d v="1899-12-30T01:59:41"/>
    <d v="1899-12-30T02:06:59"/>
    <n v="0"/>
    <n v="0"/>
  </r>
  <r>
    <n v="27"/>
    <x v="34"/>
    <d v="1899-12-30T20:36:28"/>
    <d v="1899-12-30T20:46:06"/>
    <d v="1899-12-30T22:36:09"/>
    <s v="1 hr 10 min 59s"/>
    <s v="evq-epfh-ove"/>
    <x v="16"/>
    <d v="1899-12-30T01:59:41"/>
    <d v="1899-12-30T02:07:00"/>
    <n v="0"/>
    <n v="0"/>
  </r>
  <r>
    <n v="28"/>
    <x v="61"/>
    <d v="1899-12-30T20:36:28"/>
    <d v="1899-12-30T20:36:31"/>
    <d v="1899-12-30T22:36:09"/>
    <s v="9 min 34s"/>
    <s v="evq-epfh-ove"/>
    <x v="16"/>
    <d v="1899-12-30T01:59:41"/>
    <d v="1899-12-30T02:07:00"/>
    <n v="0"/>
    <n v="0"/>
  </r>
  <r>
    <n v="29"/>
    <x v="35"/>
    <d v="1899-12-30T20:36:28"/>
    <d v="1899-12-30T20:36:31"/>
    <d v="1899-12-30T22:36:09"/>
    <s v="1 hr 59 min 15s"/>
    <s v="evq-epfh-ove"/>
    <x v="16"/>
    <d v="1899-12-30T01:59:41"/>
    <d v="1899-12-30T02:07:01"/>
    <n v="0"/>
    <n v="0"/>
  </r>
  <r>
    <n v="30"/>
    <x v="40"/>
    <d v="1899-12-30T20:36:28"/>
    <d v="1899-12-30T20:36:31"/>
    <d v="1899-12-30T22:36:09"/>
    <s v="22 min 17s"/>
    <s v="evq-epfh-ove"/>
    <x v="16"/>
    <d v="1899-12-30T01:59:41"/>
    <d v="1899-12-30T02:07:01"/>
    <n v="0"/>
    <n v="0"/>
  </r>
  <r>
    <n v="31"/>
    <x v="24"/>
    <d v="1899-12-30T20:36:28"/>
    <d v="1899-12-30T20:36:31"/>
    <d v="1899-12-30T22:36:09"/>
    <s v="1 hr 50 min 20s"/>
    <s v="evq-epfh-ove"/>
    <x v="16"/>
    <d v="1899-12-30T01:59:41"/>
    <d v="1899-12-30T02:07:02"/>
    <n v="0"/>
    <n v="0"/>
  </r>
  <r>
    <n v="32"/>
    <x v="69"/>
    <d v="1899-12-30T20:36:28"/>
    <d v="1899-12-30T20:49:09"/>
    <d v="1899-12-30T22:36:09"/>
    <s v="1 min 51s"/>
    <s v="evq-epfh-ove"/>
    <x v="16"/>
    <d v="1899-12-30T01:59:41"/>
    <d v="1899-12-30T02:07:02"/>
    <n v="0"/>
    <n v="0"/>
  </r>
  <r>
    <n v="33"/>
    <x v="67"/>
    <d v="1899-12-30T20:36:28"/>
    <d v="1899-12-30T20:36:31"/>
    <d v="1899-12-30T22:36:09"/>
    <s v="54 min 6s"/>
    <s v="evq-epfh-ove"/>
    <x v="16"/>
    <d v="1899-12-30T01:59:41"/>
    <d v="1899-12-30T02:07:03"/>
    <n v="0"/>
    <n v="0"/>
  </r>
  <r>
    <n v="34"/>
    <x v="11"/>
    <d v="1899-12-30T20:36:28"/>
    <d v="1899-12-30T20:36:31"/>
    <d v="1899-12-30T22:36:09"/>
    <s v="1 hr 59 min 36s"/>
    <s v="evq-epfh-ove"/>
    <x v="16"/>
    <d v="1899-12-30T01:59:41"/>
    <d v="1899-12-30T02:07:03"/>
    <n v="0"/>
    <n v="0"/>
  </r>
  <r>
    <n v="1"/>
    <x v="0"/>
    <d v="1899-12-30T20:37:07"/>
    <d v="1899-12-30T20:37:11"/>
    <d v="1899-12-30T22:39:34"/>
    <s v="2 hr 2 min 23s"/>
    <s v="icw-azvu-nzm"/>
    <x v="17"/>
    <d v="1899-12-30T02:02:27"/>
    <d v="1899-12-30T02:07:04"/>
    <n v="0"/>
    <n v="0"/>
  </r>
  <r>
    <n v="2"/>
    <x v="2"/>
    <d v="1899-12-30T20:37:07"/>
    <d v="1899-12-30T20:37:11"/>
    <d v="1899-12-30T22:39:34"/>
    <s v="2 hr 2 min 0s"/>
    <s v="icw-azvu-nzm"/>
    <x v="17"/>
    <d v="1899-12-30T02:02:27"/>
    <d v="1899-12-30T02:07:04"/>
    <n v="0"/>
    <n v="0"/>
  </r>
  <r>
    <n v="3"/>
    <x v="13"/>
    <d v="1899-12-30T20:37:07"/>
    <d v="1899-12-30T20:37:11"/>
    <d v="1899-12-30T22:39:34"/>
    <s v="2 hr 2 min 4s"/>
    <s v="icw-azvu-nzm"/>
    <x v="17"/>
    <d v="1899-12-30T02:02:27"/>
    <d v="1899-12-30T02:07:04"/>
    <n v="0"/>
    <n v="0"/>
  </r>
  <r>
    <n v="4"/>
    <x v="4"/>
    <d v="1899-12-30T20:37:07"/>
    <d v="1899-12-30T20:37:11"/>
    <d v="1899-12-30T22:39:34"/>
    <s v="1 hr 3 min 54s"/>
    <s v="icw-azvu-nzm"/>
    <x v="17"/>
    <d v="1899-12-30T02:02:27"/>
    <d v="1899-12-30T02:07:05"/>
    <n v="0"/>
    <n v="0"/>
  </r>
  <r>
    <n v="5"/>
    <x v="31"/>
    <d v="1899-12-30T20:37:07"/>
    <d v="1899-12-30T20:37:11"/>
    <d v="1899-12-30T22:39:34"/>
    <s v="1 hr 42 min 23s"/>
    <s v="icw-azvu-nzm"/>
    <x v="17"/>
    <d v="1899-12-30T02:02:27"/>
    <d v="1899-12-30T02:07:05"/>
    <n v="0"/>
    <n v="0"/>
  </r>
  <r>
    <n v="6"/>
    <x v="27"/>
    <d v="1899-12-30T20:37:07"/>
    <d v="1899-12-30T20:37:11"/>
    <d v="1899-12-30T22:39:34"/>
    <s v="1 hr 31 min 16s"/>
    <s v="icw-azvu-nzm"/>
    <x v="17"/>
    <d v="1899-12-30T02:02:27"/>
    <d v="1899-12-30T02:07:05"/>
    <n v="0"/>
    <n v="0"/>
  </r>
  <r>
    <n v="7"/>
    <x v="37"/>
    <d v="1899-12-30T20:37:07"/>
    <d v="1899-12-30T20:37:11"/>
    <d v="1899-12-30T22:39:34"/>
    <s v="1 hr 31 min 16s"/>
    <s v="icw-azvu-nzm"/>
    <x v="17"/>
    <d v="1899-12-30T02:02:27"/>
    <d v="1899-12-30T02:07:06"/>
    <n v="0"/>
    <n v="0"/>
  </r>
  <r>
    <n v="8"/>
    <x v="49"/>
    <d v="1899-12-30T20:37:07"/>
    <d v="1899-12-30T20:37:11"/>
    <d v="1899-12-30T22:39:34"/>
    <s v="1 hr 3 min 54s"/>
    <s v="icw-azvu-nzm"/>
    <x v="17"/>
    <d v="1899-12-30T02:02:27"/>
    <d v="1899-12-30T02:07:06"/>
    <n v="0"/>
    <n v="0"/>
  </r>
  <r>
    <n v="9"/>
    <x v="70"/>
    <d v="1899-12-30T20:37:07"/>
    <d v="1899-12-30T21:41:06"/>
    <d v="1899-12-30T22:39:34"/>
    <s v="27 min 22s"/>
    <s v="icw-azvu-nzm"/>
    <x v="17"/>
    <d v="1899-12-30T02:02:27"/>
    <d v="1899-12-30T02:07:06"/>
    <n v="0"/>
    <n v="0"/>
  </r>
  <r>
    <n v="10"/>
    <x v="14"/>
    <d v="1899-12-30T20:37:07"/>
    <d v="1899-12-30T20:37:11"/>
    <d v="1899-12-30T22:39:34"/>
    <s v="1 hr 31 min 16s"/>
    <s v="icw-azvu-nzm"/>
    <x v="17"/>
    <d v="1899-12-30T02:02:27"/>
    <d v="1899-12-30T02:07:07"/>
    <n v="0"/>
    <n v="0"/>
  </r>
  <r>
    <n v="11"/>
    <x v="56"/>
    <d v="1899-12-30T20:37:07"/>
    <d v="1899-12-30T20:39:18"/>
    <d v="1899-12-30T22:39:34"/>
    <s v="1 hr 29 min 9s"/>
    <s v="icw-azvu-nzm"/>
    <x v="17"/>
    <d v="1899-12-30T02:02:27"/>
    <d v="1899-12-30T02:07:07"/>
    <n v="0"/>
    <n v="0"/>
  </r>
  <r>
    <n v="12"/>
    <x v="5"/>
    <d v="1899-12-30T20:37:07"/>
    <d v="1899-12-30T20:37:11"/>
    <d v="1899-12-30T22:39:34"/>
    <s v="2 hr 2 min 23s"/>
    <s v="icw-azvu-nzm"/>
    <x v="17"/>
    <d v="1899-12-30T02:02:27"/>
    <d v="1899-12-30T02:07:07"/>
    <n v="0"/>
    <n v="0"/>
  </r>
  <r>
    <n v="13"/>
    <x v="50"/>
    <d v="1899-12-30T20:37:07"/>
    <d v="1899-12-30T20:39:17"/>
    <d v="1899-12-30T22:39:34"/>
    <s v="1 hr 29 min 11s"/>
    <s v="icw-azvu-nzm"/>
    <x v="17"/>
    <d v="1899-12-30T02:02:27"/>
    <d v="1899-12-30T02:07:08"/>
    <n v="0"/>
    <n v="0"/>
  </r>
  <r>
    <n v="14"/>
    <x v="51"/>
    <d v="1899-12-30T20:37:07"/>
    <d v="1899-12-30T20:37:11"/>
    <d v="1899-12-30T22:39:34"/>
    <s v="57 min 12s"/>
    <s v="icw-azvu-nzm"/>
    <x v="17"/>
    <d v="1899-12-30T02:02:27"/>
    <d v="1899-12-30T02:07:08"/>
    <n v="0"/>
    <n v="0"/>
  </r>
  <r>
    <n v="15"/>
    <x v="6"/>
    <d v="1899-12-30T20:37:07"/>
    <d v="1899-12-30T20:37:11"/>
    <d v="1899-12-30T22:39:34"/>
    <s v="2 hr 1 min 53s"/>
    <s v="icw-azvu-nzm"/>
    <x v="17"/>
    <d v="1899-12-30T02:02:27"/>
    <d v="1899-12-30T02:07:08"/>
    <n v="0"/>
    <n v="0"/>
  </r>
  <r>
    <n v="16"/>
    <x v="17"/>
    <d v="1899-12-30T20:37:07"/>
    <d v="1899-12-30T20:37:11"/>
    <d v="1899-12-30T22:39:34"/>
    <s v="2 hr 2 min 23s"/>
    <s v="icw-azvu-nzm"/>
    <x v="17"/>
    <d v="1899-12-30T02:02:27"/>
    <d v="1899-12-30T02:07:09"/>
    <n v="0"/>
    <n v="0"/>
  </r>
  <r>
    <n v="17"/>
    <x v="28"/>
    <d v="1899-12-30T20:37:07"/>
    <d v="1899-12-30T20:37:11"/>
    <d v="1899-12-30T22:39:34"/>
    <s v="1 hr 3 min 54s"/>
    <s v="icw-azvu-nzm"/>
    <x v="17"/>
    <d v="1899-12-30T02:02:27"/>
    <d v="1899-12-30T02:07:09"/>
    <n v="0"/>
    <n v="0"/>
  </r>
  <r>
    <n v="18"/>
    <x v="7"/>
    <d v="1899-12-30T20:37:07"/>
    <d v="1899-12-30T20:37:11"/>
    <d v="1899-12-30T22:39:34"/>
    <s v="1 hr 31 min 16s"/>
    <s v="icw-azvu-nzm"/>
    <x v="17"/>
    <d v="1899-12-30T02:02:27"/>
    <d v="1899-12-30T02:07:09"/>
    <n v="0"/>
    <n v="0"/>
  </r>
  <r>
    <n v="19"/>
    <x v="19"/>
    <d v="1899-12-30T20:37:07"/>
    <d v="1899-12-30T20:37:11"/>
    <d v="1899-12-30T22:39:34"/>
    <s v="1 hr 34 min 38s"/>
    <s v="icw-azvu-nzm"/>
    <x v="17"/>
    <d v="1899-12-30T02:02:27"/>
    <d v="1899-12-30T02:07:10"/>
    <n v="0"/>
    <n v="0"/>
  </r>
  <r>
    <n v="20"/>
    <x v="48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1"/>
    <x v="59"/>
    <d v="1899-12-30T20:37:07"/>
    <d v="1899-12-30T20:37:11"/>
    <d v="1899-12-30T22:39:34"/>
    <s v="1 hr 3 min 54s"/>
    <s v="icw-azvu-nzm"/>
    <x v="17"/>
    <d v="1899-12-30T02:02:27"/>
    <d v="1899-12-30T02:07:10"/>
    <n v="0"/>
    <n v="0"/>
  </r>
  <r>
    <n v="22"/>
    <x v="8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3"/>
    <x v="20"/>
    <d v="1899-12-30T20:37:07"/>
    <d v="1899-12-30T20:37:11"/>
    <d v="1899-12-30T22:39:34"/>
    <s v="2 hr 2 min 23s"/>
    <s v="icw-azvu-nzm"/>
    <x v="17"/>
    <d v="1899-12-30T02:02:27"/>
    <d v="1899-12-30T02:07:11"/>
    <n v="0"/>
    <n v="0"/>
  </r>
  <r>
    <n v="24"/>
    <x v="9"/>
    <d v="1899-12-30T20:37:07"/>
    <d v="1899-12-30T20:37:11"/>
    <d v="1899-12-30T22:39:34"/>
    <s v="1 hr 3 min 54s"/>
    <s v="icw-azvu-nzm"/>
    <x v="17"/>
    <d v="1899-12-30T02:02:27"/>
    <d v="1899-12-30T02:07:11"/>
    <n v="0"/>
    <n v="0"/>
  </r>
  <r>
    <n v="25"/>
    <x v="32"/>
    <d v="1899-12-30T20:37:07"/>
    <d v="1899-12-30T21:41:06"/>
    <d v="1899-12-30T22:39:34"/>
    <s v="27 min 22s"/>
    <s v="icw-azvu-nzm"/>
    <x v="17"/>
    <d v="1899-12-30T02:02:27"/>
    <d v="1899-12-30T02:07:11"/>
    <n v="0"/>
    <n v="0"/>
  </r>
  <r>
    <n v="26"/>
    <x v="64"/>
    <d v="1899-12-30T20:37:07"/>
    <d v="1899-12-30T20:37:11"/>
    <d v="1899-12-30T22:39:34"/>
    <s v="1 hr 36 min 40s"/>
    <s v="icw-azvu-nzm"/>
    <x v="17"/>
    <d v="1899-12-30T02:02:27"/>
    <d v="1899-12-30T02:07:12"/>
    <n v="0"/>
    <n v="0"/>
  </r>
  <r>
    <n v="27"/>
    <x v="53"/>
    <d v="1899-12-30T20:37:07"/>
    <d v="1899-12-30T20:37:11"/>
    <d v="1899-12-30T22:39:34"/>
    <s v="1 hr 53 min 11s"/>
    <s v="icw-azvu-nzm"/>
    <x v="17"/>
    <d v="1899-12-30T02:02:27"/>
    <d v="1899-12-30T02:07:12"/>
    <n v="0"/>
    <n v="0"/>
  </r>
  <r>
    <n v="28"/>
    <x v="10"/>
    <d v="1899-12-30T20:37:07"/>
    <d v="1899-12-30T21:41:06"/>
    <d v="1899-12-30T22:39:34"/>
    <s v="58 min 9s"/>
    <s v="icw-azvu-nzm"/>
    <x v="17"/>
    <d v="1899-12-30T02:02:27"/>
    <d v="1899-12-30T02:07:12"/>
    <n v="0"/>
    <n v="0"/>
  </r>
  <r>
    <n v="29"/>
    <x v="22"/>
    <d v="1899-12-30T20:37:07"/>
    <d v="1899-12-30T20:37:11"/>
    <d v="1899-12-30T22:39:34"/>
    <s v="1 hr 31 min 16s"/>
    <s v="icw-azvu-nzm"/>
    <x v="17"/>
    <d v="1899-12-30T02:02:27"/>
    <d v="1899-12-30T02:07:13"/>
    <n v="0"/>
    <n v="0"/>
  </r>
  <r>
    <n v="30"/>
    <x v="33"/>
    <d v="1899-12-30T20:37:07"/>
    <d v="1899-12-30T20:37:11"/>
    <d v="1899-12-30T22:39:34"/>
    <s v="2 hr 1 min 53s"/>
    <s v="icw-azvu-nzm"/>
    <x v="17"/>
    <d v="1899-12-30T02:02:27"/>
    <d v="1899-12-30T02:07:13"/>
    <n v="0"/>
    <n v="0"/>
  </r>
  <r>
    <n v="31"/>
    <x v="34"/>
    <d v="1899-12-30T20:37:07"/>
    <d v="1899-12-30T20:37:11"/>
    <d v="1899-12-30T22:39:34"/>
    <s v="1 hr 54 min 57s"/>
    <s v="icw-azvu-nzm"/>
    <x v="17"/>
    <d v="1899-12-30T02:02:27"/>
    <d v="1899-12-30T02:07:13"/>
    <n v="0"/>
    <n v="0"/>
  </r>
  <r>
    <n v="32"/>
    <x v="61"/>
    <d v="1899-12-30T20:37:07"/>
    <d v="1899-12-30T20:37:11"/>
    <d v="1899-12-30T22:39:34"/>
    <s v="28 min 36s"/>
    <s v="icw-azvu-nzm"/>
    <x v="17"/>
    <d v="1899-12-30T02:02:27"/>
    <d v="1899-12-30T02:07:14"/>
    <n v="0"/>
    <n v="0"/>
  </r>
  <r>
    <n v="33"/>
    <x v="35"/>
    <d v="1899-12-30T20:37:07"/>
    <d v="1899-12-30T20:37:11"/>
    <d v="1899-12-30T22:39:34"/>
    <s v="2 hr 1 min 55s"/>
    <s v="icw-azvu-nzm"/>
    <x v="17"/>
    <d v="1899-12-30T02:02:27"/>
    <d v="1899-12-30T02:07:14"/>
    <n v="0"/>
    <n v="0"/>
  </r>
  <r>
    <n v="34"/>
    <x v="24"/>
    <d v="1899-12-30T20:37:07"/>
    <d v="1899-12-30T21:41:06"/>
    <d v="1899-12-30T22:39:34"/>
    <s v="27 min 22s"/>
    <s v="icw-azvu-nzm"/>
    <x v="17"/>
    <d v="1899-12-30T02:02:27"/>
    <d v="1899-12-30T02:07:14"/>
    <n v="0"/>
    <n v="0"/>
  </r>
  <r>
    <n v="35"/>
    <x v="36"/>
    <d v="1899-12-30T20:37:07"/>
    <d v="1899-12-30T21:41:06"/>
    <d v="1899-12-30T22:39:34"/>
    <s v="58 min 29s"/>
    <s v="icw-azvu-nzm"/>
    <x v="17"/>
    <d v="1899-12-30T02:02:27"/>
    <d v="1899-12-30T02:07:15"/>
    <n v="0"/>
    <n v="0"/>
  </r>
  <r>
    <n v="1"/>
    <x v="12"/>
    <d v="1899-12-30T20:39:02"/>
    <d v="1899-12-30T20:39:05"/>
    <d v="1899-12-30T22:18:20"/>
    <s v="1 hr 37 min 20s"/>
    <s v="bvd-kjfs-mft"/>
    <x v="18"/>
    <d v="1899-12-30T01:39:18"/>
    <d v="1899-12-30T02:07:15"/>
    <n v="0"/>
    <n v="0"/>
  </r>
  <r>
    <n v="2"/>
    <x v="0"/>
    <d v="1899-12-30T20:39:02"/>
    <d v="1899-12-30T20:39:05"/>
    <d v="1899-12-30T22:18:20"/>
    <s v="1 hr 39 min 9s"/>
    <s v="bvd-kjfs-mft"/>
    <x v="18"/>
    <d v="1899-12-30T01:39:18"/>
    <d v="1899-12-30T02:07:17"/>
    <n v="0"/>
    <n v="0"/>
  </r>
  <r>
    <n v="3"/>
    <x v="1"/>
    <d v="1899-12-30T20:39:02"/>
    <d v="1899-12-30T20:39:05"/>
    <d v="1899-12-30T22:18:20"/>
    <s v="1 hr 37 min 19s"/>
    <s v="bvd-kjfs-mft"/>
    <x v="18"/>
    <d v="1899-12-30T01:39:18"/>
    <d v="1899-12-30T02:07:19"/>
    <n v="0"/>
    <n v="0"/>
  </r>
  <r>
    <n v="4"/>
    <x v="2"/>
    <d v="1899-12-30T20:39:02"/>
    <d v="1899-12-30T22:16:28"/>
    <d v="1899-12-30T22:18:20"/>
    <s v="1 min 51s"/>
    <s v="bvd-kjfs-mft"/>
    <x v="18"/>
    <d v="1899-12-30T01:39:18"/>
    <d v="1899-12-30T02:07:21"/>
    <n v="0"/>
    <n v="0"/>
  </r>
  <r>
    <n v="5"/>
    <x v="13"/>
    <d v="1899-12-30T20:39:02"/>
    <d v="1899-12-30T20:39:05"/>
    <d v="1899-12-30T22:18:20"/>
    <s v="1 hr 39 min 10s"/>
    <s v="bvd-kjfs-mft"/>
    <x v="18"/>
    <d v="1899-12-30T01:39:18"/>
    <d v="1899-12-30T02:07:23"/>
    <n v="0"/>
    <n v="0"/>
  </r>
  <r>
    <n v="6"/>
    <x v="71"/>
    <d v="1899-12-30T20:39:02"/>
    <d v="1899-12-30T20:39:05"/>
    <d v="1899-12-30T22:18:20"/>
    <s v="1 hr 39 min 10s"/>
    <s v="bvd-kjfs-mft"/>
    <x v="18"/>
    <d v="1899-12-30T01:39:18"/>
    <d v="1899-12-30T02:07:25"/>
    <n v="0"/>
    <n v="0"/>
  </r>
  <r>
    <n v="7"/>
    <x v="31"/>
    <d v="1899-12-30T20:39:02"/>
    <d v="1899-12-30T20:39:05"/>
    <d v="1899-12-30T22:18:20"/>
    <s v="1 hr 37 min 19s"/>
    <s v="bvd-kjfs-mft"/>
    <x v="18"/>
    <d v="1899-12-30T01:39:18"/>
    <d v="1899-12-30T02:07:27"/>
    <n v="0"/>
    <n v="0"/>
  </r>
  <r>
    <n v="8"/>
    <x v="27"/>
    <d v="1899-12-30T20:39:02"/>
    <d v="1899-12-30T20:39:05"/>
    <d v="1899-12-30T22:18:20"/>
    <s v="1 hr 37 min 19s"/>
    <s v="bvd-kjfs-mft"/>
    <x v="18"/>
    <d v="1899-12-30T01:39:18"/>
    <d v="1899-12-30T02:07:29"/>
    <n v="0"/>
    <n v="0"/>
  </r>
  <r>
    <n v="9"/>
    <x v="72"/>
    <d v="1899-12-30T20:39:02"/>
    <d v="1899-12-30T20:39:05"/>
    <d v="1899-12-30T22:18:20"/>
    <s v="1 hr 37 min 19s"/>
    <s v="bvd-kjfs-mft"/>
    <x v="18"/>
    <d v="1899-12-30T01:39:18"/>
    <d v="1899-12-30T02:07:31"/>
    <n v="0"/>
    <n v="0"/>
  </r>
  <r>
    <n v="10"/>
    <x v="49"/>
    <d v="1899-12-30T20:39:02"/>
    <d v="1899-12-30T20:39:05"/>
    <d v="1899-12-30T22:18:20"/>
    <s v="1 hr 37 min 33s"/>
    <s v="bvd-kjfs-mft"/>
    <x v="18"/>
    <d v="1899-12-30T01:39:18"/>
    <d v="1899-12-30T02:07:33"/>
    <n v="0"/>
    <n v="0"/>
  </r>
  <r>
    <n v="11"/>
    <x v="14"/>
    <d v="1899-12-30T20:39:02"/>
    <d v="1899-12-30T20:39:05"/>
    <d v="1899-12-30T22:18:20"/>
    <s v="1 hr 37 min 19s"/>
    <s v="bvd-kjfs-mft"/>
    <x v="18"/>
    <d v="1899-12-30T01:39:18"/>
    <d v="1899-12-30T02:07:35"/>
    <n v="0"/>
    <n v="0"/>
  </r>
  <r>
    <n v="12"/>
    <x v="56"/>
    <d v="1899-12-30T20:39:02"/>
    <d v="1899-12-30T20:39:05"/>
    <d v="1899-12-30T22:18:20"/>
    <s v="1 hr 37 min 19s"/>
    <s v="bvd-kjfs-mft"/>
    <x v="18"/>
    <d v="1899-12-30T01:39:18"/>
    <d v="1899-12-30T02:07:37"/>
    <n v="0"/>
    <n v="0"/>
  </r>
  <r>
    <n v="13"/>
    <x v="15"/>
    <d v="1899-12-30T20:39:02"/>
    <d v="1899-12-30T20:39:05"/>
    <d v="1899-12-30T22:18:20"/>
    <s v="1 hr 39 min 10s"/>
    <s v="bvd-kjfs-mft"/>
    <x v="18"/>
    <d v="1899-12-30T01:39:18"/>
    <d v="1899-12-30T02:07:39"/>
    <n v="0"/>
    <n v="0"/>
  </r>
  <r>
    <n v="14"/>
    <x v="5"/>
    <d v="1899-12-30T20:39:02"/>
    <d v="1899-12-30T20:39:05"/>
    <d v="1899-12-30T22:18:20"/>
    <s v="1 hr 39 min 10s"/>
    <s v="bvd-kjfs-mft"/>
    <x v="18"/>
    <d v="1899-12-30T01:39:18"/>
    <d v="1899-12-30T02:07:41"/>
    <n v="0"/>
    <n v="0"/>
  </r>
  <r>
    <n v="15"/>
    <x v="42"/>
    <d v="1899-12-30T20:39:02"/>
    <d v="1899-12-30T20:39:05"/>
    <d v="1899-12-30T22:18:20"/>
    <s v="1 hr 37 min 19s"/>
    <s v="bvd-kjfs-mft"/>
    <x v="18"/>
    <d v="1899-12-30T01:39:18"/>
    <d v="1899-12-30T02:07:43"/>
    <n v="0"/>
    <n v="0"/>
  </r>
  <r>
    <n v="16"/>
    <x v="6"/>
    <d v="1899-12-30T20:39:02"/>
    <d v="1899-12-30T20:39:05"/>
    <d v="1899-12-30T22:18:20"/>
    <s v="1 hr 39 min 6s"/>
    <s v="bvd-kjfs-mft"/>
    <x v="18"/>
    <d v="1899-12-30T01:39:18"/>
    <d v="1899-12-30T02:07:45"/>
    <n v="0"/>
    <n v="0"/>
  </r>
  <r>
    <n v="17"/>
    <x v="17"/>
    <d v="1899-12-30T20:39:02"/>
    <d v="1899-12-30T20:39:05"/>
    <d v="1899-12-30T22:18:20"/>
    <s v="1 hr 39 min 10s"/>
    <s v="bvd-kjfs-mft"/>
    <x v="18"/>
    <d v="1899-12-30T01:39:18"/>
    <d v="1899-12-30T02:07:47"/>
    <n v="0"/>
    <n v="0"/>
  </r>
  <r>
    <n v="18"/>
    <x v="73"/>
    <d v="1899-12-30T20:39:02"/>
    <d v="1899-12-30T20:39:05"/>
    <d v="1899-12-30T22:18:20"/>
    <s v="1 hr 37 min 19s"/>
    <s v="bvd-kjfs-mft"/>
    <x v="18"/>
    <d v="1899-12-30T01:39:18"/>
    <d v="1899-12-30T02:07:49"/>
    <n v="0"/>
    <n v="0"/>
  </r>
  <r>
    <n v="19"/>
    <x v="28"/>
    <d v="1899-12-30T20:39:02"/>
    <d v="1899-12-30T20:39:05"/>
    <d v="1899-12-30T22:18:20"/>
    <s v="1 hr 37 min 19s"/>
    <s v="bvd-kjfs-mft"/>
    <x v="18"/>
    <d v="1899-12-30T01:39:18"/>
    <d v="1899-12-30T02:07:51"/>
    <n v="0"/>
    <n v="0"/>
  </r>
  <r>
    <n v="20"/>
    <x v="7"/>
    <d v="1899-12-30T20:39:02"/>
    <d v="1899-12-30T20:39:05"/>
    <d v="1899-12-30T22:18:20"/>
    <s v="1 hr 39 min 10s"/>
    <s v="bvd-kjfs-mft"/>
    <x v="18"/>
    <d v="1899-12-30T01:39:18"/>
    <d v="1899-12-30T02:07:53"/>
    <n v="0"/>
    <n v="0"/>
  </r>
  <r>
    <n v="21"/>
    <x v="18"/>
    <d v="1899-12-30T20:39:02"/>
    <d v="1899-12-30T20:39:05"/>
    <d v="1899-12-30T22:18:20"/>
    <s v="1 hr 37 min 19s"/>
    <s v="bvd-kjfs-mft"/>
    <x v="18"/>
    <d v="1899-12-30T01:39:18"/>
    <d v="1899-12-30T02:07:55"/>
    <n v="0"/>
    <n v="0"/>
  </r>
  <r>
    <n v="22"/>
    <x v="74"/>
    <d v="1899-12-30T20:39:02"/>
    <d v="1899-12-30T22:16:28"/>
    <d v="1899-12-30T22:18:20"/>
    <s v="1 min 51s"/>
    <s v="bvd-kjfs-mft"/>
    <x v="18"/>
    <d v="1899-12-30T01:39:18"/>
    <d v="1899-12-30T02:07:57"/>
    <n v="0"/>
    <n v="0"/>
  </r>
  <r>
    <n v="23"/>
    <x v="59"/>
    <d v="1899-12-30T20:39:02"/>
    <d v="1899-12-30T20:39:05"/>
    <d v="1899-12-30T22:18:20"/>
    <s v="1 hr 37 min 19s"/>
    <s v="bvd-kjfs-mft"/>
    <x v="18"/>
    <d v="1899-12-30T01:39:18"/>
    <d v="1899-12-30T02:07:59"/>
    <n v="0"/>
    <n v="0"/>
  </r>
  <r>
    <n v="24"/>
    <x v="8"/>
    <d v="1899-12-30T20:39:02"/>
    <d v="1899-12-30T22:16:28"/>
    <d v="1899-12-30T22:18:20"/>
    <s v="1 min 51s"/>
    <s v="bvd-kjfs-mft"/>
    <x v="18"/>
    <d v="1899-12-30T01:39:18"/>
    <d v="1899-12-30T02:08:01"/>
    <n v="0"/>
    <n v="0"/>
  </r>
  <r>
    <n v="25"/>
    <x v="29"/>
    <d v="1899-12-30T20:39:02"/>
    <d v="1899-12-30T20:39:05"/>
    <d v="1899-12-30T22:18:20"/>
    <s v="1 hr 37 min 19s"/>
    <s v="bvd-kjfs-mft"/>
    <x v="18"/>
    <d v="1899-12-30T01:39:18"/>
    <d v="1899-12-30T02:08:03"/>
    <n v="0"/>
    <n v="0"/>
  </r>
  <r>
    <n v="26"/>
    <x v="20"/>
    <d v="1899-12-30T20:39:02"/>
    <d v="1899-12-30T20:39:05"/>
    <d v="1899-12-30T22:18:20"/>
    <s v="1 hr 39 min 10s"/>
    <s v="bvd-kjfs-mft"/>
    <x v="18"/>
    <d v="1899-12-30T01:39:18"/>
    <d v="1899-12-30T02:08:05"/>
    <n v="0"/>
    <n v="0"/>
  </r>
  <r>
    <n v="27"/>
    <x v="9"/>
    <d v="1899-12-30T20:39:02"/>
    <d v="1899-12-30T20:39:05"/>
    <d v="1899-12-30T22:18:20"/>
    <s v="1 hr 39 min 4s"/>
    <s v="bvd-kjfs-mft"/>
    <x v="18"/>
    <d v="1899-12-30T01:39:18"/>
    <d v="1899-12-30T02:08:07"/>
    <n v="0"/>
    <n v="0"/>
  </r>
  <r>
    <n v="28"/>
    <x v="64"/>
    <d v="1899-12-30T20:39:02"/>
    <d v="1899-12-30T20:39:05"/>
    <d v="1899-12-30T22:18:20"/>
    <s v="1 hr 37 min 19s"/>
    <s v="bvd-kjfs-mft"/>
    <x v="18"/>
    <d v="1899-12-30T01:39:18"/>
    <d v="1899-12-30T02:08:09"/>
    <n v="0"/>
    <n v="0"/>
  </r>
  <r>
    <n v="29"/>
    <x v="53"/>
    <d v="1899-12-30T20:39:02"/>
    <d v="1899-12-30T20:39:05"/>
    <d v="1899-12-30T22:18:20"/>
    <s v="1 hr 37 min 19s"/>
    <s v="bvd-kjfs-mft"/>
    <x v="18"/>
    <d v="1899-12-30T01:39:18"/>
    <d v="1899-12-30T02:08:11"/>
    <n v="0"/>
    <n v="0"/>
  </r>
  <r>
    <n v="30"/>
    <x v="10"/>
    <d v="1899-12-30T20:39:02"/>
    <d v="1899-12-30T20:39:05"/>
    <d v="1899-12-30T22:18:20"/>
    <s v="1 hr 39 min 10s"/>
    <s v="bvd-kjfs-mft"/>
    <x v="18"/>
    <d v="1899-12-30T01:39:18"/>
    <d v="1899-12-30T02:08:14"/>
    <n v="0"/>
    <n v="0"/>
  </r>
  <r>
    <n v="31"/>
    <x v="22"/>
    <d v="1899-12-30T20:39:02"/>
    <d v="1899-12-30T20:39:05"/>
    <d v="1899-12-30T22:18:20"/>
    <s v="1 hr 37 min 19s"/>
    <s v="bvd-kjfs-mft"/>
    <x v="18"/>
    <d v="1899-12-30T01:39:18"/>
    <d v="1899-12-30T02:08:16"/>
    <n v="0"/>
    <n v="0"/>
  </r>
  <r>
    <n v="32"/>
    <x v="30"/>
    <d v="1899-12-30T20:39:02"/>
    <d v="1899-12-30T20:39:05"/>
    <d v="1899-12-30T22:18:20"/>
    <s v="1 hr 39 min 10s"/>
    <s v="bvd-kjfs-mft"/>
    <x v="18"/>
    <d v="1899-12-30T01:39:18"/>
    <d v="1899-12-30T02:08:18"/>
    <n v="0"/>
    <n v="0"/>
  </r>
  <r>
    <n v="33"/>
    <x v="23"/>
    <d v="1899-12-30T20:39:02"/>
    <d v="1899-12-30T20:39:05"/>
    <d v="1899-12-30T22:18:20"/>
    <s v="1 hr 37 min 34s"/>
    <s v="bvd-kjfs-mft"/>
    <x v="18"/>
    <d v="1899-12-30T01:39:18"/>
    <d v="1899-12-30T02:08:20"/>
    <n v="0"/>
    <n v="0"/>
  </r>
  <r>
    <n v="34"/>
    <x v="34"/>
    <d v="1899-12-30T20:39:02"/>
    <d v="1899-12-30T20:39:05"/>
    <d v="1899-12-30T22:18:20"/>
    <s v="1 hr 37 min 19s"/>
    <s v="bvd-kjfs-mft"/>
    <x v="18"/>
    <d v="1899-12-30T01:39:18"/>
    <d v="1899-12-30T02:08:22"/>
    <n v="0"/>
    <n v="0"/>
  </r>
  <r>
    <n v="35"/>
    <x v="61"/>
    <d v="1899-12-30T20:39:02"/>
    <d v="1899-12-30T20:39:05"/>
    <d v="1899-12-30T22:18:20"/>
    <s v="1 hr 37 min 23s"/>
    <s v="bvd-kjfs-mft"/>
    <x v="18"/>
    <d v="1899-12-30T01:39:18"/>
    <d v="1899-12-30T02:08:24"/>
    <n v="0"/>
    <n v="0"/>
  </r>
  <r>
    <n v="36"/>
    <x v="35"/>
    <d v="1899-12-30T20:39:02"/>
    <d v="1899-12-30T20:39:05"/>
    <d v="1899-12-30T22:18:20"/>
    <s v="1 hr 39 min 4s"/>
    <s v="bvd-kjfs-mft"/>
    <x v="18"/>
    <d v="1899-12-30T01:39:18"/>
    <d v="1899-12-30T02:08:26"/>
    <n v="0"/>
    <n v="0"/>
  </r>
  <r>
    <n v="37"/>
    <x v="24"/>
    <d v="1899-12-30T20:39:02"/>
    <d v="1899-12-30T20:39:05"/>
    <d v="1899-12-30T22:18:20"/>
    <s v="1 hr 39 min 10s"/>
    <s v="bvd-kjfs-mft"/>
    <x v="18"/>
    <d v="1899-12-30T01:39:18"/>
    <d v="1899-12-30T02:08:28"/>
    <n v="0"/>
    <n v="0"/>
  </r>
  <r>
    <n v="38"/>
    <x v="67"/>
    <d v="1899-12-30T20:39:02"/>
    <d v="1899-12-30T20:39:05"/>
    <d v="1899-12-30T22:18:20"/>
    <s v="1 hr 37 min 19s"/>
    <s v="bvd-kjfs-mft"/>
    <x v="18"/>
    <d v="1899-12-30T01:39:18"/>
    <d v="1899-12-30T02:08:30"/>
    <n v="0"/>
    <n v="0"/>
  </r>
  <r>
    <n v="39"/>
    <x v="11"/>
    <d v="1899-12-30T20:39:02"/>
    <d v="1899-12-30T20:39:05"/>
    <d v="1899-12-30T22:18:20"/>
    <s v="1 hr 37 min 19s"/>
    <s v="bvd-kjfs-mft"/>
    <x v="18"/>
    <d v="1899-12-30T01:39:18"/>
    <d v="1899-12-30T02:08:32"/>
    <n v="0"/>
    <n v="0"/>
  </r>
  <r>
    <n v="1"/>
    <x v="12"/>
    <d v="1899-12-30T20:36:18"/>
    <d v="1899-12-30T22:20:01"/>
    <d v="1899-12-30T22:20:03"/>
    <s v="0 min 2s"/>
    <s v="efd-qhwb-ejp"/>
    <x v="19"/>
    <d v="1899-12-30T01:43:45"/>
    <d v="1899-12-30T02:08:35"/>
    <n v="0"/>
    <n v="0"/>
  </r>
  <r>
    <n v="2"/>
    <x v="0"/>
    <d v="1899-12-30T20:36:18"/>
    <d v="1899-12-30T20:36:23"/>
    <d v="1899-12-30T22:20:03"/>
    <s v="1 hr 43 min 37s"/>
    <s v="efd-qhwb-ejp"/>
    <x v="19"/>
    <d v="1899-12-30T01:43:45"/>
    <d v="1899-12-30T02:08:36"/>
    <n v="0"/>
    <n v="0"/>
  </r>
  <r>
    <n v="3"/>
    <x v="1"/>
    <d v="1899-12-30T20:36:18"/>
    <d v="1899-12-30T20:36:23"/>
    <d v="1899-12-30T22:20:03"/>
    <s v="1 hr 43 min 38s"/>
    <s v="efd-qhwb-ejp"/>
    <x v="19"/>
    <d v="1899-12-30T01:43:45"/>
    <d v="1899-12-30T02:08:38"/>
    <n v="0"/>
    <n v="0"/>
  </r>
  <r>
    <n v="4"/>
    <x v="2"/>
    <d v="1899-12-30T20:36:18"/>
    <d v="1899-12-30T20:36:23"/>
    <d v="1899-12-30T22:20:03"/>
    <s v="1 hr 43 min 38s"/>
    <s v="efd-qhwb-ejp"/>
    <x v="19"/>
    <d v="1899-12-30T01:43:45"/>
    <d v="1899-12-30T02:08:40"/>
    <n v="0"/>
    <n v="0"/>
  </r>
  <r>
    <n v="5"/>
    <x v="65"/>
    <d v="1899-12-30T20:36:18"/>
    <d v="1899-12-30T20:36:23"/>
    <d v="1899-12-30T22:20:03"/>
    <s v="0 min 20s"/>
    <s v="efd-qhwb-ejp"/>
    <x v="19"/>
    <d v="1899-12-30T01:43:45"/>
    <d v="1899-12-30T02:08:42"/>
    <n v="0"/>
    <n v="0"/>
  </r>
  <r>
    <n v="6"/>
    <x v="13"/>
    <d v="1899-12-30T20:36:18"/>
    <d v="1899-12-30T20:36:23"/>
    <d v="1899-12-30T22:20:03"/>
    <s v="1 hr 43 min 38s"/>
    <s v="efd-qhwb-ejp"/>
    <x v="19"/>
    <d v="1899-12-30T01:43:45"/>
    <d v="1899-12-30T02:08:44"/>
    <n v="0"/>
    <n v="0"/>
  </r>
  <r>
    <n v="7"/>
    <x v="31"/>
    <d v="1899-12-30T20:36:18"/>
    <d v="1899-12-30T20:36:23"/>
    <d v="1899-12-30T22:20:03"/>
    <s v="1 hr 43 min 36s"/>
    <s v="efd-qhwb-ejp"/>
    <x v="19"/>
    <d v="1899-12-30T01:43:45"/>
    <d v="1899-12-30T02:08:46"/>
    <n v="0"/>
    <n v="0"/>
  </r>
  <r>
    <n v="8"/>
    <x v="75"/>
    <d v="1899-12-30T20:36:18"/>
    <d v="1899-12-30T20:36:23"/>
    <d v="1899-12-30T22:20:03"/>
    <s v="1 hr 43 min 36s"/>
    <s v="efd-qhwb-ejp"/>
    <x v="19"/>
    <d v="1899-12-30T01:43:45"/>
    <d v="1899-12-30T02:08:47"/>
    <n v="0"/>
    <n v="0"/>
  </r>
  <r>
    <n v="9"/>
    <x v="72"/>
    <d v="1899-12-30T20:36:18"/>
    <d v="1899-12-30T22:20:01"/>
    <d v="1899-12-30T22:20:03"/>
    <s v="0 min 2s"/>
    <s v="efd-qhwb-ejp"/>
    <x v="19"/>
    <d v="1899-12-30T01:43:45"/>
    <d v="1899-12-30T02:08:49"/>
    <n v="0"/>
    <n v="0"/>
  </r>
  <r>
    <n v="10"/>
    <x v="49"/>
    <d v="1899-12-30T20:36:18"/>
    <d v="1899-12-30T20:36:23"/>
    <d v="1899-12-30T22:20:03"/>
    <s v="1 hr 43 min 36s"/>
    <s v="efd-qhwb-ejp"/>
    <x v="19"/>
    <d v="1899-12-30T01:43:45"/>
    <d v="1899-12-30T02:08:51"/>
    <n v="0"/>
    <n v="0"/>
  </r>
  <r>
    <n v="11"/>
    <x v="14"/>
    <d v="1899-12-30T20:36:18"/>
    <d v="1899-12-30T20:36:23"/>
    <d v="1899-12-30T22:20:03"/>
    <s v="1 hr 43 min 38s"/>
    <s v="efd-qhwb-ejp"/>
    <x v="19"/>
    <d v="1899-12-30T01:43:45"/>
    <d v="1899-12-30T02:08:53"/>
    <n v="0"/>
    <n v="0"/>
  </r>
  <r>
    <n v="12"/>
    <x v="54"/>
    <d v="1899-12-30T20:36:18"/>
    <d v="1899-12-30T20:36:23"/>
    <d v="1899-12-30T22:20:03"/>
    <s v="1 hr 43 min 36s"/>
    <s v="efd-qhwb-ejp"/>
    <x v="19"/>
    <d v="1899-12-30T01:43:45"/>
    <d v="1899-12-30T02:08:55"/>
    <n v="0"/>
    <n v="0"/>
  </r>
  <r>
    <n v="13"/>
    <x v="15"/>
    <d v="1899-12-30T20:36:18"/>
    <d v="1899-12-30T20:36:23"/>
    <d v="1899-12-30T22:20:03"/>
    <s v="1 hr 43 min 38s"/>
    <s v="efd-qhwb-ejp"/>
    <x v="19"/>
    <d v="1899-12-30T01:43:45"/>
    <d v="1899-12-30T02:08:57"/>
    <n v="0"/>
    <n v="0"/>
  </r>
  <r>
    <n v="14"/>
    <x v="5"/>
    <d v="1899-12-30T20:36:18"/>
    <d v="1899-12-30T20:36:23"/>
    <d v="1899-12-30T22:20:03"/>
    <s v="1 hr 43 min 38s"/>
    <s v="efd-qhwb-ejp"/>
    <x v="19"/>
    <d v="1899-12-30T01:43:45"/>
    <d v="1899-12-30T02:08:58"/>
    <n v="0"/>
    <n v="0"/>
  </r>
  <r>
    <n v="15"/>
    <x v="51"/>
    <d v="1899-12-30T20:36:18"/>
    <d v="1899-12-30T20:36:23"/>
    <d v="1899-12-30T22:20:03"/>
    <s v="1 hr 43 min 38s"/>
    <s v="efd-qhwb-ejp"/>
    <x v="19"/>
    <d v="1899-12-30T01:43:45"/>
    <d v="1899-12-30T02:09:00"/>
    <n v="0"/>
    <n v="0"/>
  </r>
  <r>
    <n v="16"/>
    <x v="42"/>
    <d v="1899-12-30T20:36:18"/>
    <d v="1899-12-30T20:36:23"/>
    <d v="1899-12-30T22:20:03"/>
    <s v="1 hr 43 min 36s"/>
    <s v="efd-qhwb-ejp"/>
    <x v="19"/>
    <d v="1899-12-30T01:43:45"/>
    <d v="1899-12-30T02:09:02"/>
    <n v="0"/>
    <n v="0"/>
  </r>
  <r>
    <n v="17"/>
    <x v="68"/>
    <d v="1899-12-30T20:36:18"/>
    <d v="1899-12-30T20:36:23"/>
    <d v="1899-12-30T22:20:03"/>
    <s v="1 hr 43 min 38s"/>
    <s v="efd-qhwb-ejp"/>
    <x v="19"/>
    <d v="1899-12-30T01:43:45"/>
    <d v="1899-12-30T02:09:04"/>
    <n v="0"/>
    <n v="0"/>
  </r>
  <r>
    <n v="18"/>
    <x v="6"/>
    <d v="1899-12-30T20:36:18"/>
    <d v="1899-12-30T22:20:01"/>
    <d v="1899-12-30T22:20:03"/>
    <s v="0 min 2s"/>
    <s v="efd-qhwb-ejp"/>
    <x v="19"/>
    <d v="1899-12-30T01:43:45"/>
    <d v="1899-12-30T02:09:06"/>
    <n v="0"/>
    <n v="0"/>
  </r>
  <r>
    <n v="19"/>
    <x v="17"/>
    <d v="1899-12-30T20:36:18"/>
    <d v="1899-12-30T20:36:23"/>
    <d v="1899-12-30T22:20:03"/>
    <s v="1 hr 43 min 38s"/>
    <s v="efd-qhwb-ejp"/>
    <x v="19"/>
    <d v="1899-12-30T01:43:45"/>
    <d v="1899-12-30T02:09:08"/>
    <n v="0"/>
    <n v="0"/>
  </r>
  <r>
    <n v="20"/>
    <x v="43"/>
    <d v="1899-12-30T20:36:18"/>
    <d v="1899-12-30T20:36:34"/>
    <d v="1899-12-30T22:20:03"/>
    <s v="1 hr 43 min 27s"/>
    <s v="efd-qhwb-ejp"/>
    <x v="19"/>
    <d v="1899-12-30T01:43:45"/>
    <d v="1899-12-30T02:09:10"/>
    <n v="0"/>
    <n v="0"/>
  </r>
  <r>
    <n v="21"/>
    <x v="7"/>
    <d v="1899-12-30T20:36:18"/>
    <d v="1899-12-30T20:36:23"/>
    <d v="1899-12-30T22:20:03"/>
    <s v="1 hr 43 min 38s"/>
    <s v="efd-qhwb-ejp"/>
    <x v="19"/>
    <d v="1899-12-30T01:43:45"/>
    <d v="1899-12-30T02:09:12"/>
    <n v="0"/>
    <n v="0"/>
  </r>
  <r>
    <n v="22"/>
    <x v="18"/>
    <d v="1899-12-30T20:36:18"/>
    <d v="1899-12-30T20:36:23"/>
    <d v="1899-12-30T22:20:03"/>
    <s v="1 hr 43 min 36s"/>
    <s v="efd-qhwb-ejp"/>
    <x v="19"/>
    <d v="1899-12-30T01:43:45"/>
    <d v="1899-12-30T02:09:14"/>
    <n v="0"/>
    <n v="0"/>
  </r>
  <r>
    <n v="23"/>
    <x v="38"/>
    <d v="1899-12-30T20:36:18"/>
    <d v="1899-12-30T22:20:01"/>
    <d v="1899-12-30T22:20:03"/>
    <s v="0 min 2s"/>
    <s v="efd-qhwb-ejp"/>
    <x v="19"/>
    <d v="1899-12-30T01:43:45"/>
    <d v="1899-12-30T02:09:16"/>
    <n v="0"/>
    <n v="0"/>
  </r>
  <r>
    <n v="24"/>
    <x v="48"/>
    <d v="1899-12-30T20:36:18"/>
    <d v="1899-12-30T20:36:23"/>
    <d v="1899-12-30T22:20:03"/>
    <s v="0 min 36s"/>
    <s v="efd-qhwb-ejp"/>
    <x v="19"/>
    <d v="1899-12-30T01:43:45"/>
    <d v="1899-12-30T02:09:17"/>
    <n v="0"/>
    <n v="0"/>
  </r>
  <r>
    <n v="25"/>
    <x v="59"/>
    <d v="1899-12-30T20:36:18"/>
    <d v="1899-12-30T20:36:23"/>
    <d v="1899-12-30T22:20:03"/>
    <s v="1 hr 43 min 36s"/>
    <s v="efd-qhwb-ejp"/>
    <x v="19"/>
    <d v="1899-12-30T01:43:45"/>
    <d v="1899-12-30T02:09:19"/>
    <n v="0"/>
    <n v="0"/>
  </r>
  <r>
    <n v="26"/>
    <x v="20"/>
    <d v="1899-12-30T20:36:18"/>
    <d v="1899-12-30T20:36:23"/>
    <d v="1899-12-30T22:20:03"/>
    <s v="1 hr 43 min 38s"/>
    <s v="efd-qhwb-ejp"/>
    <x v="19"/>
    <d v="1899-12-30T01:43:45"/>
    <d v="1899-12-30T02:09:21"/>
    <n v="0"/>
    <n v="0"/>
  </r>
  <r>
    <n v="27"/>
    <x v="39"/>
    <d v="1899-12-30T20:36:18"/>
    <d v="1899-12-30T22:20:01"/>
    <d v="1899-12-30T22:20:03"/>
    <s v="0 min 2s"/>
    <s v="efd-qhwb-ejp"/>
    <x v="19"/>
    <d v="1899-12-30T01:43:45"/>
    <d v="1899-12-30T02:09:23"/>
    <n v="0"/>
    <n v="0"/>
  </r>
  <r>
    <n v="28"/>
    <x v="9"/>
    <d v="1899-12-30T20:36:18"/>
    <d v="1899-12-30T20:36:23"/>
    <d v="1899-12-30T22:20:03"/>
    <s v="1 hr 43 min 36s"/>
    <s v="efd-qhwb-ejp"/>
    <x v="19"/>
    <d v="1899-12-30T01:43:45"/>
    <d v="1899-12-30T02:09:25"/>
    <n v="0"/>
    <n v="0"/>
  </r>
  <r>
    <n v="29"/>
    <x v="21"/>
    <d v="1899-12-30T20:36:18"/>
    <d v="1899-12-30T20:36:23"/>
    <d v="1899-12-30T22:20:03"/>
    <s v="1 hr 43 min 36s"/>
    <s v="efd-qhwb-ejp"/>
    <x v="19"/>
    <d v="1899-12-30T01:43:45"/>
    <d v="1899-12-30T02:09:27"/>
    <n v="0"/>
    <n v="0"/>
  </r>
  <r>
    <n v="30"/>
    <x v="64"/>
    <d v="1899-12-30T20:36:18"/>
    <d v="1899-12-30T20:36:23"/>
    <d v="1899-12-30T22:20:03"/>
    <s v="1 hr 43 min 36s"/>
    <s v="efd-qhwb-ejp"/>
    <x v="19"/>
    <d v="1899-12-30T01:43:45"/>
    <d v="1899-12-30T02:09:29"/>
    <n v="0"/>
    <n v="0"/>
  </r>
  <r>
    <n v="31"/>
    <x v="10"/>
    <d v="1899-12-30T20:36:18"/>
    <d v="1899-12-30T20:36:23"/>
    <d v="1899-12-30T22:20:03"/>
    <s v="1 hr 43 min 38s"/>
    <s v="efd-qhwb-ejp"/>
    <x v="19"/>
    <d v="1899-12-30T01:43:45"/>
    <d v="1899-12-30T02:09:31"/>
    <n v="0"/>
    <n v="0"/>
  </r>
  <r>
    <n v="32"/>
    <x v="52"/>
    <d v="1899-12-30T20:36:18"/>
    <d v="1899-12-30T20:36:23"/>
    <d v="1899-12-30T22:20:03"/>
    <s v="1 hr 43 min 36s"/>
    <s v="efd-qhwb-ejp"/>
    <x v="19"/>
    <d v="1899-12-30T01:43:45"/>
    <d v="1899-12-30T02:09:33"/>
    <n v="0"/>
    <n v="0"/>
  </r>
  <r>
    <n v="33"/>
    <x v="30"/>
    <d v="1899-12-30T20:36:18"/>
    <d v="1899-12-30T20:36:23"/>
    <d v="1899-12-30T22:20:03"/>
    <s v="1 hr 43 min 38s"/>
    <s v="efd-qhwb-ejp"/>
    <x v="19"/>
    <d v="1899-12-30T01:43:45"/>
    <d v="1899-12-30T02:09:35"/>
    <n v="0"/>
    <n v="0"/>
  </r>
  <r>
    <n v="34"/>
    <x v="23"/>
    <d v="1899-12-30T20:36:18"/>
    <d v="1899-12-30T20:36:23"/>
    <d v="1899-12-30T22:20:03"/>
    <s v="1 hr 43 min 36s"/>
    <s v="efd-qhwb-ejp"/>
    <x v="19"/>
    <d v="1899-12-30T01:43:45"/>
    <d v="1899-12-30T02:09:37"/>
    <n v="0"/>
    <n v="0"/>
  </r>
  <r>
    <n v="35"/>
    <x v="34"/>
    <d v="1899-12-30T20:36:18"/>
    <d v="1899-12-30T20:36:23"/>
    <d v="1899-12-30T22:20:03"/>
    <s v="1 hr 43 min 36s"/>
    <s v="efd-qhwb-ejp"/>
    <x v="19"/>
    <d v="1899-12-30T01:43:45"/>
    <d v="1899-12-30T02:09:39"/>
    <n v="0"/>
    <n v="0"/>
  </r>
  <r>
    <n v="36"/>
    <x v="61"/>
    <d v="1899-12-30T20:36:18"/>
    <d v="1899-12-30T20:36:23"/>
    <d v="1899-12-30T22:20:03"/>
    <s v="1 hr 43 min 38s"/>
    <s v="efd-qhwb-ejp"/>
    <x v="19"/>
    <d v="1899-12-30T01:43:45"/>
    <d v="1899-12-30T02:09:41"/>
    <n v="0"/>
    <n v="0"/>
  </r>
  <r>
    <n v="37"/>
    <x v="35"/>
    <d v="1899-12-30T20:36:18"/>
    <d v="1899-12-30T20:36:23"/>
    <d v="1899-12-30T22:20:03"/>
    <s v="1 hr 43 min 36s"/>
    <s v="efd-qhwb-ejp"/>
    <x v="19"/>
    <d v="1899-12-30T01:43:45"/>
    <d v="1899-12-30T02:09:43"/>
    <n v="0"/>
    <n v="0"/>
  </r>
  <r>
    <n v="38"/>
    <x v="40"/>
    <d v="1899-12-30T20:36:18"/>
    <d v="1899-12-30T20:36:23"/>
    <d v="1899-12-30T22:20:03"/>
    <s v="1 hr 43 min 36s"/>
    <s v="efd-qhwb-ejp"/>
    <x v="19"/>
    <d v="1899-12-30T01:43:45"/>
    <d v="1899-12-30T02:09:45"/>
    <n v="0"/>
    <n v="0"/>
  </r>
  <r>
    <n v="39"/>
    <x v="24"/>
    <d v="1899-12-30T20:36:18"/>
    <d v="1899-12-30T20:36:23"/>
    <d v="1899-12-30T22:20:03"/>
    <s v="1 hr 43 min 38s"/>
    <s v="efd-qhwb-ejp"/>
    <x v="19"/>
    <d v="1899-12-30T01:43:45"/>
    <d v="1899-12-30T02:09:47"/>
    <n v="0"/>
    <n v="0"/>
  </r>
  <r>
    <n v="40"/>
    <x v="76"/>
    <d v="1899-12-30T20:36:18"/>
    <d v="1899-12-30T20:36:27"/>
    <d v="1899-12-30T22:20:03"/>
    <s v="1 hr 43 min 32s"/>
    <s v="efd-qhwb-ejp"/>
    <x v="19"/>
    <d v="1899-12-30T01:43:45"/>
    <d v="1899-12-30T02:09:49"/>
    <n v="0"/>
    <n v="0"/>
  </r>
  <r>
    <n v="41"/>
    <x v="36"/>
    <d v="1899-12-30T20:36:18"/>
    <d v="1899-12-30T22:20:01"/>
    <d v="1899-12-30T22:20:03"/>
    <s v="0 min 2s"/>
    <s v="efd-qhwb-ejp"/>
    <x v="19"/>
    <d v="1899-12-30T01:43:45"/>
    <d v="1899-12-30T02:09:51"/>
    <n v="0"/>
    <n v="0"/>
  </r>
  <r>
    <n v="42"/>
    <x v="69"/>
    <d v="1899-12-30T20:36:18"/>
    <d v="1899-12-30T20:36:23"/>
    <d v="1899-12-30T22:20:03"/>
    <s v="1 hr 43 min 36s"/>
    <s v="efd-qhwb-ejp"/>
    <x v="19"/>
    <d v="1899-12-30T01:43:45"/>
    <d v="1899-12-30T02:09:53"/>
    <n v="0"/>
    <n v="0"/>
  </r>
  <r>
    <n v="43"/>
    <x v="67"/>
    <d v="1899-12-30T20:36:18"/>
    <d v="1899-12-30T20:36:46"/>
    <d v="1899-12-30T22:20:03"/>
    <s v="1 hr 43 min 13s"/>
    <s v="efd-qhwb-ejp"/>
    <x v="19"/>
    <d v="1899-12-30T01:43:45"/>
    <d v="1899-12-30T02:09:55"/>
    <n v="0"/>
    <n v="0"/>
  </r>
  <r>
    <n v="1"/>
    <x v="12"/>
    <d v="1899-12-30T20:38:07"/>
    <d v="1899-12-30T22:32:12"/>
    <d v="1899-12-30T22:32:20"/>
    <s v="0 min 8s"/>
    <s v="pou-vdvr-wih"/>
    <x v="20"/>
    <d v="1899-12-30T01:54:13"/>
    <d v="1899-12-30T02:09:57"/>
    <n v="0"/>
    <n v="0"/>
  </r>
  <r>
    <n v="2"/>
    <x v="0"/>
    <d v="1899-12-30T20:38:07"/>
    <d v="1899-12-30T20:38:10"/>
    <d v="1899-12-30T22:32:20"/>
    <s v="1 hr 54 min 2s"/>
    <s v="pou-vdvr-wih"/>
    <x v="20"/>
    <d v="1899-12-30T01:54:13"/>
    <d v="1899-12-30T02:09:58"/>
    <n v="0"/>
    <n v="0"/>
  </r>
  <r>
    <n v="3"/>
    <x v="1"/>
    <d v="1899-12-30T20:38:07"/>
    <d v="1899-12-30T20:38:10"/>
    <d v="1899-12-30T22:32:20"/>
    <s v="1 hr 54 min 8s"/>
    <s v="pou-vdvr-wih"/>
    <x v="20"/>
    <d v="1899-12-30T01:54:13"/>
    <d v="1899-12-30T02:09:59"/>
    <n v="0"/>
    <n v="0"/>
  </r>
  <r>
    <n v="4"/>
    <x v="2"/>
    <d v="1899-12-30T20:38:07"/>
    <d v="1899-12-30T20:38:10"/>
    <d v="1899-12-30T22:32:20"/>
    <s v="1 hr 54 min 6s"/>
    <s v="pou-vdvr-wih"/>
    <x v="20"/>
    <d v="1899-12-30T01:54:13"/>
    <d v="1899-12-30T02:10:00"/>
    <n v="0"/>
    <n v="0"/>
  </r>
  <r>
    <n v="5"/>
    <x v="65"/>
    <d v="1899-12-30T20:38:07"/>
    <d v="1899-12-30T20:38:10"/>
    <d v="1899-12-30T22:32:20"/>
    <s v="1 hr 54 min 2s"/>
    <s v="pou-vdvr-wih"/>
    <x v="20"/>
    <d v="1899-12-30T01:54:13"/>
    <d v="1899-12-30T02:10:02"/>
    <n v="0"/>
    <n v="0"/>
  </r>
  <r>
    <n v="6"/>
    <x v="13"/>
    <d v="1899-12-30T20:38:07"/>
    <d v="1899-12-30T20:38:10"/>
    <d v="1899-12-30T22:32:20"/>
    <s v="1 hr 54 min 8s"/>
    <s v="pou-vdvr-wih"/>
    <x v="20"/>
    <d v="1899-12-30T01:54:13"/>
    <d v="1899-12-30T02:10:03"/>
    <n v="0"/>
    <n v="0"/>
  </r>
  <r>
    <n v="7"/>
    <x v="4"/>
    <d v="1899-12-30T20:38:07"/>
    <d v="1899-12-30T22:32:12"/>
    <d v="1899-12-30T22:32:20"/>
    <s v="0 min 9s"/>
    <s v="pou-vdvr-wih"/>
    <x v="20"/>
    <d v="1899-12-30T01:54:13"/>
    <d v="1899-12-30T02:10:04"/>
    <n v="0"/>
    <n v="0"/>
  </r>
  <r>
    <n v="8"/>
    <x v="31"/>
    <d v="1899-12-30T20:38:07"/>
    <d v="1899-12-30T20:38:10"/>
    <d v="1899-12-30T22:32:20"/>
    <s v="1 hr 53 min 59s"/>
    <s v="pou-vdvr-wih"/>
    <x v="20"/>
    <d v="1899-12-30T01:54:13"/>
    <d v="1899-12-30T02:10:05"/>
    <n v="0"/>
    <n v="0"/>
  </r>
  <r>
    <n v="9"/>
    <x v="27"/>
    <d v="1899-12-30T20:38:07"/>
    <d v="1899-12-30T20:38:10"/>
    <d v="1899-12-30T22:32:20"/>
    <s v="1 hr 53 min 59s"/>
    <s v="pou-vdvr-wih"/>
    <x v="20"/>
    <d v="1899-12-30T01:54:13"/>
    <d v="1899-12-30T02:10:06"/>
    <n v="0"/>
    <n v="0"/>
  </r>
  <r>
    <n v="10"/>
    <x v="72"/>
    <d v="1899-12-30T20:38:07"/>
    <d v="1899-12-30T20:38:10"/>
    <d v="1899-12-30T22:32:20"/>
    <s v="1 hr 53 min 59s"/>
    <s v="pou-vdvr-wih"/>
    <x v="20"/>
    <d v="1899-12-30T01:54:13"/>
    <d v="1899-12-30T02:10:08"/>
    <n v="0"/>
    <n v="0"/>
  </r>
  <r>
    <n v="11"/>
    <x v="77"/>
    <d v="1899-12-30T20:38:07"/>
    <d v="1899-12-30T20:38:10"/>
    <d v="1899-12-30T22:32:20"/>
    <s v="1 min 15s"/>
    <s v="pou-vdvr-wih"/>
    <x v="20"/>
    <d v="1899-12-30T01:54:13"/>
    <d v="1899-12-30T02:10:09"/>
    <n v="0"/>
    <n v="0"/>
  </r>
  <r>
    <n v="12"/>
    <x v="49"/>
    <d v="1899-12-30T20:38:07"/>
    <d v="1899-12-30T20:38:10"/>
    <d v="1899-12-30T22:32:20"/>
    <s v="1 hr 53 min 59s"/>
    <s v="pou-vdvr-wih"/>
    <x v="20"/>
    <d v="1899-12-30T01:54:13"/>
    <d v="1899-12-30T02:10:10"/>
    <n v="0"/>
    <n v="0"/>
  </r>
  <r>
    <n v="13"/>
    <x v="14"/>
    <d v="1899-12-30T20:38:07"/>
    <d v="1899-12-30T20:38:10"/>
    <d v="1899-12-30T22:32:20"/>
    <s v="1 hr 53 min 59s"/>
    <s v="pou-vdvr-wih"/>
    <x v="20"/>
    <d v="1899-12-30T01:54:13"/>
    <d v="1899-12-30T02:10:11"/>
    <n v="0"/>
    <n v="0"/>
  </r>
  <r>
    <n v="14"/>
    <x v="54"/>
    <d v="1899-12-30T20:38:07"/>
    <d v="1899-12-30T20:38:10"/>
    <d v="1899-12-30T22:32:20"/>
    <s v="1 hr 53 min 59s"/>
    <s v="pou-vdvr-wih"/>
    <x v="20"/>
    <d v="1899-12-30T01:54:13"/>
    <d v="1899-12-30T02:10:13"/>
    <n v="0"/>
    <n v="0"/>
  </r>
  <r>
    <n v="15"/>
    <x v="15"/>
    <d v="1899-12-30T20:38:07"/>
    <d v="1899-12-30T20:38:10"/>
    <d v="1899-12-30T22:32:20"/>
    <s v="1 hr 53 min 59s"/>
    <s v="pou-vdvr-wih"/>
    <x v="20"/>
    <d v="1899-12-30T01:54:13"/>
    <d v="1899-12-30T02:10:14"/>
    <n v="0"/>
    <n v="0"/>
  </r>
  <r>
    <n v="16"/>
    <x v="5"/>
    <d v="1899-12-30T20:38:07"/>
    <d v="1899-12-30T20:38:10"/>
    <d v="1899-12-30T22:32:20"/>
    <s v="1 hr 54 min 8s"/>
    <s v="pou-vdvr-wih"/>
    <x v="20"/>
    <d v="1899-12-30T01:54:13"/>
    <d v="1899-12-30T02:10:15"/>
    <n v="0"/>
    <n v="0"/>
  </r>
  <r>
    <n v="17"/>
    <x v="51"/>
    <d v="1899-12-30T20:38:07"/>
    <d v="1899-12-30T20:38:10"/>
    <d v="1899-12-30T22:32:20"/>
    <s v="1 hr 54 min 8s"/>
    <s v="pou-vdvr-wih"/>
    <x v="20"/>
    <d v="1899-12-30T01:54:13"/>
    <d v="1899-12-30T02:10:16"/>
    <n v="0"/>
    <n v="0"/>
  </r>
  <r>
    <n v="18"/>
    <x v="78"/>
    <d v="1899-12-30T20:38:07"/>
    <d v="1899-12-30T20:38:10"/>
    <d v="1899-12-30T22:32:20"/>
    <s v="1 hr 53 min 59s"/>
    <s v="pou-vdvr-wih"/>
    <x v="20"/>
    <d v="1899-12-30T01:54:13"/>
    <d v="1899-12-30T02:10:18"/>
    <n v="0"/>
    <n v="0"/>
  </r>
  <r>
    <n v="19"/>
    <x v="42"/>
    <d v="1899-12-30T20:38:07"/>
    <d v="1899-12-30T20:38:10"/>
    <d v="1899-12-30T22:32:20"/>
    <s v="1 hr 53 min 59s"/>
    <s v="pou-vdvr-wih"/>
    <x v="20"/>
    <d v="1899-12-30T01:54:13"/>
    <d v="1899-12-30T02:10:19"/>
    <n v="0"/>
    <n v="0"/>
  </r>
  <r>
    <n v="20"/>
    <x v="79"/>
    <d v="1899-12-30T20:38:07"/>
    <d v="1899-12-30T20:38:10"/>
    <d v="1899-12-30T22:32:20"/>
    <s v="1 hr 54 min 8s"/>
    <s v="pou-vdvr-wih"/>
    <x v="20"/>
    <d v="1899-12-30T01:54:13"/>
    <d v="1899-12-30T02:10:20"/>
    <n v="0"/>
    <n v="0"/>
  </r>
  <r>
    <n v="21"/>
    <x v="68"/>
    <d v="1899-12-30T20:38:07"/>
    <d v="1899-12-30T22:32:12"/>
    <d v="1899-12-30T22:32:20"/>
    <s v="0 min 9s"/>
    <s v="pou-vdvr-wih"/>
    <x v="20"/>
    <d v="1899-12-30T01:54:13"/>
    <d v="1899-12-30T02:10:22"/>
    <n v="0"/>
    <n v="0"/>
  </r>
  <r>
    <n v="22"/>
    <x v="6"/>
    <d v="1899-12-30T20:38:07"/>
    <d v="1899-12-30T20:38:10"/>
    <d v="1899-12-30T22:32:20"/>
    <s v="1 hr 53 min 59s"/>
    <s v="pou-vdvr-wih"/>
    <x v="20"/>
    <d v="1899-12-30T01:54:13"/>
    <d v="1899-12-30T02:10:23"/>
    <n v="0"/>
    <n v="0"/>
  </r>
  <r>
    <n v="23"/>
    <x v="17"/>
    <d v="1899-12-30T20:38:07"/>
    <d v="1899-12-30T20:38:10"/>
    <d v="1899-12-30T22:32:20"/>
    <s v="1 hr 54 min 8s"/>
    <s v="pou-vdvr-wih"/>
    <x v="20"/>
    <d v="1899-12-30T01:54:13"/>
    <d v="1899-12-30T02:10:24"/>
    <n v="0"/>
    <n v="0"/>
  </r>
  <r>
    <n v="24"/>
    <x v="63"/>
    <d v="1899-12-30T20:38:07"/>
    <d v="1899-12-30T22:32:12"/>
    <d v="1899-12-30T22:32:20"/>
    <s v="0 min 9s"/>
    <s v="pou-vdvr-wih"/>
    <x v="20"/>
    <d v="1899-12-30T01:54:13"/>
    <d v="1899-12-30T02:10:25"/>
    <n v="0"/>
    <n v="0"/>
  </r>
  <r>
    <n v="25"/>
    <x v="43"/>
    <d v="1899-12-30T20:38:07"/>
    <d v="1899-12-30T20:38:10"/>
    <d v="1899-12-30T22:32:20"/>
    <s v="1 hr 54 min 8s"/>
    <s v="pou-vdvr-wih"/>
    <x v="20"/>
    <d v="1899-12-30T01:54:13"/>
    <d v="1899-12-30T02:10:27"/>
    <n v="0"/>
    <n v="0"/>
  </r>
  <r>
    <n v="26"/>
    <x v="73"/>
    <d v="1899-12-30T20:38:07"/>
    <d v="1899-12-30T20:38:10"/>
    <d v="1899-12-30T22:32:20"/>
    <s v="1 hr 53 min 59s"/>
    <s v="pou-vdvr-wih"/>
    <x v="20"/>
    <d v="1899-12-30T01:54:13"/>
    <d v="1899-12-30T02:10:28"/>
    <n v="0"/>
    <n v="0"/>
  </r>
  <r>
    <n v="27"/>
    <x v="7"/>
    <d v="1899-12-30T20:38:07"/>
    <d v="1899-12-30T20:38:10"/>
    <d v="1899-12-30T22:32:20"/>
    <s v="1 hr 54 min 8s"/>
    <s v="pou-vdvr-wih"/>
    <x v="20"/>
    <d v="1899-12-30T01:54:13"/>
    <d v="1899-12-30T02:10:29"/>
    <n v="0"/>
    <n v="0"/>
  </r>
  <r>
    <n v="28"/>
    <x v="18"/>
    <d v="1899-12-30T20:38:07"/>
    <d v="1899-12-30T20:38:10"/>
    <d v="1899-12-30T22:32:20"/>
    <s v="1 hr 53 min 59s"/>
    <s v="pou-vdvr-wih"/>
    <x v="20"/>
    <d v="1899-12-30T01:54:13"/>
    <d v="1899-12-30T02:10:31"/>
    <n v="0"/>
    <n v="0"/>
  </r>
  <r>
    <n v="29"/>
    <x v="19"/>
    <d v="1899-12-30T20:38:07"/>
    <d v="1899-12-30T20:38:10"/>
    <d v="1899-12-30T22:32:20"/>
    <s v="1 hr 53 min 59s"/>
    <s v="pou-vdvr-wih"/>
    <x v="20"/>
    <d v="1899-12-30T01:54:13"/>
    <d v="1899-12-30T02:10:32"/>
    <n v="0"/>
    <n v="0"/>
  </r>
  <r>
    <n v="30"/>
    <x v="38"/>
    <d v="1899-12-30T20:38:07"/>
    <d v="1899-12-30T20:38:10"/>
    <d v="1899-12-30T22:32:20"/>
    <s v="1 hr 54 min 8s"/>
    <s v="pou-vdvr-wih"/>
    <x v="20"/>
    <d v="1899-12-30T01:54:13"/>
    <d v="1899-12-30T02:10:33"/>
    <n v="0"/>
    <n v="0"/>
  </r>
  <r>
    <n v="31"/>
    <x v="48"/>
    <d v="1899-12-30T20:38:07"/>
    <d v="1899-12-30T20:38:10"/>
    <d v="1899-12-30T22:32:20"/>
    <s v="1 hr 53 min 59s"/>
    <s v="pou-vdvr-wih"/>
    <x v="20"/>
    <d v="1899-12-30T01:54:13"/>
    <d v="1899-12-30T02:10:34"/>
    <n v="0"/>
    <n v="0"/>
  </r>
  <r>
    <n v="32"/>
    <x v="59"/>
    <d v="1899-12-30T20:38:07"/>
    <d v="1899-12-30T20:38:10"/>
    <d v="1899-12-30T22:32:20"/>
    <s v="1 hr 54 min 8s"/>
    <s v="pou-vdvr-wih"/>
    <x v="20"/>
    <d v="1899-12-30T01:54:13"/>
    <d v="1899-12-30T02:10:36"/>
    <n v="0"/>
    <n v="0"/>
  </r>
  <r>
    <n v="33"/>
    <x v="8"/>
    <d v="1899-12-30T20:38:07"/>
    <d v="1899-12-30T20:38:10"/>
    <d v="1899-12-30T22:32:20"/>
    <s v="1 hr 54 min 8s"/>
    <s v="pou-vdvr-wih"/>
    <x v="20"/>
    <d v="1899-12-30T01:54:13"/>
    <d v="1899-12-30T02:10:37"/>
    <n v="0"/>
    <n v="0"/>
  </r>
  <r>
    <n v="34"/>
    <x v="29"/>
    <d v="1899-12-30T20:38:07"/>
    <d v="1899-12-30T22:32:12"/>
    <d v="1899-12-30T22:32:20"/>
    <s v="0 min 1s"/>
    <s v="pou-vdvr-wih"/>
    <x v="20"/>
    <d v="1899-12-30T01:54:13"/>
    <d v="1899-12-30T02:10:38"/>
    <n v="0"/>
    <n v="0"/>
  </r>
  <r>
    <n v="35"/>
    <x v="80"/>
    <d v="1899-12-30T20:38:07"/>
    <d v="1899-12-30T22:32:12"/>
    <d v="1899-12-30T22:32:20"/>
    <s v="0 min 9s"/>
    <s v="pou-vdvr-wih"/>
    <x v="20"/>
    <d v="1899-12-30T01:54:13"/>
    <d v="1899-12-30T02:10:40"/>
    <n v="0"/>
    <n v="0"/>
  </r>
  <r>
    <n v="36"/>
    <x v="39"/>
    <d v="1899-12-30T20:38:07"/>
    <d v="1899-12-30T20:38:10"/>
    <d v="1899-12-30T22:32:20"/>
    <s v="1 min 9s"/>
    <s v="pou-vdvr-wih"/>
    <x v="20"/>
    <d v="1899-12-30T01:54:13"/>
    <d v="1899-12-30T02:10:41"/>
    <n v="0"/>
    <n v="0"/>
  </r>
  <r>
    <n v="37"/>
    <x v="9"/>
    <d v="1899-12-30T20:38:07"/>
    <d v="1899-12-30T20:38:10"/>
    <d v="1899-12-30T22:32:20"/>
    <s v="1 hr 53 min 59s"/>
    <s v="pou-vdvr-wih"/>
    <x v="20"/>
    <d v="1899-12-30T01:54:13"/>
    <d v="1899-12-30T02:10:42"/>
    <n v="0"/>
    <n v="0"/>
  </r>
  <r>
    <n v="38"/>
    <x v="21"/>
    <d v="1899-12-30T20:38:07"/>
    <d v="1899-12-30T20:38:10"/>
    <d v="1899-12-30T22:32:20"/>
    <s v="1 hr 53 min 59s"/>
    <s v="pou-vdvr-wih"/>
    <x v="20"/>
    <d v="1899-12-30T01:54:13"/>
    <d v="1899-12-30T02:10:44"/>
    <n v="0"/>
    <n v="0"/>
  </r>
  <r>
    <n v="39"/>
    <x v="10"/>
    <d v="1899-12-30T20:38:07"/>
    <d v="1899-12-30T20:38:10"/>
    <d v="1899-12-30T22:32:20"/>
    <s v="1 hr 54 min 8s"/>
    <s v="pou-vdvr-wih"/>
    <x v="20"/>
    <d v="1899-12-30T01:54:13"/>
    <d v="1899-12-30T02:10:45"/>
    <n v="0"/>
    <n v="0"/>
  </r>
  <r>
    <n v="40"/>
    <x v="52"/>
    <d v="1899-12-30T20:38:07"/>
    <d v="1899-12-30T20:38:10"/>
    <d v="1899-12-30T22:32:20"/>
    <s v="1 hr 54 min 8s"/>
    <s v="pou-vdvr-wih"/>
    <x v="20"/>
    <d v="1899-12-30T01:54:13"/>
    <d v="1899-12-30T02:10:46"/>
    <n v="0"/>
    <n v="0"/>
  </r>
  <r>
    <n v="41"/>
    <x v="55"/>
    <d v="1899-12-30T20:38:07"/>
    <d v="1899-12-30T20:38:10"/>
    <d v="1899-12-30T22:32:20"/>
    <s v="1 hr 53 min 59s"/>
    <s v="pou-vdvr-wih"/>
    <x v="20"/>
    <d v="1899-12-30T01:54:13"/>
    <d v="1899-12-30T02:10:48"/>
    <n v="0"/>
    <n v="0"/>
  </r>
  <r>
    <n v="42"/>
    <x v="22"/>
    <d v="1899-12-30T20:38:07"/>
    <d v="1899-12-30T20:38:10"/>
    <d v="1899-12-30T22:32:20"/>
    <s v="1 hr 54 min 8s"/>
    <s v="pou-vdvr-wih"/>
    <x v="20"/>
    <d v="1899-12-30T01:54:13"/>
    <d v="1899-12-30T02:10:49"/>
    <n v="0"/>
    <n v="0"/>
  </r>
  <r>
    <n v="43"/>
    <x v="30"/>
    <d v="1899-12-30T20:38:07"/>
    <d v="1899-12-30T20:38:10"/>
    <d v="1899-12-30T22:32:20"/>
    <s v="1 hr 53 min 59s"/>
    <s v="pou-vdvr-wih"/>
    <x v="20"/>
    <d v="1899-12-30T01:54:13"/>
    <d v="1899-12-30T02:10:50"/>
    <n v="0"/>
    <n v="0"/>
  </r>
  <r>
    <n v="44"/>
    <x v="23"/>
    <d v="1899-12-30T20:38:07"/>
    <d v="1899-12-30T20:38:10"/>
    <d v="1899-12-30T22:32:20"/>
    <s v="1 hr 53 min 59s"/>
    <s v="pou-vdvr-wih"/>
    <x v="20"/>
    <d v="1899-12-30T01:54:13"/>
    <d v="1899-12-30T02:10:52"/>
    <n v="0"/>
    <n v="0"/>
  </r>
  <r>
    <n v="45"/>
    <x v="34"/>
    <d v="1899-12-30T20:38:07"/>
    <d v="1899-12-30T20:38:10"/>
    <d v="1899-12-30T22:32:20"/>
    <s v="1 hr 53 min 59s"/>
    <s v="pou-vdvr-wih"/>
    <x v="20"/>
    <d v="1899-12-30T01:54:13"/>
    <d v="1899-12-30T02:10:53"/>
    <n v="0"/>
    <n v="0"/>
  </r>
  <r>
    <n v="46"/>
    <x v="61"/>
    <d v="1899-12-30T20:38:07"/>
    <d v="1899-12-30T20:38:10"/>
    <d v="1899-12-30T22:32:20"/>
    <s v="1 hr 54 min 8s"/>
    <s v="pou-vdvr-wih"/>
    <x v="20"/>
    <d v="1899-12-30T01:54:13"/>
    <d v="1899-12-30T02:10:54"/>
    <n v="0"/>
    <n v="0"/>
  </r>
  <r>
    <n v="47"/>
    <x v="35"/>
    <d v="1899-12-30T20:38:07"/>
    <d v="1899-12-30T20:38:10"/>
    <d v="1899-12-30T22:32:20"/>
    <s v="1 hr 54 min 8s"/>
    <s v="pou-vdvr-wih"/>
    <x v="20"/>
    <d v="1899-12-30T01:54:13"/>
    <d v="1899-12-30T02:10:56"/>
    <n v="0"/>
    <n v="0"/>
  </r>
  <r>
    <n v="48"/>
    <x v="24"/>
    <d v="1899-12-30T20:38:07"/>
    <d v="1899-12-30T20:38:10"/>
    <d v="1899-12-30T22:32:20"/>
    <s v="1 hr 53 min 59s"/>
    <s v="pou-vdvr-wih"/>
    <x v="20"/>
    <d v="1899-12-30T01:54:13"/>
    <d v="1899-12-30T02:10:57"/>
    <n v="0"/>
    <n v="0"/>
  </r>
  <r>
    <n v="49"/>
    <x v="62"/>
    <d v="1899-12-30T20:38:07"/>
    <d v="1899-12-30T20:38:10"/>
    <d v="1899-12-30T22:32:20"/>
    <s v="1 hr 53 min 59s"/>
    <s v="pou-vdvr-wih"/>
    <x v="20"/>
    <d v="1899-12-30T01:54:13"/>
    <d v="1899-12-30T02:10:59"/>
    <n v="0"/>
    <n v="0"/>
  </r>
  <r>
    <n v="50"/>
    <x v="36"/>
    <d v="1899-12-30T20:38:07"/>
    <d v="1899-12-30T22:32:12"/>
    <d v="1899-12-30T22:32:20"/>
    <s v="0 min 9s"/>
    <s v="pou-vdvr-wih"/>
    <x v="20"/>
    <d v="1899-12-30T01:54:13"/>
    <d v="1899-12-30T02:11:00"/>
    <n v="0"/>
    <n v="0"/>
  </r>
  <r>
    <n v="51"/>
    <x v="69"/>
    <d v="1899-12-30T20:38:07"/>
    <d v="1899-12-30T20:38:10"/>
    <d v="1899-12-30T22:32:20"/>
    <s v="1 hr 53 min 59s"/>
    <s v="pou-vdvr-wih"/>
    <x v="20"/>
    <d v="1899-12-30T01:54:13"/>
    <d v="1899-12-30T02:11:01"/>
    <n v="0"/>
    <n v="0"/>
  </r>
  <r>
    <n v="52"/>
    <x v="67"/>
    <d v="1899-12-30T20:38:07"/>
    <d v="1899-12-30T20:38:10"/>
    <d v="1899-12-30T22:32:20"/>
    <s v="1 hr 53 min 59s"/>
    <s v="pou-vdvr-wih"/>
    <x v="20"/>
    <d v="1899-12-30T01:54:13"/>
    <d v="1899-12-30T02:11:03"/>
    <n v="0"/>
    <n v="0"/>
  </r>
  <r>
    <n v="53"/>
    <x v="11"/>
    <d v="1899-12-30T20:38:07"/>
    <d v="1899-12-30T20:38:10"/>
    <d v="1899-12-30T22:32:20"/>
    <s v="1 hr 54 min 8s"/>
    <s v="pou-vdvr-wih"/>
    <x v="20"/>
    <d v="1899-12-30T01:54:13"/>
    <d v="1899-12-30T02:11:04"/>
    <n v="0"/>
    <n v="0"/>
  </r>
  <r>
    <n v="1"/>
    <x v="0"/>
    <d v="1899-12-30T20:37:01"/>
    <d v="1899-12-30T20:37:02"/>
    <d v="1899-12-30T23:14:25"/>
    <s v="2 hr 36 min 39s"/>
    <s v="vum-zrrm-fqa"/>
    <x v="21"/>
    <d v="1899-12-30T02:37:24"/>
    <d v="1899-12-30T02:11:06"/>
    <n v="0"/>
    <n v="0"/>
  </r>
  <r>
    <n v="2"/>
    <x v="2"/>
    <d v="1899-12-30T20:37:01"/>
    <d v="1899-12-30T20:37:02"/>
    <d v="1899-12-30T23:14:25"/>
    <s v="2 hr 37 min 15s"/>
    <s v="vum-zrrm-fqa"/>
    <x v="21"/>
    <d v="1899-12-30T02:37:24"/>
    <d v="1899-12-30T02:11:03"/>
    <n v="0"/>
    <n v="0"/>
  </r>
  <r>
    <n v="3"/>
    <x v="65"/>
    <d v="1899-12-30T20:37:01"/>
    <d v="1899-12-30T22:33:37"/>
    <d v="1899-12-30T23:14:25"/>
    <s v="32 min 1s"/>
    <s v="vum-zrrm-fqa"/>
    <x v="21"/>
    <d v="1899-12-30T02:37:24"/>
    <d v="1899-12-30T02:11:01"/>
    <n v="0"/>
    <n v="0"/>
  </r>
  <r>
    <n v="4"/>
    <x v="13"/>
    <d v="1899-12-30T20:37:01"/>
    <d v="1899-12-30T20:37:02"/>
    <d v="1899-12-30T23:14:25"/>
    <s v="1 hr 56 min 29s"/>
    <s v="vum-zrrm-fqa"/>
    <x v="21"/>
    <d v="1899-12-30T02:37:24"/>
    <d v="1899-12-30T02:10:59"/>
    <n v="0"/>
    <n v="0"/>
  </r>
  <r>
    <n v="5"/>
    <x v="31"/>
    <d v="1899-12-30T20:37:01"/>
    <d v="1899-12-30T20:37:02"/>
    <d v="1899-12-30T23:14:25"/>
    <s v="1 hr 56 min 29s"/>
    <s v="vum-zrrm-fqa"/>
    <x v="21"/>
    <d v="1899-12-30T02:37:24"/>
    <d v="1899-12-30T02:10:57"/>
    <n v="0"/>
    <n v="0"/>
  </r>
  <r>
    <n v="6"/>
    <x v="27"/>
    <d v="1899-12-30T20:37:01"/>
    <d v="1899-12-30T20:37:02"/>
    <d v="1899-12-30T23:14:25"/>
    <s v="2 hr 5 min 33s"/>
    <s v="vum-zrrm-fqa"/>
    <x v="21"/>
    <d v="1899-12-30T02:37:24"/>
    <d v="1899-12-30T02:10:55"/>
    <n v="0"/>
    <n v="0"/>
  </r>
  <r>
    <n v="7"/>
    <x v="37"/>
    <d v="1899-12-30T20:37:01"/>
    <d v="1899-12-30T22:33:37"/>
    <d v="1899-12-30T23:14:25"/>
    <s v="22 min 28s"/>
    <s v="vum-zrrm-fqa"/>
    <x v="21"/>
    <d v="1899-12-30T02:37:24"/>
    <d v="1899-12-30T02:10:52"/>
    <n v="0"/>
    <n v="0"/>
  </r>
  <r>
    <n v="8"/>
    <x v="72"/>
    <d v="1899-12-30T20:37:01"/>
    <d v="1899-12-30T20:37:02"/>
    <d v="1899-12-30T23:14:25"/>
    <s v="1 hr 56 min 29s"/>
    <s v="vum-zrrm-fqa"/>
    <x v="21"/>
    <d v="1899-12-30T02:37:24"/>
    <d v="1899-12-30T02:10:50"/>
    <n v="0"/>
    <n v="0"/>
  </r>
  <r>
    <n v="9"/>
    <x v="49"/>
    <d v="1899-12-30T20:37:01"/>
    <d v="1899-12-30T20:37:02"/>
    <d v="1899-12-30T23:14:25"/>
    <s v="2 hr 37 min 12s"/>
    <s v="vum-zrrm-fqa"/>
    <x v="21"/>
    <d v="1899-12-30T02:37:24"/>
    <d v="1899-12-30T02:10:48"/>
    <n v="0"/>
    <n v="0"/>
  </r>
  <r>
    <n v="10"/>
    <x v="14"/>
    <d v="1899-12-30T20:37:01"/>
    <d v="1899-12-30T20:37:02"/>
    <d v="1899-12-30T23:14:25"/>
    <s v="1 hr 59 min 44s"/>
    <s v="vum-zrrm-fqa"/>
    <x v="21"/>
    <d v="1899-12-30T02:37:24"/>
    <d v="1899-12-30T02:10:46"/>
    <n v="0"/>
    <n v="0"/>
  </r>
  <r>
    <n v="11"/>
    <x v="54"/>
    <d v="1899-12-30T20:37:01"/>
    <d v="1899-12-30T20:37:02"/>
    <d v="1899-12-30T23:14:25"/>
    <s v="1 hr 56 min 29s"/>
    <s v="vum-zrrm-fqa"/>
    <x v="21"/>
    <d v="1899-12-30T02:37:24"/>
    <d v="1899-12-30T02:10:43"/>
    <n v="0"/>
    <n v="0"/>
  </r>
  <r>
    <n v="12"/>
    <x v="56"/>
    <d v="1899-12-30T20:37:01"/>
    <d v="1899-12-30T22:33:37"/>
    <d v="1899-12-30T23:14:25"/>
    <s v="11 min 49s"/>
    <s v="vum-zrrm-fqa"/>
    <x v="21"/>
    <d v="1899-12-30T02:37:24"/>
    <d v="1899-12-30T02:10:41"/>
    <n v="0"/>
    <n v="0"/>
  </r>
  <r>
    <n v="13"/>
    <x v="5"/>
    <d v="1899-12-30T20:37:01"/>
    <d v="1899-12-30T20:37:02"/>
    <d v="1899-12-30T23:14:25"/>
    <s v="2 hr 37 min 15s"/>
    <s v="vum-zrrm-fqa"/>
    <x v="21"/>
    <d v="1899-12-30T02:37:24"/>
    <d v="1899-12-30T02:10:39"/>
    <n v="0"/>
    <n v="0"/>
  </r>
  <r>
    <n v="14"/>
    <x v="50"/>
    <d v="1899-12-30T20:37:01"/>
    <d v="1899-12-30T20:37:02"/>
    <d v="1899-12-30T23:14:25"/>
    <s v="2 hr 24 min 29s"/>
    <s v="vum-zrrm-fqa"/>
    <x v="21"/>
    <d v="1899-12-30T02:37:24"/>
    <d v="1899-12-30T02:10:37"/>
    <n v="0"/>
    <n v="0"/>
  </r>
  <r>
    <n v="15"/>
    <x v="51"/>
    <d v="1899-12-30T20:37:01"/>
    <d v="1899-12-30T20:37:02"/>
    <d v="1899-12-30T23:14:25"/>
    <s v="2 hr 19 min 59s"/>
    <s v="vum-zrrm-fqa"/>
    <x v="21"/>
    <d v="1899-12-30T02:37:24"/>
    <d v="1899-12-30T02:10:35"/>
    <n v="0"/>
    <n v="0"/>
  </r>
  <r>
    <n v="16"/>
    <x v="78"/>
    <d v="1899-12-30T20:37:01"/>
    <d v="1899-12-30T20:37:02"/>
    <d v="1899-12-30T23:14:25"/>
    <s v="1 hr 56 min 29s"/>
    <s v="vum-zrrm-fqa"/>
    <x v="21"/>
    <d v="1899-12-30T02:37:24"/>
    <d v="1899-12-30T02:10:32"/>
    <n v="0"/>
    <n v="0"/>
  </r>
  <r>
    <n v="17"/>
    <x v="42"/>
    <d v="1899-12-30T20:37:01"/>
    <d v="1899-12-30T20:37:02"/>
    <d v="1899-12-30T23:14:25"/>
    <s v="1 hr 56 min 29s"/>
    <s v="vum-zrrm-fqa"/>
    <x v="21"/>
    <d v="1899-12-30T02:37:24"/>
    <d v="1899-12-30T02:10:30"/>
    <n v="0"/>
    <n v="0"/>
  </r>
  <r>
    <n v="18"/>
    <x v="68"/>
    <d v="1899-12-30T20:37:01"/>
    <d v="1899-12-30T20:37:02"/>
    <d v="1899-12-30T23:14:25"/>
    <s v="1 hr 56 min 29s"/>
    <s v="vum-zrrm-fqa"/>
    <x v="21"/>
    <d v="1899-12-30T02:37:24"/>
    <d v="1899-12-30T02:10:28"/>
    <n v="0"/>
    <n v="0"/>
  </r>
  <r>
    <n v="19"/>
    <x v="17"/>
    <d v="1899-12-30T20:37:01"/>
    <d v="1899-12-30T22:33:37"/>
    <d v="1899-12-30T23:14:25"/>
    <s v="40 min 46s"/>
    <s v="vum-zrrm-fqa"/>
    <x v="21"/>
    <d v="1899-12-30T02:37:24"/>
    <d v="1899-12-30T02:10:25"/>
    <n v="0"/>
    <n v="0"/>
  </r>
  <r>
    <n v="20"/>
    <x v="63"/>
    <d v="1899-12-30T20:37:01"/>
    <d v="1899-12-30T22:33:37"/>
    <d v="1899-12-30T23:14:25"/>
    <s v="40 min 46s"/>
    <s v="vum-zrrm-fqa"/>
    <x v="21"/>
    <d v="1899-12-30T02:37:24"/>
    <d v="1899-12-30T02:10:23"/>
    <n v="0"/>
    <n v="0"/>
  </r>
  <r>
    <n v="21"/>
    <x v="43"/>
    <d v="1899-12-30T20:37:01"/>
    <d v="1899-12-30T20:37:02"/>
    <d v="1899-12-30T23:14:25"/>
    <s v="1 hr 56 min 29s"/>
    <s v="vum-zrrm-fqa"/>
    <x v="21"/>
    <d v="1899-12-30T02:37:24"/>
    <d v="1899-12-30T02:10:21"/>
    <n v="0"/>
    <n v="0"/>
  </r>
  <r>
    <n v="22"/>
    <x v="73"/>
    <d v="1899-12-30T20:37:01"/>
    <d v="1899-12-30T20:37:02"/>
    <d v="1899-12-30T23:14:25"/>
    <s v="2 hr 12 min 43s"/>
    <s v="vum-zrrm-fqa"/>
    <x v="21"/>
    <d v="1899-12-30T02:37:24"/>
    <d v="1899-12-30T02:10:19"/>
    <n v="0"/>
    <n v="0"/>
  </r>
  <r>
    <n v="23"/>
    <x v="28"/>
    <d v="1899-12-30T20:37:01"/>
    <d v="1899-12-30T20:37:02"/>
    <d v="1899-12-30T23:14:25"/>
    <s v="2 hr 5 min 1s"/>
    <s v="vum-zrrm-fqa"/>
    <x v="21"/>
    <d v="1899-12-30T02:37:24"/>
    <d v="1899-12-30T02:10:16"/>
    <n v="0"/>
    <n v="0"/>
  </r>
  <r>
    <n v="24"/>
    <x v="7"/>
    <d v="1899-12-30T20:37:01"/>
    <d v="1899-12-30T20:37:02"/>
    <d v="1899-12-30T23:14:25"/>
    <s v="2 hr 37 min 15s"/>
    <s v="vum-zrrm-fqa"/>
    <x v="21"/>
    <d v="1899-12-30T02:37:24"/>
    <d v="1899-12-30T02:10:14"/>
    <n v="0"/>
    <n v="0"/>
  </r>
  <r>
    <n v="25"/>
    <x v="18"/>
    <d v="1899-12-30T20:37:01"/>
    <d v="1899-12-30T20:37:02"/>
    <d v="1899-12-30T23:14:25"/>
    <s v="1 hr 56 min 29s"/>
    <s v="vum-zrrm-fqa"/>
    <x v="21"/>
    <d v="1899-12-30T02:37:24"/>
    <d v="1899-12-30T02:10:12"/>
    <n v="0"/>
    <n v="0"/>
  </r>
  <r>
    <n v="26"/>
    <x v="19"/>
    <d v="1899-12-30T20:37:01"/>
    <d v="1899-12-30T22:33:37"/>
    <d v="1899-12-30T23:14:25"/>
    <s v="18 min 16s"/>
    <s v="vum-zrrm-fqa"/>
    <x v="21"/>
    <d v="1899-12-30T02:37:24"/>
    <d v="1899-12-30T02:10:09"/>
    <n v="0"/>
    <n v="0"/>
  </r>
  <r>
    <n v="27"/>
    <x v="38"/>
    <d v="1899-12-30T20:37:01"/>
    <d v="1899-12-30T20:37:02"/>
    <d v="1899-12-30T23:14:25"/>
    <s v="2 hr 5 min 1s"/>
    <s v="vum-zrrm-fqa"/>
    <x v="21"/>
    <d v="1899-12-30T02:37:24"/>
    <d v="1899-12-30T02:10:07"/>
    <n v="0"/>
    <n v="0"/>
  </r>
  <r>
    <n v="28"/>
    <x v="59"/>
    <d v="1899-12-30T20:37:01"/>
    <d v="1899-12-30T20:37:02"/>
    <d v="1899-12-30T23:14:25"/>
    <s v="1 hr 56 min 29s"/>
    <s v="vum-zrrm-fqa"/>
    <x v="21"/>
    <d v="1899-12-30T02:37:24"/>
    <d v="1899-12-30T02:10:05"/>
    <n v="0"/>
    <n v="0"/>
  </r>
  <r>
    <n v="29"/>
    <x v="8"/>
    <d v="1899-12-30T20:37:01"/>
    <d v="1899-12-30T22:33:37"/>
    <d v="1899-12-30T23:14:25"/>
    <s v="40 min 46s"/>
    <s v="vum-zrrm-fqa"/>
    <x v="21"/>
    <d v="1899-12-30T02:37:24"/>
    <d v="1899-12-30T02:10:02"/>
    <n v="0"/>
    <n v="0"/>
  </r>
  <r>
    <n v="30"/>
    <x v="20"/>
    <d v="1899-12-30T20:37:01"/>
    <d v="1899-12-30T22:33:37"/>
    <d v="1899-12-30T23:14:25"/>
    <s v="40 min 46s"/>
    <s v="vum-zrrm-fqa"/>
    <x v="21"/>
    <d v="1899-12-30T02:37:24"/>
    <d v="1899-12-30T02:10:00"/>
    <n v="0"/>
    <n v="0"/>
  </r>
  <r>
    <n v="31"/>
    <x v="39"/>
    <d v="1899-12-30T20:37:01"/>
    <d v="1899-12-30T20:37:02"/>
    <d v="1899-12-30T23:14:25"/>
    <s v="1 hr 56 min 45s"/>
    <s v="vum-zrrm-fqa"/>
    <x v="21"/>
    <d v="1899-12-30T02:37:24"/>
    <d v="1899-12-30T02:09:58"/>
    <n v="0"/>
    <n v="0"/>
  </r>
  <r>
    <n v="32"/>
    <x v="9"/>
    <d v="1899-12-30T20:37:01"/>
    <d v="1899-12-30T20:37:02"/>
    <d v="1899-12-30T23:14:25"/>
    <s v="2 hr 31 min 59s"/>
    <s v="vum-zrrm-fqa"/>
    <x v="21"/>
    <d v="1899-12-30T02:37:24"/>
    <d v="1899-12-30T02:09:55"/>
    <n v="0"/>
    <n v="0"/>
  </r>
  <r>
    <n v="33"/>
    <x v="10"/>
    <d v="1899-12-30T20:37:01"/>
    <d v="1899-12-30T20:37:02"/>
    <d v="1899-12-30T23:14:25"/>
    <s v="2 hr 37 min 15s"/>
    <s v="vum-zrrm-fqa"/>
    <x v="21"/>
    <d v="1899-12-30T02:37:24"/>
    <d v="1899-12-30T02:09:53"/>
    <n v="0"/>
    <n v="0"/>
  </r>
  <r>
    <n v="34"/>
    <x v="52"/>
    <d v="1899-12-30T20:37:01"/>
    <d v="1899-12-30T22:33:37"/>
    <d v="1899-12-30T23:14:25"/>
    <s v="14 min 8s"/>
    <s v="vum-zrrm-fqa"/>
    <x v="21"/>
    <d v="1899-12-30T02:37:24"/>
    <d v="1899-12-30T02:09:50"/>
    <n v="0"/>
    <n v="0"/>
  </r>
  <r>
    <n v="35"/>
    <x v="55"/>
    <d v="1899-12-30T20:37:01"/>
    <d v="1899-12-30T20:37:02"/>
    <d v="1899-12-30T23:14:25"/>
    <s v="2 hr 9 min 54s"/>
    <s v="vum-zrrm-fqa"/>
    <x v="21"/>
    <d v="1899-12-30T02:37:24"/>
    <d v="1899-12-30T02:09:48"/>
    <n v="0"/>
    <n v="0"/>
  </r>
  <r>
    <n v="36"/>
    <x v="22"/>
    <d v="1899-12-30T20:37:01"/>
    <d v="1899-12-30T20:37:02"/>
    <d v="1899-12-30T23:14:25"/>
    <s v="2 hr 12 min 11s"/>
    <s v="vum-zrrm-fqa"/>
    <x v="21"/>
    <d v="1899-12-30T02:37:24"/>
    <d v="1899-12-30T02:09:46"/>
    <n v="0"/>
    <n v="0"/>
  </r>
  <r>
    <n v="37"/>
    <x v="30"/>
    <d v="1899-12-30T20:37:01"/>
    <d v="1899-12-30T20:37:02"/>
    <d v="1899-12-30T23:14:25"/>
    <s v="2 hr 30 min 40s"/>
    <s v="vum-zrrm-fqa"/>
    <x v="21"/>
    <d v="1899-12-30T02:37:24"/>
    <d v="1899-12-30T02:09:43"/>
    <n v="0"/>
    <n v="0"/>
  </r>
  <r>
    <n v="38"/>
    <x v="23"/>
    <d v="1899-12-30T20:37:01"/>
    <d v="1899-12-30T22:33:37"/>
    <d v="1899-12-30T23:14:25"/>
    <s v="24 min 7s"/>
    <s v="vum-zrrm-fqa"/>
    <x v="21"/>
    <d v="1899-12-30T02:37:24"/>
    <d v="1899-12-30T02:09:41"/>
    <n v="0"/>
    <n v="0"/>
  </r>
  <r>
    <n v="39"/>
    <x v="34"/>
    <d v="1899-12-30T20:37:01"/>
    <d v="1899-12-30T20:37:02"/>
    <d v="1899-12-30T23:14:25"/>
    <s v="2 hr 8 min 15s"/>
    <s v="vum-zrrm-fqa"/>
    <x v="21"/>
    <d v="1899-12-30T02:37:24"/>
    <d v="1899-12-30T02:09:38"/>
    <n v="0"/>
    <n v="0"/>
  </r>
  <r>
    <n v="40"/>
    <x v="40"/>
    <d v="1899-12-30T20:37:01"/>
    <d v="1899-12-30T20:37:02"/>
    <d v="1899-12-30T23:14:25"/>
    <s v="1 hr 56 min 29s"/>
    <s v="vum-zrrm-fqa"/>
    <x v="21"/>
    <d v="1899-12-30T02:37:24"/>
    <d v="1899-12-30T02:09:36"/>
    <n v="0"/>
    <n v="0"/>
  </r>
  <r>
    <n v="41"/>
    <x v="24"/>
    <d v="1899-12-30T20:37:01"/>
    <d v="1899-12-30T22:33:37"/>
    <d v="1899-12-30T23:14:25"/>
    <s v="37 min 26s"/>
    <s v="vum-zrrm-fqa"/>
    <x v="21"/>
    <d v="1899-12-30T02:37:24"/>
    <d v="1899-12-30T02:09:34"/>
    <n v="0"/>
    <n v="0"/>
  </r>
  <r>
    <n v="42"/>
    <x v="62"/>
    <d v="1899-12-30T20:37:01"/>
    <d v="1899-12-30T20:37:02"/>
    <d v="1899-12-30T23:14:25"/>
    <s v="2 hr 17 min 41s"/>
    <s v="vum-zrrm-fqa"/>
    <x v="21"/>
    <d v="1899-12-30T02:37:24"/>
    <d v="1899-12-30T02:09:31"/>
    <n v="0"/>
    <n v="0"/>
  </r>
  <r>
    <n v="43"/>
    <x v="36"/>
    <d v="1899-12-30T20:37:01"/>
    <d v="1899-12-30T20:37:02"/>
    <d v="1899-12-30T23:14:25"/>
    <s v="2 hr 37 min 15s"/>
    <s v="vum-zrrm-fqa"/>
    <x v="21"/>
    <d v="1899-12-30T02:37:24"/>
    <d v="1899-12-30T02:09:29"/>
    <n v="0"/>
    <n v="0"/>
  </r>
  <r>
    <n v="44"/>
    <x v="47"/>
    <d v="1899-12-30T20:37:01"/>
    <d v="1899-12-30T20:37:02"/>
    <d v="1899-12-30T23:14:25"/>
    <s v="1 hr 56 min 29s"/>
    <s v="vum-zrrm-fqa"/>
    <x v="21"/>
    <d v="1899-12-30T02:37:24"/>
    <d v="1899-12-30T02:09:26"/>
    <n v="0"/>
    <n v="0"/>
  </r>
  <r>
    <n v="45"/>
    <x v="69"/>
    <d v="1899-12-30T20:37:01"/>
    <d v="1899-12-30T20:37:02"/>
    <d v="1899-12-30T23:14:25"/>
    <s v="1 hr 56 min 29s"/>
    <s v="vum-zrrm-fqa"/>
    <x v="21"/>
    <d v="1899-12-30T02:37:24"/>
    <d v="1899-12-30T02:09:24"/>
    <n v="0"/>
    <n v="0"/>
  </r>
  <r>
    <n v="46"/>
    <x v="67"/>
    <d v="1899-12-30T20:37:01"/>
    <d v="1899-12-30T22:33:37"/>
    <d v="1899-12-30T23:14:25"/>
    <s v="8 min 58s"/>
    <s v="vum-zrrm-fqa"/>
    <x v="21"/>
    <d v="1899-12-30T02:37:24"/>
    <d v="1899-12-30T02:09:21"/>
    <n v="0"/>
    <n v="0"/>
  </r>
  <r>
    <n v="47"/>
    <x v="11"/>
    <d v="1899-12-30T20:37:01"/>
    <d v="1899-12-30T20:37:02"/>
    <d v="1899-12-30T23:14:25"/>
    <s v="1 hr 56 min 29s"/>
    <s v="vum-zrrm-fqa"/>
    <x v="21"/>
    <d v="1899-12-30T02:37:24"/>
    <d v="1899-12-30T02:09:19"/>
    <n v="0"/>
    <n v="0"/>
  </r>
  <r>
    <n v="48"/>
    <x v="26"/>
    <d v="1899-12-30T20:37:01"/>
    <d v="1899-12-30T20:37:02"/>
    <d v="1899-12-30T23:14:25"/>
    <s v="2 hr 23 min 26s"/>
    <s v="vum-zrrm-fqa"/>
    <x v="21"/>
    <d v="1899-12-30T02:37:24"/>
    <d v="1899-12-30T02:09:16"/>
    <n v="0"/>
    <n v="0"/>
  </r>
  <r>
    <n v="1"/>
    <x v="12"/>
    <d v="1899-12-30T20:36:06"/>
    <d v="1899-12-30T22:08:40"/>
    <d v="1899-12-30T22:51:09"/>
    <s v="13 min 30s"/>
    <s v="cap-fywb-wck"/>
    <x v="22"/>
    <d v="1899-12-30T02:15:03"/>
    <d v="1899-12-30T02:09:14"/>
    <n v="0"/>
    <n v="0"/>
  </r>
  <r>
    <n v="2"/>
    <x v="0"/>
    <d v="1899-12-30T20:36:06"/>
    <d v="1899-12-30T20:36:07"/>
    <d v="1899-12-30T22:51:09"/>
    <s v="2 hr 14 min 33s"/>
    <s v="cap-fywb-wck"/>
    <x v="22"/>
    <d v="1899-12-30T02:15:03"/>
    <d v="1899-12-30T02:09:13"/>
    <n v="0"/>
    <n v="0"/>
  </r>
  <r>
    <n v="3"/>
    <x v="1"/>
    <d v="1899-12-30T20:36:06"/>
    <d v="1899-12-30T20:36:07"/>
    <d v="1899-12-30T22:51:09"/>
    <s v="1 hr 32 min 30s"/>
    <s v="cap-fywb-wck"/>
    <x v="22"/>
    <d v="1899-12-30T02:15:03"/>
    <d v="1899-12-30T02:09:13"/>
    <n v="0"/>
    <n v="0"/>
  </r>
  <r>
    <n v="4"/>
    <x v="2"/>
    <d v="1899-12-30T20:36:06"/>
    <d v="1899-12-30T20:36:07"/>
    <d v="1899-12-30T22:51:09"/>
    <s v="2 hr 14 min 17s"/>
    <s v="cap-fywb-wck"/>
    <x v="22"/>
    <d v="1899-12-30T02:15:03"/>
    <d v="1899-12-30T02:09:12"/>
    <n v="0"/>
    <n v="0"/>
  </r>
  <r>
    <n v="5"/>
    <x v="13"/>
    <d v="1899-12-30T20:36:06"/>
    <d v="1899-12-30T20:36:07"/>
    <d v="1899-12-30T22:51:09"/>
    <s v="1 hr 59 min 29s"/>
    <s v="cap-fywb-wck"/>
    <x v="22"/>
    <d v="1899-12-30T02:15:03"/>
    <d v="1899-12-30T02:09:12"/>
    <n v="0"/>
    <n v="0"/>
  </r>
  <r>
    <n v="6"/>
    <x v="31"/>
    <d v="1899-12-30T20:36:06"/>
    <d v="1899-12-30T20:36:07"/>
    <d v="1899-12-30T22:51:09"/>
    <s v="1 hr 32 min 30s"/>
    <s v="cap-fywb-wck"/>
    <x v="22"/>
    <d v="1899-12-30T02:15:03"/>
    <d v="1899-12-30T02:09:11"/>
    <n v="0"/>
    <n v="0"/>
  </r>
  <r>
    <n v="7"/>
    <x v="27"/>
    <d v="1899-12-30T20:36:06"/>
    <d v="1899-12-30T20:36:07"/>
    <d v="1899-12-30T22:51:09"/>
    <s v="2 hr 5 min 16s"/>
    <s v="cap-fywb-wck"/>
    <x v="22"/>
    <d v="1899-12-30T02:15:03"/>
    <d v="1899-12-30T02:09:11"/>
    <n v="0"/>
    <n v="0"/>
  </r>
  <r>
    <n v="8"/>
    <x v="37"/>
    <d v="1899-12-30T20:36:06"/>
    <d v="1899-12-30T22:08:40"/>
    <d v="1899-12-30T22:51:09"/>
    <s v="42 min 29s"/>
    <s v="cap-fywb-wck"/>
    <x v="22"/>
    <d v="1899-12-30T02:15:03"/>
    <d v="1899-12-30T02:09:10"/>
    <n v="0"/>
    <n v="0"/>
  </r>
  <r>
    <n v="9"/>
    <x v="77"/>
    <d v="1899-12-30T20:36:06"/>
    <d v="1899-12-30T20:36:07"/>
    <d v="1899-12-30T22:51:09"/>
    <s v="2 hr 14 min 16s"/>
    <s v="cap-fywb-wck"/>
    <x v="22"/>
    <d v="1899-12-30T02:15:03"/>
    <d v="1899-12-30T02:09:10"/>
    <n v="0"/>
    <n v="0"/>
  </r>
  <r>
    <n v="10"/>
    <x v="70"/>
    <d v="1899-12-30T20:36:06"/>
    <d v="1899-12-30T20:36:07"/>
    <d v="1899-12-30T22:51:09"/>
    <s v="1 hr 32 min 30s"/>
    <s v="cap-fywb-wck"/>
    <x v="22"/>
    <d v="1899-12-30T02:15:03"/>
    <d v="1899-12-30T02:09:09"/>
    <n v="0"/>
    <n v="0"/>
  </r>
  <r>
    <n v="11"/>
    <x v="14"/>
    <d v="1899-12-30T20:36:06"/>
    <d v="1899-12-30T20:36:07"/>
    <d v="1899-12-30T22:51:09"/>
    <s v="1 hr 33 min 45s"/>
    <s v="cap-fywb-wck"/>
    <x v="22"/>
    <d v="1899-12-30T02:15:03"/>
    <d v="1899-12-30T02:09:09"/>
    <n v="0"/>
    <n v="0"/>
  </r>
  <r>
    <n v="12"/>
    <x v="15"/>
    <d v="1899-12-30T20:36:06"/>
    <d v="1899-12-30T20:36:07"/>
    <d v="1899-12-30T22:51:09"/>
    <s v="1 hr 44 min 30s"/>
    <s v="cap-fywb-wck"/>
    <x v="22"/>
    <d v="1899-12-30T02:15:03"/>
    <d v="1899-12-30T02:09:08"/>
    <n v="0"/>
    <n v="0"/>
  </r>
  <r>
    <n v="13"/>
    <x v="5"/>
    <d v="1899-12-30T20:36:06"/>
    <d v="1899-12-30T20:36:07"/>
    <d v="1899-12-30T22:51:09"/>
    <s v="2 hr 14 min 59s"/>
    <s v="cap-fywb-wck"/>
    <x v="22"/>
    <d v="1899-12-30T02:15:03"/>
    <d v="1899-12-30T02:09:08"/>
    <n v="0"/>
    <n v="0"/>
  </r>
  <r>
    <n v="14"/>
    <x v="51"/>
    <d v="1899-12-30T20:36:06"/>
    <d v="1899-12-30T20:39:09"/>
    <d v="1899-12-30T22:51:09"/>
    <s v="1 hr 47 min 50s"/>
    <s v="cap-fywb-wck"/>
    <x v="22"/>
    <d v="1899-12-30T02:15:03"/>
    <d v="1899-12-30T02:09:07"/>
    <n v="0"/>
    <n v="0"/>
  </r>
  <r>
    <n v="15"/>
    <x v="6"/>
    <d v="1899-12-30T20:36:06"/>
    <d v="1899-12-30T22:08:40"/>
    <d v="1899-12-30T22:51:09"/>
    <s v="34 min 16s"/>
    <s v="cap-fywb-wck"/>
    <x v="22"/>
    <d v="1899-12-30T02:15:03"/>
    <d v="1899-12-30T02:09:07"/>
    <n v="0"/>
    <n v="0"/>
  </r>
  <r>
    <n v="16"/>
    <x v="17"/>
    <d v="1899-12-30T20:36:06"/>
    <d v="1899-12-30T22:08:40"/>
    <d v="1899-12-30T22:51:09"/>
    <s v="42 min 29s"/>
    <s v="cap-fywb-wck"/>
    <x v="22"/>
    <d v="1899-12-30T02:15:03"/>
    <d v="1899-12-30T02:09:06"/>
    <n v="0"/>
    <n v="0"/>
  </r>
  <r>
    <n v="17"/>
    <x v="63"/>
    <d v="1899-12-30T20:36:06"/>
    <d v="1899-12-30T22:13:39"/>
    <d v="1899-12-30T22:51:09"/>
    <s v="37 min 30s"/>
    <s v="cap-fywb-wck"/>
    <x v="22"/>
    <d v="1899-12-30T02:15:03"/>
    <d v="1899-12-30T02:09:05"/>
    <n v="0"/>
    <n v="0"/>
  </r>
  <r>
    <n v="18"/>
    <x v="43"/>
    <d v="1899-12-30T20:36:06"/>
    <d v="1899-12-30T22:08:40"/>
    <d v="1899-12-30T22:51:09"/>
    <s v="41 min 34s"/>
    <s v="cap-fywb-wck"/>
    <x v="22"/>
    <d v="1899-12-30T02:15:03"/>
    <d v="1899-12-30T02:09:05"/>
    <n v="0"/>
    <n v="0"/>
  </r>
  <r>
    <n v="19"/>
    <x v="73"/>
    <d v="1899-12-30T20:36:06"/>
    <d v="1899-12-30T20:36:07"/>
    <d v="1899-12-30T22:51:09"/>
    <s v="2 hr 10 min 59s"/>
    <s v="cap-fywb-wck"/>
    <x v="22"/>
    <d v="1899-12-30T02:15:03"/>
    <d v="1899-12-30T02:09:04"/>
    <n v="0"/>
    <n v="0"/>
  </r>
  <r>
    <n v="20"/>
    <x v="28"/>
    <d v="1899-12-30T20:36:06"/>
    <d v="1899-12-30T20:36:07"/>
    <d v="1899-12-30T22:51:09"/>
    <s v="3 min 2s"/>
    <s v="cap-fywb-wck"/>
    <x v="22"/>
    <d v="1899-12-30T02:15:03"/>
    <d v="1899-12-30T02:09:04"/>
    <n v="0"/>
    <n v="0"/>
  </r>
  <r>
    <n v="21"/>
    <x v="7"/>
    <d v="1899-12-30T20:36:06"/>
    <d v="1899-12-30T20:36:07"/>
    <d v="1899-12-30T22:51:09"/>
    <s v="2 hr 14 min 33s"/>
    <s v="cap-fywb-wck"/>
    <x v="22"/>
    <d v="1899-12-30T02:15:03"/>
    <d v="1899-12-30T02:09:03"/>
    <n v="0"/>
    <n v="0"/>
  </r>
  <r>
    <n v="22"/>
    <x v="18"/>
    <d v="1899-12-30T20:36:06"/>
    <d v="1899-12-30T20:36:07"/>
    <d v="1899-12-30T22:51:09"/>
    <s v="1 hr 32 min 30s"/>
    <s v="cap-fywb-wck"/>
    <x v="22"/>
    <d v="1899-12-30T02:15:03"/>
    <d v="1899-12-30T02:09:03"/>
    <n v="0"/>
    <n v="0"/>
  </r>
  <r>
    <n v="23"/>
    <x v="38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4"/>
    <x v="48"/>
    <d v="1899-12-30T20:36:06"/>
    <d v="1899-12-30T20:36:07"/>
    <d v="1899-12-30T22:51:09"/>
    <s v="1 hr 32 min 30s"/>
    <s v="cap-fywb-wck"/>
    <x v="22"/>
    <d v="1899-12-30T02:15:03"/>
    <d v="1899-12-30T02:09:02"/>
    <n v="0"/>
    <n v="0"/>
  </r>
  <r>
    <n v="25"/>
    <x v="59"/>
    <d v="1899-12-30T20:36:06"/>
    <d v="1899-12-30T20:36:07"/>
    <d v="1899-12-30T22:51:09"/>
    <s v="1 hr 32 min 30s"/>
    <s v="cap-fywb-wck"/>
    <x v="22"/>
    <d v="1899-12-30T02:15:03"/>
    <d v="1899-12-30T02:09:01"/>
    <n v="0"/>
    <n v="0"/>
  </r>
  <r>
    <n v="26"/>
    <x v="8"/>
    <d v="1899-12-30T20:36:06"/>
    <d v="1899-12-30T20:36:07"/>
    <d v="1899-12-30T22:51:09"/>
    <s v="2 hr 14 min 59s"/>
    <s v="cap-fywb-wck"/>
    <x v="22"/>
    <d v="1899-12-30T02:15:03"/>
    <d v="1899-12-30T02:09:01"/>
    <n v="0"/>
    <n v="0"/>
  </r>
  <r>
    <n v="27"/>
    <x v="20"/>
    <d v="1899-12-30T20:36:06"/>
    <d v="1899-12-30T20:36:07"/>
    <d v="1899-12-30T22:51:09"/>
    <s v="2 hr 14 min 30s"/>
    <s v="cap-fywb-wck"/>
    <x v="22"/>
    <d v="1899-12-30T02:15:03"/>
    <d v="1899-12-30T02:09:00"/>
    <n v="0"/>
    <n v="0"/>
  </r>
  <r>
    <n v="28"/>
    <x v="64"/>
    <d v="1899-12-30T20:36:06"/>
    <d v="1899-12-30T20:36:07"/>
    <d v="1899-12-30T22:51:09"/>
    <s v="1 hr 32 min 30s"/>
    <s v="cap-fywb-wck"/>
    <x v="22"/>
    <d v="1899-12-30T02:15:03"/>
    <d v="1899-12-30T02:08:59"/>
    <n v="0"/>
    <n v="0"/>
  </r>
  <r>
    <n v="29"/>
    <x v="10"/>
    <d v="1899-12-30T20:36:06"/>
    <d v="1899-12-30T20:36:07"/>
    <d v="1899-12-30T22:51:09"/>
    <s v="2 hr 14 min 20s"/>
    <s v="cap-fywb-wck"/>
    <x v="22"/>
    <d v="1899-12-30T02:15:03"/>
    <d v="1899-12-30T02:08:59"/>
    <n v="0"/>
    <n v="0"/>
  </r>
  <r>
    <n v="30"/>
    <x v="52"/>
    <d v="1899-12-30T20:36:06"/>
    <d v="1899-12-30T22:08:40"/>
    <d v="1899-12-30T22:51:09"/>
    <s v="42 min 2s"/>
    <s v="cap-fywb-wck"/>
    <x v="22"/>
    <d v="1899-12-30T02:15:03"/>
    <d v="1899-12-30T02:08:58"/>
    <n v="0"/>
    <n v="0"/>
  </r>
  <r>
    <n v="31"/>
    <x v="55"/>
    <d v="1899-12-30T20:36:06"/>
    <d v="1899-12-30T20:36:07"/>
    <d v="1899-12-30T22:51:09"/>
    <s v="2 hr 14 min 17s"/>
    <s v="cap-fywb-wck"/>
    <x v="22"/>
    <d v="1899-12-30T02:15:03"/>
    <d v="1899-12-30T02:08:58"/>
    <n v="0"/>
    <n v="0"/>
  </r>
  <r>
    <n v="32"/>
    <x v="22"/>
    <d v="1899-12-30T20:36:06"/>
    <d v="1899-12-30T20:36:07"/>
    <d v="1899-12-30T22:51:09"/>
    <s v="1 hr 59 min 52s"/>
    <s v="cap-fywb-wck"/>
    <x v="22"/>
    <d v="1899-12-30T02:15:03"/>
    <d v="1899-12-30T02:08:57"/>
    <n v="0"/>
    <n v="0"/>
  </r>
  <r>
    <n v="33"/>
    <x v="30"/>
    <d v="1899-12-30T20:36:06"/>
    <d v="1899-12-30T20:36:07"/>
    <d v="1899-12-30T22:51:09"/>
    <s v="2 hr 10 min 10s"/>
    <s v="cap-fywb-wck"/>
    <x v="22"/>
    <d v="1899-12-30T02:15:03"/>
    <d v="1899-12-30T02:08:57"/>
    <n v="0"/>
    <n v="0"/>
  </r>
  <r>
    <n v="34"/>
    <x v="23"/>
    <d v="1899-12-30T20:36:06"/>
    <d v="1899-12-30T20:36:07"/>
    <d v="1899-12-30T22:51:09"/>
    <s v="2 hr 14 min 16s"/>
    <s v="cap-fywb-wck"/>
    <x v="22"/>
    <d v="1899-12-30T02:15:03"/>
    <d v="1899-12-30T02:08:56"/>
    <n v="0"/>
    <n v="0"/>
  </r>
  <r>
    <n v="35"/>
    <x v="34"/>
    <d v="1899-12-30T20:36:06"/>
    <d v="1899-12-30T20:36:07"/>
    <d v="1899-12-30T22:51:09"/>
    <s v="2 hr 14 min 22s"/>
    <s v="cap-fywb-wck"/>
    <x v="22"/>
    <d v="1899-12-30T02:15:03"/>
    <d v="1899-12-30T02:08:56"/>
    <n v="0"/>
    <n v="0"/>
  </r>
  <r>
    <n v="36"/>
    <x v="35"/>
    <d v="1899-12-30T20:36:06"/>
    <d v="1899-12-30T22:08:40"/>
    <d v="1899-12-30T22:51:09"/>
    <s v="4 min 33s"/>
    <s v="cap-fywb-wck"/>
    <x v="22"/>
    <d v="1899-12-30T02:15:03"/>
    <d v="1899-12-30T02:08:55"/>
    <n v="0"/>
    <n v="0"/>
  </r>
  <r>
    <n v="37"/>
    <x v="24"/>
    <d v="1899-12-30T20:36:06"/>
    <d v="1899-12-30T20:36:20"/>
    <d v="1899-12-30T22:51:09"/>
    <s v="2 hr 14 min 3s"/>
    <s v="cap-fywb-wck"/>
    <x v="22"/>
    <d v="1899-12-30T02:15:03"/>
    <d v="1899-12-30T02:08:54"/>
    <n v="0"/>
    <n v="0"/>
  </r>
  <r>
    <n v="38"/>
    <x v="62"/>
    <d v="1899-12-30T20:36:06"/>
    <d v="1899-12-30T20:36:07"/>
    <d v="1899-12-30T22:51:09"/>
    <s v="2 hr 14 min 19s"/>
    <s v="cap-fywb-wck"/>
    <x v="22"/>
    <d v="1899-12-30T02:15:03"/>
    <d v="1899-12-30T02:08:54"/>
    <n v="0"/>
    <n v="0"/>
  </r>
  <r>
    <n v="39"/>
    <x v="25"/>
    <d v="1899-12-30T20:36:06"/>
    <d v="1899-12-30T20:39:09"/>
    <d v="1899-12-30T22:51:09"/>
    <s v="1 hr 31 min 58s"/>
    <s v="cap-fywb-wck"/>
    <x v="22"/>
    <d v="1899-12-30T02:15:03"/>
    <d v="1899-12-30T02:08:53"/>
    <n v="0"/>
    <n v="0"/>
  </r>
  <r>
    <n v="40"/>
    <x v="81"/>
    <d v="1899-12-30T20:36:06"/>
    <d v="1899-12-30T20:36:07"/>
    <d v="1899-12-30T22:51:09"/>
    <s v="2 hr 14 min 59s"/>
    <s v="cap-fywb-wck"/>
    <x v="22"/>
    <d v="1899-12-30T02:15:03"/>
    <d v="1899-12-30T02:08:53"/>
    <n v="0"/>
    <n v="0"/>
  </r>
  <r>
    <n v="41"/>
    <x v="76"/>
    <d v="1899-12-30T20:36:06"/>
    <d v="1899-12-30T22:08:40"/>
    <d v="1899-12-30T22:51:09"/>
    <s v="42 min 4s"/>
    <s v="cap-fywb-wck"/>
    <x v="22"/>
    <d v="1899-12-30T02:15:03"/>
    <d v="1899-12-30T02:08:52"/>
    <n v="0"/>
    <n v="0"/>
  </r>
  <r>
    <n v="42"/>
    <x v="36"/>
    <d v="1899-12-30T20:36:06"/>
    <d v="1899-12-30T20:39:09"/>
    <d v="1899-12-30T22:51:09"/>
    <s v="2 hr 11 min 57s"/>
    <s v="cap-fywb-wck"/>
    <x v="22"/>
    <d v="1899-12-30T02:15:03"/>
    <d v="1899-12-30T02:08:51"/>
    <n v="0"/>
    <n v="0"/>
  </r>
  <r>
    <n v="43"/>
    <x v="47"/>
    <d v="1899-12-30T20:36:06"/>
    <d v="1899-12-30T20:36:07"/>
    <d v="1899-12-30T22:51:09"/>
    <s v="1 hr 51 min 10s"/>
    <s v="cap-fywb-wck"/>
    <x v="22"/>
    <d v="1899-12-30T02:15:03"/>
    <d v="1899-12-30T02:08:51"/>
    <n v="0"/>
    <n v="0"/>
  </r>
  <r>
    <n v="44"/>
    <x v="11"/>
    <d v="1899-12-30T20:36:06"/>
    <d v="1899-12-30T22:08:40"/>
    <d v="1899-12-30T22:51:09"/>
    <s v="41 min 54s"/>
    <s v="cap-fywb-wck"/>
    <x v="22"/>
    <d v="1899-12-30T02:15:03"/>
    <d v="1899-12-30T02:08:50"/>
    <n v="0"/>
    <n v="0"/>
  </r>
  <r>
    <n v="1"/>
    <x v="0"/>
    <d v="1899-12-30T20:38:21"/>
    <d v="1899-12-30T20:38:25"/>
    <d v="1899-12-30T23:02:12"/>
    <s v="2 hr 18 min 24s"/>
    <s v="qiv-znga-pbm"/>
    <x v="23"/>
    <d v="1899-12-30T02:23:51"/>
    <d v="1899-12-30T02:08:50"/>
    <n v="0"/>
    <n v="0"/>
  </r>
  <r>
    <n v="2"/>
    <x v="1"/>
    <d v="1899-12-30T20:38:21"/>
    <d v="1899-12-30T20:38:25"/>
    <d v="1899-12-30T23:02:12"/>
    <s v="2 hr 21 min 48s"/>
    <s v="qiv-znga-pbm"/>
    <x v="23"/>
    <d v="1899-12-30T02:23:51"/>
    <d v="1899-12-30T02:08:48"/>
    <n v="0"/>
    <n v="0"/>
  </r>
  <r>
    <n v="3"/>
    <x v="2"/>
    <d v="1899-12-30T20:38:21"/>
    <d v="1899-12-30T20:38:25"/>
    <d v="1899-12-30T23:02:12"/>
    <s v="2 hr 18 min 43s"/>
    <s v="qiv-znga-pbm"/>
    <x v="23"/>
    <d v="1899-12-30T02:23:51"/>
    <d v="1899-12-30T02:08:47"/>
    <n v="0"/>
    <n v="0"/>
  </r>
  <r>
    <n v="4"/>
    <x v="13"/>
    <d v="1899-12-30T20:38:21"/>
    <d v="1899-12-30T20:38:25"/>
    <d v="1899-12-30T23:02:12"/>
    <s v="2 hr 18 min 24s"/>
    <s v="qiv-znga-pbm"/>
    <x v="23"/>
    <d v="1899-12-30T02:23:51"/>
    <d v="1899-12-30T02:08:45"/>
    <n v="0"/>
    <n v="0"/>
  </r>
  <r>
    <n v="5"/>
    <x v="4"/>
    <d v="1899-12-30T20:38:21"/>
    <d v="1899-12-30T20:38:25"/>
    <d v="1899-12-30T23:02:12"/>
    <s v="2 hr 18 min 24s"/>
    <s v="qiv-znga-pbm"/>
    <x v="23"/>
    <d v="1899-12-30T02:23:51"/>
    <d v="1899-12-30T02:08:44"/>
    <n v="0"/>
    <n v="0"/>
  </r>
  <r>
    <n v="6"/>
    <x v="31"/>
    <d v="1899-12-30T20:38:21"/>
    <d v="1899-12-30T20:38:25"/>
    <d v="1899-12-30T23:02:12"/>
    <s v="2 hr 18 min 24s"/>
    <s v="qiv-znga-pbm"/>
    <x v="23"/>
    <d v="1899-12-30T02:23:51"/>
    <d v="1899-12-30T02:08:43"/>
    <n v="0"/>
    <n v="0"/>
  </r>
  <r>
    <n v="7"/>
    <x v="27"/>
    <d v="1899-12-30T20:38:21"/>
    <d v="1899-12-30T20:38:25"/>
    <d v="1899-12-30T23:02:12"/>
    <s v="2 hr 18 min 24s"/>
    <s v="qiv-znga-pbm"/>
    <x v="23"/>
    <d v="1899-12-30T02:23:51"/>
    <d v="1899-12-30T02:08:41"/>
    <n v="0"/>
    <n v="0"/>
  </r>
  <r>
    <n v="8"/>
    <x v="49"/>
    <d v="1899-12-30T20:38:21"/>
    <d v="1899-12-30T20:38:25"/>
    <d v="1899-12-30T23:02:12"/>
    <s v="2 hr 18 min 24s"/>
    <s v="qiv-znga-pbm"/>
    <x v="23"/>
    <d v="1899-12-30T02:23:51"/>
    <d v="1899-12-30T02:08:40"/>
    <n v="0"/>
    <n v="0"/>
  </r>
  <r>
    <n v="9"/>
    <x v="14"/>
    <d v="1899-12-30T20:38:21"/>
    <d v="1899-12-30T20:38:25"/>
    <d v="1899-12-30T23:02:12"/>
    <s v="2 hr 18 min 24s"/>
    <s v="qiv-znga-pbm"/>
    <x v="23"/>
    <d v="1899-12-30T02:23:51"/>
    <d v="1899-12-30T02:08:38"/>
    <n v="0"/>
    <n v="0"/>
  </r>
  <r>
    <n v="10"/>
    <x v="54"/>
    <d v="1899-12-30T20:38:21"/>
    <d v="1899-12-30T20:38:25"/>
    <d v="1899-12-30T23:02:12"/>
    <s v="2 hr 18 min 24s"/>
    <s v="qiv-znga-pbm"/>
    <x v="23"/>
    <d v="1899-12-30T02:23:51"/>
    <d v="1899-12-30T02:08:37"/>
    <n v="0"/>
    <n v="0"/>
  </r>
  <r>
    <n v="11"/>
    <x v="5"/>
    <d v="1899-12-30T20:38:21"/>
    <d v="1899-12-30T20:38:25"/>
    <d v="1899-12-30T23:02:12"/>
    <s v="2 hr 23 min 47s"/>
    <s v="qiv-znga-pbm"/>
    <x v="23"/>
    <d v="1899-12-30T02:23:51"/>
    <d v="1899-12-30T02:08:35"/>
    <n v="0"/>
    <n v="0"/>
  </r>
  <r>
    <n v="12"/>
    <x v="51"/>
    <d v="1899-12-30T20:38:21"/>
    <d v="1899-12-30T20:38:25"/>
    <d v="1899-12-30T23:02:12"/>
    <s v="2 hr 18 min 24s"/>
    <s v="qiv-znga-pbm"/>
    <x v="23"/>
    <d v="1899-12-30T02:23:51"/>
    <d v="1899-12-30T02:08:34"/>
    <n v="0"/>
    <n v="0"/>
  </r>
  <r>
    <n v="13"/>
    <x v="42"/>
    <d v="1899-12-30T20:38:21"/>
    <d v="1899-12-30T20:38:25"/>
    <d v="1899-12-30T23:02:12"/>
    <s v="2 hr 18 min 24s"/>
    <s v="qiv-znga-pbm"/>
    <x v="23"/>
    <d v="1899-12-30T02:23:51"/>
    <d v="1899-12-30T02:08:32"/>
    <n v="0"/>
    <n v="0"/>
  </r>
  <r>
    <n v="14"/>
    <x v="6"/>
    <d v="1899-12-30T20:38:21"/>
    <d v="1899-12-30T20:38:25"/>
    <d v="1899-12-30T23:02:12"/>
    <s v="2 hr 18 min 24s"/>
    <s v="qiv-znga-pbm"/>
    <x v="23"/>
    <d v="1899-12-30T02:23:51"/>
    <d v="1899-12-30T02:08:31"/>
    <n v="0"/>
    <n v="0"/>
  </r>
  <r>
    <n v="15"/>
    <x v="17"/>
    <d v="1899-12-30T20:38:21"/>
    <d v="1899-12-30T20:38:25"/>
    <d v="1899-12-30T23:02:12"/>
    <s v="2 hr 23 min 47s"/>
    <s v="qiv-znga-pbm"/>
    <x v="23"/>
    <d v="1899-12-30T02:23:51"/>
    <d v="1899-12-30T02:08:29"/>
    <n v="0"/>
    <n v="0"/>
  </r>
  <r>
    <n v="16"/>
    <x v="63"/>
    <d v="1899-12-30T20:38:21"/>
    <d v="1899-12-30T20:38:25"/>
    <d v="1899-12-30T23:02:12"/>
    <s v="2 hr 18 min 24s"/>
    <s v="qiv-znga-pbm"/>
    <x v="23"/>
    <d v="1899-12-30T02:23:51"/>
    <d v="1899-12-30T02:08:28"/>
    <n v="0"/>
    <n v="0"/>
  </r>
  <r>
    <n v="17"/>
    <x v="43"/>
    <d v="1899-12-30T20:38:21"/>
    <d v="1899-12-30T20:38:25"/>
    <d v="1899-12-30T23:02:12"/>
    <s v="2 hr 19 min 11s"/>
    <s v="qiv-znga-pbm"/>
    <x v="23"/>
    <d v="1899-12-30T02:23:51"/>
    <d v="1899-12-30T02:08:26"/>
    <n v="0"/>
    <n v="0"/>
  </r>
  <r>
    <n v="18"/>
    <x v="73"/>
    <d v="1899-12-30T20:38:21"/>
    <d v="1899-12-30T20:38:25"/>
    <d v="1899-12-30T23:02:12"/>
    <s v="2 hr 18 min 24s"/>
    <s v="qiv-znga-pbm"/>
    <x v="23"/>
    <d v="1899-12-30T02:23:51"/>
    <d v="1899-12-30T02:08:25"/>
    <n v="0"/>
    <n v="0"/>
  </r>
  <r>
    <n v="19"/>
    <x v="58"/>
    <d v="1899-12-30T20:38:21"/>
    <d v="1899-12-30T20:38:25"/>
    <d v="1899-12-30T23:02:12"/>
    <s v="2 hr 18 min 24s"/>
    <s v="qiv-znga-pbm"/>
    <x v="23"/>
    <d v="1899-12-30T02:23:51"/>
    <d v="1899-12-30T02:08:23"/>
    <n v="0"/>
    <n v="0"/>
  </r>
  <r>
    <n v="20"/>
    <x v="7"/>
    <d v="1899-12-30T20:38:21"/>
    <d v="1899-12-30T20:38:25"/>
    <d v="1899-12-30T23:02:12"/>
    <s v="2 hr 18 min 24s"/>
    <s v="qiv-znga-pbm"/>
    <x v="23"/>
    <d v="1899-12-30T02:23:51"/>
    <d v="1899-12-30T02:08:22"/>
    <n v="0"/>
    <n v="0"/>
  </r>
  <r>
    <n v="21"/>
    <x v="38"/>
    <d v="1899-12-30T20:38:21"/>
    <d v="1899-12-30T20:38:25"/>
    <d v="1899-12-30T23:02:12"/>
    <s v="5 min 47s"/>
    <s v="qiv-znga-pbm"/>
    <x v="23"/>
    <d v="1899-12-30T02:23:51"/>
    <d v="1899-12-30T02:08:20"/>
    <n v="0"/>
    <n v="0"/>
  </r>
  <r>
    <n v="22"/>
    <x v="48"/>
    <d v="1899-12-30T20:38:21"/>
    <d v="1899-12-30T20:38:25"/>
    <d v="1899-12-30T23:02:12"/>
    <s v="2 hr 18 min 24s"/>
    <s v="qiv-znga-pbm"/>
    <x v="23"/>
    <d v="1899-12-30T02:23:51"/>
    <d v="1899-12-30T02:08:19"/>
    <n v="0"/>
    <n v="0"/>
  </r>
  <r>
    <n v="23"/>
    <x v="59"/>
    <d v="1899-12-30T20:38:21"/>
    <d v="1899-12-30T20:38:25"/>
    <d v="1899-12-30T23:02:12"/>
    <s v="2 hr 18 min 24s"/>
    <s v="qiv-znga-pbm"/>
    <x v="23"/>
    <d v="1899-12-30T02:23:51"/>
    <d v="1899-12-30T02:08:17"/>
    <n v="0"/>
    <n v="0"/>
  </r>
  <r>
    <n v="24"/>
    <x v="8"/>
    <d v="1899-12-30T20:38:21"/>
    <d v="1899-12-30T20:38:25"/>
    <d v="1899-12-30T23:02:12"/>
    <s v="2 hr 23 min 47s"/>
    <s v="qiv-znga-pbm"/>
    <x v="23"/>
    <d v="1899-12-30T02:23:51"/>
    <d v="1899-12-30T02:08:16"/>
    <n v="0"/>
    <n v="0"/>
  </r>
  <r>
    <n v="25"/>
    <x v="20"/>
    <d v="1899-12-30T20:38:21"/>
    <d v="1899-12-30T20:38:25"/>
    <d v="1899-12-30T23:02:12"/>
    <s v="2 hr 23 min 47s"/>
    <s v="qiv-znga-pbm"/>
    <x v="23"/>
    <d v="1899-12-30T02:23:51"/>
    <d v="1899-12-30T02:08:14"/>
    <n v="0"/>
    <n v="0"/>
  </r>
  <r>
    <n v="26"/>
    <x v="9"/>
    <d v="1899-12-30T20:38:21"/>
    <d v="1899-12-30T20:38:25"/>
    <d v="1899-12-30T23:02:12"/>
    <s v="2 hr 18 min 24s"/>
    <s v="qiv-znga-pbm"/>
    <x v="23"/>
    <d v="1899-12-30T02:23:51"/>
    <d v="1899-12-30T02:08:13"/>
    <n v="0"/>
    <n v="0"/>
  </r>
  <r>
    <n v="27"/>
    <x v="10"/>
    <d v="1899-12-30T20:38:21"/>
    <d v="1899-12-30T20:38:25"/>
    <d v="1899-12-30T23:02:12"/>
    <s v="2 hr 18 min 24s"/>
    <s v="qiv-znga-pbm"/>
    <x v="23"/>
    <d v="1899-12-30T02:23:51"/>
    <d v="1899-12-30T02:08:11"/>
    <n v="0"/>
    <n v="0"/>
  </r>
  <r>
    <n v="28"/>
    <x v="22"/>
    <d v="1899-12-30T20:38:21"/>
    <d v="1899-12-30T20:38:25"/>
    <d v="1899-12-30T23:02:12"/>
    <s v="2 hr 18 min 24s"/>
    <s v="qiv-znga-pbm"/>
    <x v="23"/>
    <d v="1899-12-30T02:23:51"/>
    <d v="1899-12-30T02:08:10"/>
    <n v="0"/>
    <n v="0"/>
  </r>
  <r>
    <n v="29"/>
    <x v="30"/>
    <d v="1899-12-30T20:38:21"/>
    <d v="1899-12-30T20:38:25"/>
    <d v="1899-12-30T23:02:12"/>
    <s v="2 hr 18 min 24s"/>
    <s v="qiv-znga-pbm"/>
    <x v="23"/>
    <d v="1899-12-30T02:23:51"/>
    <d v="1899-12-30T02:08:08"/>
    <n v="0"/>
    <n v="0"/>
  </r>
  <r>
    <n v="30"/>
    <x v="82"/>
    <d v="1899-12-30T20:38:21"/>
    <d v="1899-12-30T22:58:55"/>
    <d v="1899-12-30T23:02:12"/>
    <s v="3 min 18s"/>
    <s v="qiv-znga-pbm"/>
    <x v="23"/>
    <d v="1899-12-30T02:23:51"/>
    <d v="1899-12-30T02:08:07"/>
    <n v="0"/>
    <n v="0"/>
  </r>
  <r>
    <n v="31"/>
    <x v="23"/>
    <d v="1899-12-30T20:38:21"/>
    <d v="1899-12-30T20:38:25"/>
    <d v="1899-12-30T23:02:12"/>
    <s v="2 hr 18 min 24s"/>
    <s v="qiv-znga-pbm"/>
    <x v="23"/>
    <d v="1899-12-30T02:23:51"/>
    <d v="1899-12-30T02:08:05"/>
    <n v="0"/>
    <n v="0"/>
  </r>
  <r>
    <n v="32"/>
    <x v="34"/>
    <d v="1899-12-30T20:38:21"/>
    <d v="1899-12-30T20:38:25"/>
    <d v="1899-12-30T23:02:12"/>
    <s v="2 hr 18 min 24s"/>
    <s v="qiv-znga-pbm"/>
    <x v="23"/>
    <d v="1899-12-30T02:23:51"/>
    <d v="1899-12-30T02:08:03"/>
    <n v="0"/>
    <n v="0"/>
  </r>
  <r>
    <n v="33"/>
    <x v="35"/>
    <d v="1899-12-30T20:38:21"/>
    <d v="1899-12-30T20:38:25"/>
    <d v="1899-12-30T23:02:12"/>
    <s v="2 hr 18 min 39s"/>
    <s v="qiv-znga-pbm"/>
    <x v="23"/>
    <d v="1899-12-30T02:23:51"/>
    <d v="1899-12-30T02:08:02"/>
    <n v="0"/>
    <n v="0"/>
  </r>
  <r>
    <n v="34"/>
    <x v="24"/>
    <d v="1899-12-30T20:38:21"/>
    <d v="1899-12-30T20:38:25"/>
    <d v="1899-12-30T23:02:12"/>
    <s v="2 hr 23 min 47s"/>
    <s v="qiv-znga-pbm"/>
    <x v="23"/>
    <d v="1899-12-30T02:23:51"/>
    <d v="1899-12-30T02:08:00"/>
    <n v="0"/>
    <n v="0"/>
  </r>
  <r>
    <n v="35"/>
    <x v="81"/>
    <d v="1899-12-30T20:38:21"/>
    <d v="1899-12-30T20:38:25"/>
    <d v="1899-12-30T23:02:12"/>
    <s v="2 hr 18 min 24s"/>
    <s v="qiv-znga-pbm"/>
    <x v="23"/>
    <d v="1899-12-30T02:23:51"/>
    <d v="1899-12-30T02:07:59"/>
    <n v="0"/>
    <n v="0"/>
  </r>
  <r>
    <n v="36"/>
    <x v="76"/>
    <d v="1899-12-30T20:38:21"/>
    <d v="1899-12-30T20:38:25"/>
    <d v="1899-12-30T23:02:12"/>
    <s v="2 hr 18 min 24s"/>
    <s v="qiv-znga-pbm"/>
    <x v="23"/>
    <d v="1899-12-30T02:23:51"/>
    <d v="1899-12-30T02:07:57"/>
    <n v="0"/>
    <n v="0"/>
  </r>
  <r>
    <n v="37"/>
    <x v="83"/>
    <d v="1899-12-30T20:38:21"/>
    <d v="1899-12-30T20:38:25"/>
    <d v="1899-12-30T23:02:12"/>
    <s v="2 hr 18 min 24s"/>
    <s v="qiv-znga-pbm"/>
    <x v="23"/>
    <d v="1899-12-30T02:23:51"/>
    <d v="1899-12-30T02:07:56"/>
    <n v="0"/>
    <n v="0"/>
  </r>
  <r>
    <n v="38"/>
    <x v="36"/>
    <d v="1899-12-30T20:38:21"/>
    <d v="1899-12-30T20:38:25"/>
    <d v="1899-12-30T23:02:12"/>
    <s v="2 hr 23 min 47s"/>
    <s v="qiv-znga-pbm"/>
    <x v="23"/>
    <d v="1899-12-30T02:23:51"/>
    <d v="1899-12-30T02:07:54"/>
    <n v="0"/>
    <n v="0"/>
  </r>
  <r>
    <n v="39"/>
    <x v="47"/>
    <d v="1899-12-30T20:38:21"/>
    <d v="1899-12-30T20:38:25"/>
    <d v="1899-12-30T23:02:12"/>
    <s v="0 min 32s"/>
    <s v="qiv-znga-pbm"/>
    <x v="23"/>
    <d v="1899-12-30T02:23:51"/>
    <d v="1899-12-30T02:07:52"/>
    <n v="0"/>
    <n v="0"/>
  </r>
  <r>
    <n v="40"/>
    <x v="69"/>
    <d v="1899-12-30T20:38:21"/>
    <d v="1899-12-30T20:38:41"/>
    <d v="1899-12-30T23:02:12"/>
    <s v="2 hr 18 min 7s"/>
    <s v="qiv-znga-pbm"/>
    <x v="23"/>
    <d v="1899-12-30T02:23:51"/>
    <d v="1899-12-30T02:07:51"/>
    <n v="0"/>
    <n v="0"/>
  </r>
  <r>
    <n v="1"/>
    <x v="12"/>
    <d v="1899-12-30T20:37:17"/>
    <d v="1899-12-30T21:39:32"/>
    <d v="1899-12-30T23:10:04"/>
    <s v="59 min 23s"/>
    <s v="pip-nwdr-msi"/>
    <x v="24"/>
    <d v="1899-12-30T02:32:47"/>
    <d v="1899-12-30T02:07:49"/>
    <n v="0"/>
    <n v="0"/>
  </r>
  <r>
    <n v="2"/>
    <x v="0"/>
    <d v="1899-12-30T20:37:17"/>
    <d v="1899-12-30T20:37:21"/>
    <d v="1899-12-30T23:10:04"/>
    <s v="2 hr 17 min 47s"/>
    <s v="pip-nwdr-msi"/>
    <x v="24"/>
    <d v="1899-12-30T02:32:47"/>
    <d v="1899-12-30T02:07:47"/>
    <n v="0"/>
    <n v="0"/>
  </r>
  <r>
    <n v="3"/>
    <x v="1"/>
    <d v="1899-12-30T20:37:17"/>
    <d v="1899-12-30T20:37:21"/>
    <d v="1899-12-30T23:10:04"/>
    <s v="2 hr 32 min 12s"/>
    <s v="pip-nwdr-msi"/>
    <x v="24"/>
    <d v="1899-12-30T02:32:47"/>
    <d v="1899-12-30T02:07:44"/>
    <n v="0"/>
    <n v="0"/>
  </r>
  <r>
    <n v="4"/>
    <x v="2"/>
    <d v="1899-12-30T20:37:17"/>
    <d v="1899-12-30T20:37:21"/>
    <d v="1899-12-30T23:10:04"/>
    <s v="2 hr 28 min 5s"/>
    <s v="pip-nwdr-msi"/>
    <x v="24"/>
    <d v="1899-12-30T02:32:47"/>
    <d v="1899-12-30T02:07:42"/>
    <n v="0"/>
    <n v="0"/>
  </r>
  <r>
    <n v="5"/>
    <x v="65"/>
    <d v="1899-12-30T20:37:17"/>
    <d v="1899-12-30T20:37:21"/>
    <d v="1899-12-30T23:10:04"/>
    <s v="1 hr 43 min 49s"/>
    <s v="pip-nwdr-msi"/>
    <x v="24"/>
    <d v="1899-12-30T02:32:47"/>
    <d v="1899-12-30T02:07:39"/>
    <n v="0"/>
    <n v="0"/>
  </r>
  <r>
    <n v="6"/>
    <x v="13"/>
    <d v="1899-12-30T20:37:17"/>
    <d v="1899-12-30T20:37:21"/>
    <d v="1899-12-30T23:10:04"/>
    <s v="2 hr 32 min 11s"/>
    <s v="pip-nwdr-msi"/>
    <x v="24"/>
    <d v="1899-12-30T02:32:47"/>
    <d v="1899-12-30T02:07:36"/>
    <n v="0"/>
    <n v="0"/>
  </r>
  <r>
    <n v="7"/>
    <x v="31"/>
    <d v="1899-12-30T20:37:17"/>
    <d v="1899-12-30T20:37:21"/>
    <d v="1899-12-30T23:10:04"/>
    <s v="1 hr 43 min 49s"/>
    <s v="pip-nwdr-msi"/>
    <x v="24"/>
    <d v="1899-12-30T02:32:47"/>
    <d v="1899-12-30T02:07:34"/>
    <n v="0"/>
    <n v="0"/>
  </r>
  <r>
    <n v="8"/>
    <x v="27"/>
    <d v="1899-12-30T20:37:17"/>
    <d v="1899-12-30T20:37:21"/>
    <d v="1899-12-30T23:10:04"/>
    <s v="1 hr 43 min 49s"/>
    <s v="pip-nwdr-msi"/>
    <x v="24"/>
    <d v="1899-12-30T02:32:47"/>
    <d v="1899-12-30T02:07:31"/>
    <n v="0"/>
    <n v="0"/>
  </r>
  <r>
    <n v="9"/>
    <x v="37"/>
    <d v="1899-12-30T20:37:17"/>
    <d v="1899-12-30T20:37:21"/>
    <d v="1899-12-30T23:10:04"/>
    <s v="2 hr 30 min 37s"/>
    <s v="pip-nwdr-msi"/>
    <x v="24"/>
    <d v="1899-12-30T02:32:47"/>
    <d v="1899-12-30T02:07:29"/>
    <n v="0"/>
    <n v="0"/>
  </r>
  <r>
    <n v="10"/>
    <x v="49"/>
    <d v="1899-12-30T20:37:17"/>
    <d v="1899-12-30T20:37:21"/>
    <d v="1899-12-30T23:10:04"/>
    <s v="1 hr 43 min 49s"/>
    <s v="pip-nwdr-msi"/>
    <x v="24"/>
    <d v="1899-12-30T02:32:47"/>
    <d v="1899-12-30T02:07:26"/>
    <n v="0"/>
    <n v="0"/>
  </r>
  <r>
    <n v="11"/>
    <x v="14"/>
    <d v="1899-12-30T20:37:17"/>
    <d v="1899-12-30T20:37:21"/>
    <d v="1899-12-30T23:10:04"/>
    <s v="1 hr 49 min 38s"/>
    <s v="pip-nwdr-msi"/>
    <x v="24"/>
    <d v="1899-12-30T02:32:47"/>
    <d v="1899-12-30T02:07:24"/>
    <n v="0"/>
    <n v="0"/>
  </r>
  <r>
    <n v="12"/>
    <x v="54"/>
    <d v="1899-12-30T20:37:17"/>
    <d v="1899-12-30T20:37:21"/>
    <d v="1899-12-30T23:10:04"/>
    <s v="1 hr 43 min 49s"/>
    <s v="pip-nwdr-msi"/>
    <x v="24"/>
    <d v="1899-12-30T02:32:47"/>
    <d v="1899-12-30T02:07:21"/>
    <n v="0"/>
    <n v="0"/>
  </r>
  <r>
    <n v="13"/>
    <x v="5"/>
    <d v="1899-12-30T20:37:17"/>
    <d v="1899-12-30T20:37:21"/>
    <d v="1899-12-30T23:10:04"/>
    <s v="2 hr 32 min 37s"/>
    <s v="pip-nwdr-msi"/>
    <x v="24"/>
    <d v="1899-12-30T02:32:47"/>
    <d v="1899-12-30T02:07:18"/>
    <n v="0"/>
    <n v="0"/>
  </r>
  <r>
    <n v="14"/>
    <x v="50"/>
    <d v="1899-12-30T20:37:17"/>
    <d v="1899-12-30T20:37:21"/>
    <d v="1899-12-30T23:10:04"/>
    <s v="1 hr 2 min 9s"/>
    <s v="pip-nwdr-msi"/>
    <x v="24"/>
    <d v="1899-12-30T02:32:47"/>
    <d v="1899-12-30T02:07:16"/>
    <n v="0"/>
    <n v="0"/>
  </r>
  <r>
    <n v="15"/>
    <x v="51"/>
    <d v="1899-12-30T20:37:17"/>
    <d v="1899-12-30T21:39:32"/>
    <d v="1899-12-30T23:10:04"/>
    <s v="41 min 40s"/>
    <s v="pip-nwdr-msi"/>
    <x v="24"/>
    <d v="1899-12-30T02:32:47"/>
    <d v="1899-12-30T02:07:13"/>
    <n v="0"/>
    <n v="0"/>
  </r>
  <r>
    <n v="16"/>
    <x v="78"/>
    <d v="1899-12-30T20:37:17"/>
    <d v="1899-12-30T21:39:32"/>
    <d v="1899-12-30T23:10:04"/>
    <s v="1 hr 30 min 28s"/>
    <s v="pip-nwdr-msi"/>
    <x v="24"/>
    <d v="1899-12-30T02:32:47"/>
    <d v="1899-12-30T02:07:10"/>
    <n v="0"/>
    <n v="0"/>
  </r>
  <r>
    <n v="17"/>
    <x v="84"/>
    <d v="1899-12-30T20:37:17"/>
    <d v="1899-12-30T21:39:32"/>
    <d v="1899-12-30T23:10:04"/>
    <s v="1 hr 30 min 25s"/>
    <s v="pip-nwdr-msi"/>
    <x v="24"/>
    <d v="1899-12-30T02:32:47"/>
    <d v="1899-12-30T02:07:08"/>
    <n v="0"/>
    <n v="0"/>
  </r>
  <r>
    <n v="18"/>
    <x v="68"/>
    <d v="1899-12-30T20:37:17"/>
    <d v="1899-12-30T21:39:32"/>
    <d v="1899-12-30T23:10:04"/>
    <s v="41 min 40s"/>
    <s v="pip-nwdr-msi"/>
    <x v="24"/>
    <d v="1899-12-30T02:32:47"/>
    <d v="1899-12-30T02:07:05"/>
    <n v="0"/>
    <n v="0"/>
  </r>
  <r>
    <n v="19"/>
    <x v="6"/>
    <d v="1899-12-30T20:37:17"/>
    <d v="1899-12-30T20:37:21"/>
    <d v="1899-12-30T23:10:04"/>
    <s v="1 hr 53 min 58s"/>
    <s v="pip-nwdr-msi"/>
    <x v="24"/>
    <d v="1899-12-30T02:32:47"/>
    <d v="1899-12-30T02:07:02"/>
    <n v="0"/>
    <n v="0"/>
  </r>
  <r>
    <n v="20"/>
    <x v="17"/>
    <d v="1899-12-30T20:37:17"/>
    <d v="1899-12-30T20:37:21"/>
    <d v="1899-12-30T23:10:04"/>
    <s v="2 hr 32 min 37s"/>
    <s v="pip-nwdr-msi"/>
    <x v="24"/>
    <d v="1899-12-30T02:32:47"/>
    <d v="1899-12-30T02:07:00"/>
    <n v="0"/>
    <n v="0"/>
  </r>
  <r>
    <n v="21"/>
    <x v="85"/>
    <d v="1899-12-30T20:37:17"/>
    <d v="1899-12-30T20:37:21"/>
    <d v="1899-12-30T23:10:04"/>
    <s v="2 hr 23 min 16s"/>
    <s v="pip-nwdr-msi"/>
    <x v="24"/>
    <d v="1899-12-30T02:32:47"/>
    <d v="1899-12-30T02:06:57"/>
    <n v="0"/>
    <n v="0"/>
  </r>
  <r>
    <n v="22"/>
    <x v="43"/>
    <d v="1899-12-30T20:37:17"/>
    <d v="1899-12-30T20:37:21"/>
    <d v="1899-12-30T23:10:04"/>
    <s v="2 hr 2 min 20s"/>
    <s v="pip-nwdr-msi"/>
    <x v="24"/>
    <d v="1899-12-30T02:32:47"/>
    <d v="1899-12-30T02:06:54"/>
    <n v="0"/>
    <n v="0"/>
  </r>
  <r>
    <n v="23"/>
    <x v="28"/>
    <d v="1899-12-30T20:37:17"/>
    <d v="1899-12-30T21:39:32"/>
    <d v="1899-12-30T23:10:04"/>
    <s v="41 min 40s"/>
    <s v="pip-nwdr-msi"/>
    <x v="24"/>
    <d v="1899-12-30T02:32:47"/>
    <d v="1899-12-30T02:06:52"/>
    <n v="0"/>
    <n v="0"/>
  </r>
  <r>
    <n v="24"/>
    <x v="58"/>
    <d v="1899-12-30T20:37:17"/>
    <d v="1899-12-30T22:50:36"/>
    <d v="1899-12-30T23:10:04"/>
    <s v="19 min 25s"/>
    <s v="pip-nwdr-msi"/>
    <x v="24"/>
    <d v="1899-12-30T02:32:47"/>
    <d v="1899-12-30T02:06:49"/>
    <n v="0"/>
    <n v="0"/>
  </r>
  <r>
    <n v="25"/>
    <x v="7"/>
    <d v="1899-12-30T20:37:17"/>
    <d v="1899-12-30T20:37:21"/>
    <d v="1899-12-30T23:10:04"/>
    <s v="2 hr 10 min 33s"/>
    <s v="pip-nwdr-msi"/>
    <x v="24"/>
    <d v="1899-12-30T02:32:47"/>
    <d v="1899-12-30T02:06:46"/>
    <n v="0"/>
    <n v="0"/>
  </r>
  <r>
    <n v="26"/>
    <x v="38"/>
    <d v="1899-12-30T20:37:17"/>
    <d v="1899-12-30T21:39:32"/>
    <d v="1899-12-30T23:10:04"/>
    <s v="1 hr 30 min 25s"/>
    <s v="pip-nwdr-msi"/>
    <x v="24"/>
    <d v="1899-12-30T02:32:47"/>
    <d v="1899-12-30T02:06:43"/>
    <n v="0"/>
    <n v="0"/>
  </r>
  <r>
    <n v="27"/>
    <x v="59"/>
    <d v="1899-12-30T20:37:17"/>
    <d v="1899-12-30T20:37:21"/>
    <d v="1899-12-30T23:10:04"/>
    <s v="1 hr 43 min 49s"/>
    <s v="pip-nwdr-msi"/>
    <x v="24"/>
    <d v="1899-12-30T02:32:47"/>
    <d v="1899-12-30T02:06:41"/>
    <n v="0"/>
    <n v="0"/>
  </r>
  <r>
    <n v="28"/>
    <x v="8"/>
    <d v="1899-12-30T20:37:17"/>
    <d v="1899-12-30T20:37:21"/>
    <d v="1899-12-30T23:10:04"/>
    <s v="2 hr 32 min 37s"/>
    <s v="pip-nwdr-msi"/>
    <x v="24"/>
    <d v="1899-12-30T02:32:47"/>
    <d v="1899-12-30T02:06:38"/>
    <n v="0"/>
    <n v="0"/>
  </r>
  <r>
    <n v="29"/>
    <x v="39"/>
    <d v="1899-12-30T20:37:17"/>
    <d v="1899-12-30T20:37:21"/>
    <d v="1899-12-30T23:10:04"/>
    <s v="1 hr 43 min 49s"/>
    <s v="pip-nwdr-msi"/>
    <x v="24"/>
    <d v="1899-12-30T02:32:47"/>
    <d v="1899-12-30T02:06:35"/>
    <n v="0"/>
    <n v="0"/>
  </r>
  <r>
    <n v="30"/>
    <x v="9"/>
    <d v="1899-12-30T20:37:17"/>
    <d v="1899-12-30T20:37:21"/>
    <d v="1899-12-30T23:10:04"/>
    <s v="2 hr 10 min 33s"/>
    <s v="pip-nwdr-msi"/>
    <x v="24"/>
    <d v="1899-12-30T02:32:47"/>
    <d v="1899-12-30T02:06:32"/>
    <n v="0"/>
    <n v="0"/>
  </r>
  <r>
    <n v="31"/>
    <x v="86"/>
    <d v="1899-12-30T20:37:17"/>
    <d v="1899-12-30T20:37:21"/>
    <d v="1899-12-30T23:10:04"/>
    <s v="2 hr 32 min 34s"/>
    <s v="pip-nwdr-msi"/>
    <x v="24"/>
    <d v="1899-12-30T02:32:47"/>
    <d v="1899-12-30T02:06:30"/>
    <n v="0"/>
    <n v="0"/>
  </r>
  <r>
    <n v="32"/>
    <x v="21"/>
    <d v="1899-12-30T20:37:17"/>
    <d v="1899-12-30T20:37:21"/>
    <d v="1899-12-30T23:10:04"/>
    <s v="1 hr 43 min 49s"/>
    <s v="pip-nwdr-msi"/>
    <x v="24"/>
    <d v="1899-12-30T02:32:47"/>
    <d v="1899-12-30T02:06:27"/>
    <n v="0"/>
    <n v="0"/>
  </r>
  <r>
    <n v="33"/>
    <x v="64"/>
    <d v="1899-12-30T20:37:17"/>
    <d v="1899-12-30T21:39:32"/>
    <d v="1899-12-30T23:10:04"/>
    <s v="1 hr 8 min 24s"/>
    <s v="pip-nwdr-msi"/>
    <x v="24"/>
    <d v="1899-12-30T02:32:47"/>
    <d v="1899-12-30T02:06:24"/>
    <n v="0"/>
    <n v="0"/>
  </r>
  <r>
    <n v="34"/>
    <x v="10"/>
    <d v="1899-12-30T20:37:17"/>
    <d v="1899-12-30T20:37:21"/>
    <d v="1899-12-30T23:10:04"/>
    <s v="2 hr 32 min 36s"/>
    <s v="pip-nwdr-msi"/>
    <x v="24"/>
    <d v="1899-12-30T02:32:47"/>
    <d v="1899-12-30T02:06:21"/>
    <n v="0"/>
    <n v="0"/>
  </r>
  <r>
    <n v="35"/>
    <x v="52"/>
    <d v="1899-12-30T20:37:17"/>
    <d v="1899-12-30T20:37:21"/>
    <d v="1899-12-30T23:10:04"/>
    <s v="1 hr 2 min 9s"/>
    <s v="pip-nwdr-msi"/>
    <x v="24"/>
    <d v="1899-12-30T02:32:47"/>
    <d v="1899-12-30T02:06:18"/>
    <n v="0"/>
    <n v="0"/>
  </r>
  <r>
    <n v="36"/>
    <x v="22"/>
    <d v="1899-12-30T20:37:17"/>
    <d v="1899-12-30T20:37:21"/>
    <d v="1899-12-30T23:10:04"/>
    <s v="1 hr 55 min 31s"/>
    <s v="pip-nwdr-msi"/>
    <x v="24"/>
    <d v="1899-12-30T02:32:47"/>
    <d v="1899-12-30T02:06:16"/>
    <n v="0"/>
    <n v="0"/>
  </r>
  <r>
    <n v="37"/>
    <x v="30"/>
    <d v="1899-12-30T20:37:17"/>
    <d v="1899-12-30T20:37:21"/>
    <d v="1899-12-30T23:10:04"/>
    <s v="2 hr 32 min 34s"/>
    <s v="pip-nwdr-msi"/>
    <x v="24"/>
    <d v="1899-12-30T02:32:47"/>
    <d v="1899-12-30T02:06:13"/>
    <n v="0"/>
    <n v="0"/>
  </r>
  <r>
    <n v="38"/>
    <x v="87"/>
    <d v="1899-12-30T20:37:17"/>
    <d v="1899-12-30T20:37:21"/>
    <d v="1899-12-30T23:10:04"/>
    <s v="1 hr 2 min 9s"/>
    <s v="pip-nwdr-msi"/>
    <x v="24"/>
    <d v="1899-12-30T02:32:47"/>
    <d v="1899-12-30T02:06:10"/>
    <n v="0"/>
    <n v="0"/>
  </r>
  <r>
    <n v="39"/>
    <x v="23"/>
    <d v="1899-12-30T20:37:17"/>
    <d v="1899-12-30T20:37:21"/>
    <d v="1899-12-30T23:10:04"/>
    <s v="2 hr 32 min 34s"/>
    <s v="pip-nwdr-msi"/>
    <x v="24"/>
    <d v="1899-12-30T02:32:47"/>
    <d v="1899-12-30T02:06:07"/>
    <n v="0"/>
    <n v="0"/>
  </r>
  <r>
    <n v="40"/>
    <x v="34"/>
    <d v="1899-12-30T20:37:17"/>
    <d v="1899-12-30T20:37:21"/>
    <d v="1899-12-30T23:10:04"/>
    <s v="2 hr 10 min 27s"/>
    <s v="pip-nwdr-msi"/>
    <x v="24"/>
    <d v="1899-12-30T02:32:47"/>
    <d v="1899-12-30T02:06:04"/>
    <n v="0"/>
    <n v="0"/>
  </r>
  <r>
    <n v="41"/>
    <x v="35"/>
    <d v="1899-12-30T20:37:17"/>
    <d v="1899-12-30T21:39:32"/>
    <d v="1899-12-30T23:10:04"/>
    <s v="41 min 40s"/>
    <s v="pip-nwdr-msi"/>
    <x v="24"/>
    <d v="1899-12-30T02:32:47"/>
    <d v="1899-12-30T02:06:01"/>
    <n v="0"/>
    <n v="0"/>
  </r>
  <r>
    <n v="42"/>
    <x v="24"/>
    <d v="1899-12-30T20:37:17"/>
    <d v="1899-12-30T20:37:21"/>
    <d v="1899-12-30T23:10:04"/>
    <s v="2 hr 32 min 37s"/>
    <s v="pip-nwdr-msi"/>
    <x v="24"/>
    <d v="1899-12-30T02:32:47"/>
    <d v="1899-12-30T02:05:58"/>
    <n v="0"/>
    <n v="0"/>
  </r>
  <r>
    <n v="43"/>
    <x v="62"/>
    <d v="1899-12-30T20:37:17"/>
    <d v="1899-12-30T21:39:32"/>
    <d v="1899-12-30T23:10:04"/>
    <s v="47 min 34s"/>
    <s v="pip-nwdr-msi"/>
    <x v="24"/>
    <d v="1899-12-30T02:32:47"/>
    <d v="1899-12-30T02:05:55"/>
    <n v="0"/>
    <n v="0"/>
  </r>
  <r>
    <n v="44"/>
    <x v="81"/>
    <d v="1899-12-30T20:37:17"/>
    <d v="1899-12-30T21:39:32"/>
    <d v="1899-12-30T23:10:04"/>
    <s v="52 min 36s"/>
    <s v="pip-nwdr-msi"/>
    <x v="24"/>
    <d v="1899-12-30T02:32:47"/>
    <d v="1899-12-30T02:05:52"/>
    <n v="0"/>
    <n v="0"/>
  </r>
  <r>
    <n v="45"/>
    <x v="76"/>
    <d v="1899-12-30T20:37:17"/>
    <d v="1899-12-30T20:37:21"/>
    <d v="1899-12-30T23:10:04"/>
    <s v="1 hr 43 min 49s"/>
    <s v="pip-nwdr-msi"/>
    <x v="24"/>
    <d v="1899-12-30T02:32:47"/>
    <d v="1899-12-30T02:05:50"/>
    <n v="0"/>
    <n v="0"/>
  </r>
  <r>
    <n v="46"/>
    <x v="83"/>
    <d v="1899-12-30T20:37:17"/>
    <d v="1899-12-30T21:39:32"/>
    <d v="1899-12-30T23:10:04"/>
    <s v="41 min 40s"/>
    <s v="pip-nwdr-msi"/>
    <x v="24"/>
    <d v="1899-12-30T02:32:47"/>
    <d v="1899-12-30T02:05:47"/>
    <n v="0"/>
    <n v="0"/>
  </r>
  <r>
    <n v="47"/>
    <x v="36"/>
    <d v="1899-12-30T20:37:17"/>
    <d v="1899-12-30T20:37:21"/>
    <d v="1899-12-30T23:10:04"/>
    <s v="2 hr 32 min 37s"/>
    <s v="pip-nwdr-msi"/>
    <x v="24"/>
    <d v="1899-12-30T02:32:47"/>
    <d v="1899-12-30T02:05:44"/>
    <n v="0"/>
    <n v="0"/>
  </r>
  <r>
    <n v="48"/>
    <x v="47"/>
    <d v="1899-12-30T20:37:17"/>
    <d v="1899-12-30T20:37:21"/>
    <d v="1899-12-30T23:10:04"/>
    <s v="2 hr 7 min 7s"/>
    <s v="pip-nwdr-msi"/>
    <x v="24"/>
    <d v="1899-12-30T02:32:47"/>
    <d v="1899-12-30T02:05:41"/>
    <n v="0"/>
    <n v="0"/>
  </r>
  <r>
    <n v="49"/>
    <x v="69"/>
    <d v="1899-12-30T20:37:17"/>
    <d v="1899-12-30T21:39:32"/>
    <d v="1899-12-30T23:10:04"/>
    <s v="41 min 40s"/>
    <s v="pip-nwdr-msi"/>
    <x v="24"/>
    <d v="1899-12-30T02:32:47"/>
    <d v="1899-12-30T02:05:38"/>
    <n v="0"/>
    <n v="0"/>
  </r>
  <r>
    <n v="50"/>
    <x v="67"/>
    <d v="1899-12-30T20:37:17"/>
    <d v="1899-12-30T21:39:32"/>
    <d v="1899-12-30T23:10:04"/>
    <s v="41 min 40s"/>
    <s v="pip-nwdr-msi"/>
    <x v="24"/>
    <d v="1899-12-30T02:32:47"/>
    <d v="1899-12-30T02:05:35"/>
    <n v="0"/>
    <n v="0"/>
  </r>
  <r>
    <n v="51"/>
    <x v="11"/>
    <d v="1899-12-30T20:37:17"/>
    <d v="1899-12-30T20:37:21"/>
    <d v="1899-12-30T23:10:04"/>
    <s v="2 hr 32 min 34s"/>
    <s v="pip-nwdr-msi"/>
    <x v="24"/>
    <d v="1899-12-30T02:32:47"/>
    <d v="1899-12-30T02:05:32"/>
    <n v="0"/>
    <n v="0"/>
  </r>
  <r>
    <n v="52"/>
    <x v="26"/>
    <d v="1899-12-30T20:37:17"/>
    <d v="1899-12-30T20:37:21"/>
    <d v="1899-12-30T23:10:04"/>
    <s v="1 hr 2 min 9s"/>
    <s v="pip-nwdr-msi"/>
    <x v="24"/>
    <d v="1899-12-30T02:32:47"/>
    <d v="1899-12-30T02:05:29"/>
    <n v="0"/>
    <n v="0"/>
  </r>
  <r>
    <n v="1"/>
    <x v="0"/>
    <d v="1899-12-30T20:37:40"/>
    <d v="1899-12-30T20:37:44"/>
    <d v="1899-12-30T22:48:12"/>
    <s v="2 hr 10 min 7s"/>
    <s v="wkf-aivh-zve"/>
    <x v="25"/>
    <d v="1899-12-30T02:10:32"/>
    <d v="1899-12-30T02:05:26"/>
    <n v="0"/>
    <n v="0"/>
  </r>
  <r>
    <n v="2"/>
    <x v="1"/>
    <d v="1899-12-30T20:37:40"/>
    <d v="1899-12-30T20:37:44"/>
    <d v="1899-12-30T22:48:12"/>
    <s v="2 hr 10 min 7s"/>
    <s v="wkf-aivh-zve"/>
    <x v="25"/>
    <d v="1899-12-30T02:10:32"/>
    <d v="1899-12-30T02:05:25"/>
    <n v="0"/>
    <n v="0"/>
  </r>
  <r>
    <n v="3"/>
    <x v="2"/>
    <d v="1899-12-30T20:37:40"/>
    <d v="1899-12-30T20:37:44"/>
    <d v="1899-12-30T22:48:12"/>
    <s v="2 hr 10 min 20s"/>
    <s v="wkf-aivh-zve"/>
    <x v="25"/>
    <d v="1899-12-30T02:10:32"/>
    <d v="1899-12-30T02:05:25"/>
    <n v="0"/>
    <n v="0"/>
  </r>
  <r>
    <n v="4"/>
    <x v="65"/>
    <d v="1899-12-30T20:37:40"/>
    <d v="1899-12-30T20:37:44"/>
    <d v="1899-12-30T22:48:12"/>
    <s v="2 hr 7 min 57s"/>
    <s v="wkf-aivh-zve"/>
    <x v="25"/>
    <d v="1899-12-30T02:10:32"/>
    <d v="1899-12-30T02:05:24"/>
    <n v="0"/>
    <n v="0"/>
  </r>
  <r>
    <n v="5"/>
    <x v="13"/>
    <d v="1899-12-30T20:37:40"/>
    <d v="1899-12-30T20:37:44"/>
    <d v="1899-12-30T22:48:12"/>
    <s v="2 hr 10 min 20s"/>
    <s v="wkf-aivh-zve"/>
    <x v="25"/>
    <d v="1899-12-30T02:10:32"/>
    <d v="1899-12-30T02:05:23"/>
    <n v="0"/>
    <n v="0"/>
  </r>
  <r>
    <n v="6"/>
    <x v="4"/>
    <d v="1899-12-30T20:37:40"/>
    <d v="1899-12-30T20:55:28"/>
    <d v="1899-12-30T22:48:12"/>
    <s v="1 hr 52 min 37s"/>
    <s v="wkf-aivh-zve"/>
    <x v="25"/>
    <d v="1899-12-30T02:10:32"/>
    <d v="1899-12-30T02:05:23"/>
    <n v="0"/>
    <n v="0"/>
  </r>
  <r>
    <n v="7"/>
    <x v="31"/>
    <d v="1899-12-30T20:37:40"/>
    <d v="1899-12-30T20:37:44"/>
    <d v="1899-12-30T22:48:12"/>
    <s v="1 hr 27 min 13s"/>
    <s v="wkf-aivh-zve"/>
    <x v="25"/>
    <d v="1899-12-30T02:10:32"/>
    <d v="1899-12-30T02:05:22"/>
    <n v="0"/>
    <n v="0"/>
  </r>
  <r>
    <n v="8"/>
    <x v="27"/>
    <d v="1899-12-30T20:37:40"/>
    <d v="1899-12-30T20:37:44"/>
    <d v="1899-12-30T22:48:12"/>
    <s v="17 min 43s"/>
    <s v="wkf-aivh-zve"/>
    <x v="25"/>
    <d v="1899-12-30T02:10:32"/>
    <d v="1899-12-30T02:05:22"/>
    <n v="0"/>
    <n v="0"/>
  </r>
  <r>
    <n v="9"/>
    <x v="49"/>
    <d v="1899-12-30T20:37:40"/>
    <d v="1899-12-30T20:37:44"/>
    <d v="1899-12-30T22:48:12"/>
    <s v="2 hr 10 min 13s"/>
    <s v="wkf-aivh-zve"/>
    <x v="25"/>
    <d v="1899-12-30T02:10:32"/>
    <d v="1899-12-30T02:05:21"/>
    <n v="0"/>
    <n v="0"/>
  </r>
  <r>
    <n v="10"/>
    <x v="14"/>
    <d v="1899-12-30T20:37:40"/>
    <d v="1899-12-30T20:37:44"/>
    <d v="1899-12-30T22:48:12"/>
    <s v="2 hr 10 min 20s"/>
    <s v="wkf-aivh-zve"/>
    <x v="25"/>
    <d v="1899-12-30T02:10:32"/>
    <d v="1899-12-30T02:05:21"/>
    <n v="0"/>
    <n v="0"/>
  </r>
  <r>
    <n v="11"/>
    <x v="88"/>
    <d v="1899-12-30T20:37:40"/>
    <d v="1899-12-30T20:37:44"/>
    <d v="1899-12-30T22:48:12"/>
    <s v="1 hr 19 min 27s"/>
    <s v="wkf-aivh-zve"/>
    <x v="25"/>
    <d v="1899-12-30T02:10:32"/>
    <d v="1899-12-30T02:05:20"/>
    <n v="0"/>
    <n v="0"/>
  </r>
  <r>
    <n v="12"/>
    <x v="15"/>
    <d v="1899-12-30T20:37:40"/>
    <d v="1899-12-30T21:56:30"/>
    <d v="1899-12-30T22:48:12"/>
    <s v="9 min 43s"/>
    <s v="wkf-aivh-zve"/>
    <x v="25"/>
    <d v="1899-12-30T02:10:32"/>
    <d v="1899-12-30T02:05:19"/>
    <n v="0"/>
    <n v="0"/>
  </r>
  <r>
    <n v="13"/>
    <x v="5"/>
    <d v="1899-12-30T20:37:40"/>
    <d v="1899-12-30T20:37:44"/>
    <d v="1899-12-30T22:48:12"/>
    <s v="2 hr 10 min 20s"/>
    <s v="wkf-aivh-zve"/>
    <x v="25"/>
    <d v="1899-12-30T02:10:32"/>
    <d v="1899-12-30T02:05:19"/>
    <n v="0"/>
    <n v="0"/>
  </r>
  <r>
    <n v="14"/>
    <x v="50"/>
    <d v="1899-12-30T20:37:40"/>
    <d v="1899-12-30T20:55:28"/>
    <d v="1899-12-30T22:48:12"/>
    <s v="1 hr 44 min 18s"/>
    <s v="wkf-aivh-zve"/>
    <x v="25"/>
    <d v="1899-12-30T02:10:32"/>
    <d v="1899-12-30T02:05:18"/>
    <n v="0"/>
    <n v="0"/>
  </r>
  <r>
    <n v="15"/>
    <x v="89"/>
    <d v="1899-12-30T20:37:40"/>
    <d v="1899-12-30T20:37:44"/>
    <d v="1899-12-30T22:48:12"/>
    <s v="1 hr 18 min 43s"/>
    <s v="wkf-aivh-zve"/>
    <x v="25"/>
    <d v="1899-12-30T02:10:32"/>
    <d v="1899-12-30T02:05:18"/>
    <n v="0"/>
    <n v="0"/>
  </r>
  <r>
    <n v="16"/>
    <x v="51"/>
    <d v="1899-12-30T20:37:40"/>
    <d v="1899-12-30T20:37:44"/>
    <d v="1899-12-30T22:48:12"/>
    <s v="2 hr 10 min 7s"/>
    <s v="wkf-aivh-zve"/>
    <x v="25"/>
    <d v="1899-12-30T02:10:32"/>
    <d v="1899-12-30T02:05:17"/>
    <n v="0"/>
    <n v="0"/>
  </r>
  <r>
    <n v="17"/>
    <x v="78"/>
    <d v="1899-12-30T20:37:40"/>
    <d v="1899-12-30T20:55:28"/>
    <d v="1899-12-30T22:48:12"/>
    <s v="1 hr 9 min 30s"/>
    <s v="wkf-aivh-zve"/>
    <x v="25"/>
    <d v="1899-12-30T02:10:32"/>
    <d v="1899-12-30T02:05:16"/>
    <n v="0"/>
    <n v="0"/>
  </r>
  <r>
    <n v="18"/>
    <x v="84"/>
    <d v="1899-12-30T20:37:40"/>
    <d v="1899-12-30T21:56:30"/>
    <d v="1899-12-30T22:48:12"/>
    <s v="41 min 38s"/>
    <s v="wkf-aivh-zve"/>
    <x v="25"/>
    <d v="1899-12-30T02:10:32"/>
    <d v="1899-12-30T02:05:16"/>
    <n v="0"/>
    <n v="0"/>
  </r>
  <r>
    <n v="19"/>
    <x v="90"/>
    <d v="1899-12-30T20:37:40"/>
    <d v="1899-12-30T20:37:44"/>
    <d v="1899-12-30T22:48:12"/>
    <s v="1 hr 18 min 43s"/>
    <s v="wkf-aivh-zve"/>
    <x v="25"/>
    <d v="1899-12-30T02:10:32"/>
    <d v="1899-12-30T02:05:15"/>
    <n v="0"/>
    <n v="0"/>
  </r>
  <r>
    <n v="20"/>
    <x v="6"/>
    <d v="1899-12-30T20:37:40"/>
    <d v="1899-12-30T20:37:44"/>
    <d v="1899-12-30T22:48:12"/>
    <s v="2 hr 10 min 20s"/>
    <s v="wkf-aivh-zve"/>
    <x v="25"/>
    <d v="1899-12-30T02:10:32"/>
    <d v="1899-12-30T02:05:15"/>
    <n v="0"/>
    <n v="0"/>
  </r>
  <r>
    <n v="21"/>
    <x v="17"/>
    <d v="1899-12-30T20:37:40"/>
    <d v="1899-12-30T20:55:28"/>
    <d v="1899-12-30T22:48:12"/>
    <s v="1 hr 9 min 30s"/>
    <s v="wkf-aivh-zve"/>
    <x v="25"/>
    <d v="1899-12-30T02:10:32"/>
    <d v="1899-12-30T02:05:14"/>
    <n v="0"/>
    <n v="0"/>
  </r>
  <r>
    <n v="22"/>
    <x v="43"/>
    <d v="1899-12-30T20:37:40"/>
    <d v="1899-12-30T20:37:44"/>
    <d v="1899-12-30T22:48:12"/>
    <s v="1 hr 18 min 43s"/>
    <s v="wkf-aivh-zve"/>
    <x v="25"/>
    <d v="1899-12-30T02:10:32"/>
    <d v="1899-12-30T02:05:13"/>
    <n v="0"/>
    <n v="0"/>
  </r>
  <r>
    <n v="23"/>
    <x v="73"/>
    <d v="1899-12-30T20:37:40"/>
    <d v="1899-12-30T20:37:44"/>
    <d v="1899-12-30T22:48:12"/>
    <s v="2 hr 10 min 20s"/>
    <s v="wkf-aivh-zve"/>
    <x v="25"/>
    <d v="1899-12-30T02:10:32"/>
    <d v="1899-12-30T02:05:13"/>
    <n v="0"/>
    <n v="0"/>
  </r>
  <r>
    <n v="24"/>
    <x v="7"/>
    <d v="1899-12-30T20:37:40"/>
    <d v="1899-12-30T20:55:28"/>
    <d v="1899-12-30T22:48:12"/>
    <s v="1 hr 46 min 46s"/>
    <s v="wkf-aivh-zve"/>
    <x v="25"/>
    <d v="1899-12-30T02:10:32"/>
    <d v="1899-12-30T02:05:12"/>
    <n v="0"/>
    <n v="0"/>
  </r>
  <r>
    <n v="25"/>
    <x v="91"/>
    <d v="1899-12-30T20:37:40"/>
    <d v="1899-12-30T20:37:44"/>
    <d v="1899-12-30T22:48:12"/>
    <s v="2 hr 10 min 15s"/>
    <s v="wkf-aivh-zve"/>
    <x v="25"/>
    <d v="1899-12-30T02:10:32"/>
    <d v="1899-12-30T02:05:12"/>
    <n v="0"/>
    <n v="0"/>
  </r>
  <r>
    <n v="26"/>
    <x v="48"/>
    <d v="1899-12-30T20:37:40"/>
    <d v="1899-12-30T20:37:44"/>
    <d v="1899-12-30T22:48:12"/>
    <s v="1 hr 27 min 13s"/>
    <s v="wkf-aivh-zve"/>
    <x v="25"/>
    <d v="1899-12-30T02:10:32"/>
    <d v="1899-12-30T02:05:11"/>
    <n v="0"/>
    <n v="0"/>
  </r>
  <r>
    <n v="27"/>
    <x v="74"/>
    <d v="1899-12-30T20:37:40"/>
    <d v="1899-12-30T20:55:28"/>
    <d v="1899-12-30T22:48:12"/>
    <s v="1 hr 9 min 30s"/>
    <s v="wkf-aivh-zve"/>
    <x v="25"/>
    <d v="1899-12-30T02:10:32"/>
    <d v="1899-12-30T02:05:10"/>
    <n v="0"/>
    <n v="0"/>
  </r>
  <r>
    <n v="28"/>
    <x v="59"/>
    <d v="1899-12-30T20:37:40"/>
    <d v="1899-12-30T20:37:44"/>
    <d v="1899-12-30T22:48:12"/>
    <s v="2 hr 10 min 7s"/>
    <s v="wkf-aivh-zve"/>
    <x v="25"/>
    <d v="1899-12-30T02:10:32"/>
    <d v="1899-12-30T02:05:10"/>
    <n v="0"/>
    <n v="0"/>
  </r>
  <r>
    <n v="29"/>
    <x v="8"/>
    <d v="1899-12-30T20:37:40"/>
    <d v="1899-12-30T20:37:44"/>
    <d v="1899-12-30T22:48:12"/>
    <s v="2 hr 10 min 20s"/>
    <s v="wkf-aivh-zve"/>
    <x v="25"/>
    <d v="1899-12-30T02:10:32"/>
    <d v="1899-12-30T02:05:09"/>
    <n v="0"/>
    <n v="0"/>
  </r>
  <r>
    <n v="30"/>
    <x v="29"/>
    <d v="1899-12-30T20:37:40"/>
    <d v="1899-12-30T20:55:28"/>
    <d v="1899-12-30T22:48:12"/>
    <s v="1 hr 1 min 0s"/>
    <s v="wkf-aivh-zve"/>
    <x v="25"/>
    <d v="1899-12-30T02:10:32"/>
    <d v="1899-12-30T02:05:08"/>
    <n v="0"/>
    <n v="0"/>
  </r>
  <r>
    <n v="31"/>
    <x v="20"/>
    <d v="1899-12-30T20:37:40"/>
    <d v="1899-12-30T20:38:13"/>
    <d v="1899-12-30T22:48:12"/>
    <s v="2 hr 9 min 50s"/>
    <s v="wkf-aivh-zve"/>
    <x v="25"/>
    <d v="1899-12-30T02:10:32"/>
    <d v="1899-12-30T02:05:08"/>
    <n v="0"/>
    <n v="0"/>
  </r>
  <r>
    <n v="32"/>
    <x v="39"/>
    <d v="1899-12-30T20:37:40"/>
    <d v="1899-12-30T20:37:44"/>
    <d v="1899-12-30T22:48:12"/>
    <s v="1 hr 57 min 59s"/>
    <s v="wkf-aivh-zve"/>
    <x v="25"/>
    <d v="1899-12-30T02:10:32"/>
    <d v="1899-12-30T02:05:07"/>
    <n v="0"/>
    <n v="0"/>
  </r>
  <r>
    <n v="33"/>
    <x v="9"/>
    <d v="1899-12-30T20:37:40"/>
    <d v="1899-12-30T21:56:30"/>
    <d v="1899-12-30T22:48:12"/>
    <s v="51 min 37s"/>
    <s v="wkf-aivh-zve"/>
    <x v="25"/>
    <d v="1899-12-30T02:10:32"/>
    <d v="1899-12-30T02:05:07"/>
    <n v="0"/>
    <n v="0"/>
  </r>
  <r>
    <n v="34"/>
    <x v="86"/>
    <d v="1899-12-30T20:37:40"/>
    <d v="1899-12-30T20:37:44"/>
    <d v="1899-12-30T22:48:12"/>
    <s v="1 hr 18 min 43s"/>
    <s v="wkf-aivh-zve"/>
    <x v="25"/>
    <d v="1899-12-30T02:10:32"/>
    <d v="1899-12-30T02:05:06"/>
    <n v="0"/>
    <n v="0"/>
  </r>
  <r>
    <n v="35"/>
    <x v="64"/>
    <d v="1899-12-30T20:37:40"/>
    <d v="1899-12-30T20:37:44"/>
    <d v="1899-12-30T22:48:12"/>
    <s v="1 hr 18 min 43s"/>
    <s v="wkf-aivh-zve"/>
    <x v="25"/>
    <d v="1899-12-30T02:10:32"/>
    <d v="1899-12-30T02:05:05"/>
    <n v="0"/>
    <n v="0"/>
  </r>
  <r>
    <n v="36"/>
    <x v="10"/>
    <d v="1899-12-30T20:37:40"/>
    <d v="1899-12-30T20:37:44"/>
    <d v="1899-12-30T22:48:12"/>
    <s v="2 hr 10 min 20s"/>
    <s v="wkf-aivh-zve"/>
    <x v="25"/>
    <d v="1899-12-30T02:10:32"/>
    <d v="1899-12-30T02:05:05"/>
    <n v="0"/>
    <n v="0"/>
  </r>
  <r>
    <n v="37"/>
    <x v="92"/>
    <d v="1899-12-30T20:37:40"/>
    <d v="1899-12-30T20:55:28"/>
    <d v="1899-12-30T22:48:12"/>
    <s v="1 hr 1 min 0s"/>
    <s v="wkf-aivh-zve"/>
    <x v="25"/>
    <d v="1899-12-30T02:10:32"/>
    <d v="1899-12-30T02:05:04"/>
    <n v="0"/>
    <n v="0"/>
  </r>
  <r>
    <n v="38"/>
    <x v="52"/>
    <d v="1899-12-30T20:37:40"/>
    <d v="1899-12-30T20:37:44"/>
    <d v="1899-12-30T22:48:12"/>
    <s v="2 hr 4 min 0s"/>
    <s v="wkf-aivh-zve"/>
    <x v="25"/>
    <d v="1899-12-30T02:10:32"/>
    <d v="1899-12-30T02:05:03"/>
    <n v="0"/>
    <n v="0"/>
  </r>
  <r>
    <n v="39"/>
    <x v="22"/>
    <d v="1899-12-30T20:37:40"/>
    <d v="1899-12-30T20:37:44"/>
    <d v="1899-12-30T22:48:12"/>
    <s v="2 hr 10 min 15s"/>
    <s v="wkf-aivh-zve"/>
    <x v="25"/>
    <d v="1899-12-30T02:10:32"/>
    <d v="1899-12-30T02:05:03"/>
    <n v="0"/>
    <n v="0"/>
  </r>
  <r>
    <n v="40"/>
    <x v="30"/>
    <d v="1899-12-30T20:37:40"/>
    <d v="1899-12-30T20:37:44"/>
    <d v="1899-12-30T22:48:12"/>
    <s v="2 hr 10 min 20s"/>
    <s v="wkf-aivh-zve"/>
    <x v="25"/>
    <d v="1899-12-30T02:10:32"/>
    <d v="1899-12-30T02:05:02"/>
    <n v="0"/>
    <n v="0"/>
  </r>
  <r>
    <n v="41"/>
    <x v="23"/>
    <d v="1899-12-30T20:37:40"/>
    <d v="1899-12-30T20:37:44"/>
    <d v="1899-12-30T22:48:12"/>
    <s v="2 hr 10 min 11s"/>
    <s v="wkf-aivh-zve"/>
    <x v="25"/>
    <d v="1899-12-30T02:10:32"/>
    <d v="1899-12-30T02:05:01"/>
    <n v="0"/>
    <n v="0"/>
  </r>
  <r>
    <n v="42"/>
    <x v="34"/>
    <d v="1899-12-30T20:37:40"/>
    <d v="1899-12-30T20:37:44"/>
    <d v="1899-12-30T22:48:12"/>
    <s v="2 hr 10 min 7s"/>
    <s v="wkf-aivh-zve"/>
    <x v="25"/>
    <d v="1899-12-30T02:10:32"/>
    <d v="1899-12-30T02:05:01"/>
    <n v="0"/>
    <n v="0"/>
  </r>
  <r>
    <n v="43"/>
    <x v="93"/>
    <d v="1899-12-30T20:37:40"/>
    <d v="1899-12-30T20:37:44"/>
    <d v="1899-12-30T22:48:12"/>
    <s v="2 hr 10 min 7s"/>
    <s v="wkf-aivh-zve"/>
    <x v="25"/>
    <d v="1899-12-30T02:10:32"/>
    <d v="1899-12-30T02:05:00"/>
    <n v="0"/>
    <n v="0"/>
  </r>
  <r>
    <n v="44"/>
    <x v="24"/>
    <d v="1899-12-30T20:37:40"/>
    <d v="1899-12-30T20:55:28"/>
    <d v="1899-12-30T22:48:12"/>
    <s v="1 hr 11 min 10s"/>
    <s v="wkf-aivh-zve"/>
    <x v="25"/>
    <d v="1899-12-30T02:10:32"/>
    <d v="1899-12-30T02:04:59"/>
    <n v="0"/>
    <n v="0"/>
  </r>
  <r>
    <n v="45"/>
    <x v="25"/>
    <d v="1899-12-30T20:37:40"/>
    <d v="1899-12-30T20:37:44"/>
    <d v="1899-12-30T22:48:12"/>
    <s v="1 hr 27 min 13s"/>
    <s v="wkf-aivh-zve"/>
    <x v="25"/>
    <d v="1899-12-30T02:10:32"/>
    <d v="1899-12-30T02:04:59"/>
    <n v="0"/>
    <n v="0"/>
  </r>
  <r>
    <n v="46"/>
    <x v="81"/>
    <d v="1899-12-30T20:37:40"/>
    <d v="1899-12-30T20:37:44"/>
    <d v="1899-12-30T22:48:12"/>
    <s v="2 hr 10 min 20s"/>
    <s v="wkf-aivh-zve"/>
    <x v="25"/>
    <d v="1899-12-30T02:10:32"/>
    <d v="1899-12-30T02:04:58"/>
    <n v="0"/>
    <n v="0"/>
  </r>
  <r>
    <n v="47"/>
    <x v="76"/>
    <d v="1899-12-30T20:37:40"/>
    <d v="1899-12-30T20:37:44"/>
    <d v="1899-12-30T22:48:12"/>
    <s v="2 hr 10 min 9s"/>
    <s v="wkf-aivh-zve"/>
    <x v="25"/>
    <d v="1899-12-30T02:10:32"/>
    <d v="1899-12-30T02:04:57"/>
    <n v="0"/>
    <n v="0"/>
  </r>
  <r>
    <n v="48"/>
    <x v="36"/>
    <d v="1899-12-30T20:37:40"/>
    <d v="1899-12-30T20:55:28"/>
    <d v="1899-12-30T22:48:12"/>
    <s v="1 hr 52 min 37s"/>
    <s v="wkf-aivh-zve"/>
    <x v="25"/>
    <d v="1899-12-30T02:10:32"/>
    <d v="1899-12-30T02:04:57"/>
    <n v="0"/>
    <n v="0"/>
  </r>
  <r>
    <n v="49"/>
    <x v="67"/>
    <d v="1899-12-30T20:37:40"/>
    <d v="1899-12-30T20:37:44"/>
    <d v="1899-12-30T22:48:12"/>
    <s v="2 hr 10 min 7s"/>
    <s v="wkf-aivh-zve"/>
    <x v="25"/>
    <d v="1899-12-30T02:10:32"/>
    <d v="1899-12-30T02:04:56"/>
    <n v="0"/>
    <n v="0"/>
  </r>
  <r>
    <n v="1"/>
    <x v="12"/>
    <d v="1899-12-30T20:37:17"/>
    <d v="1899-12-30T20:37:20"/>
    <d v="1899-12-30T22:37:50"/>
    <s v="1 hr 26 min 34s"/>
    <s v="ztp-nrxc-seu"/>
    <x v="26"/>
    <d v="1899-12-30T02:00:33"/>
    <d v="1899-12-30T02:04:55"/>
    <n v="0"/>
    <n v="0"/>
  </r>
  <r>
    <n v="2"/>
    <x v="1"/>
    <d v="1899-12-30T20:37:17"/>
    <d v="1899-12-30T20:37:20"/>
    <d v="1899-12-30T22:37:50"/>
    <s v="1 hr 17 min 53s"/>
    <s v="ztp-nrxc-seu"/>
    <x v="26"/>
    <d v="1899-12-30T02:00:33"/>
    <d v="1899-12-30T02:04:56"/>
    <n v="0"/>
    <n v="0"/>
  </r>
  <r>
    <n v="3"/>
    <x v="2"/>
    <d v="1899-12-30T20:37:17"/>
    <d v="1899-12-30T20:37:20"/>
    <d v="1899-12-30T22:37:50"/>
    <s v="1 hr 43 min 38s"/>
    <s v="ztp-nrxc-seu"/>
    <x v="26"/>
    <d v="1899-12-30T02:00:33"/>
    <d v="1899-12-30T02:04:56"/>
    <n v="0"/>
    <n v="0"/>
  </r>
  <r>
    <n v="4"/>
    <x v="65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5"/>
    <x v="13"/>
    <d v="1899-12-30T20:37:17"/>
    <d v="1899-12-30T21:48:30"/>
    <d v="1899-12-30T22:37:50"/>
    <s v="49 min 19s"/>
    <s v="ztp-nrxc-seu"/>
    <x v="26"/>
    <d v="1899-12-30T02:00:33"/>
    <d v="1899-12-30T02:04:57"/>
    <n v="0"/>
    <n v="0"/>
  </r>
  <r>
    <n v="6"/>
    <x v="31"/>
    <d v="1899-12-30T20:37:17"/>
    <d v="1899-12-30T20:37:20"/>
    <d v="1899-12-30T22:37:50"/>
    <s v="54 min 19s"/>
    <s v="ztp-nrxc-seu"/>
    <x v="26"/>
    <d v="1899-12-30T02:00:33"/>
    <d v="1899-12-30T02:04:58"/>
    <n v="0"/>
    <n v="0"/>
  </r>
  <r>
    <n v="7"/>
    <x v="49"/>
    <d v="1899-12-30T20:37:17"/>
    <d v="1899-12-30T21:48:30"/>
    <d v="1899-12-30T22:37:50"/>
    <s v="49 min 19s"/>
    <s v="ztp-nrxc-seu"/>
    <x v="26"/>
    <d v="1899-12-30T02:00:33"/>
    <d v="1899-12-30T02:04:59"/>
    <n v="0"/>
    <n v="0"/>
  </r>
  <r>
    <n v="8"/>
    <x v="70"/>
    <d v="1899-12-30T20:37:17"/>
    <d v="1899-12-30T20:37:20"/>
    <d v="1899-12-30T22:37:50"/>
    <s v="54 min 19s"/>
    <s v="ztp-nrxc-seu"/>
    <x v="26"/>
    <d v="1899-12-30T02:00:33"/>
    <d v="1899-12-30T02:04:59"/>
    <n v="0"/>
    <n v="0"/>
  </r>
  <r>
    <n v="9"/>
    <x v="14"/>
    <d v="1899-12-30T20:37:17"/>
    <d v="1899-12-30T20:37:20"/>
    <d v="1899-12-30T22:37:50"/>
    <s v="1 hr 43 min 38s"/>
    <s v="ztp-nrxc-seu"/>
    <x v="26"/>
    <d v="1899-12-30T02:00:33"/>
    <d v="1899-12-30T02:05:00"/>
    <n v="0"/>
    <n v="0"/>
  </r>
  <r>
    <n v="10"/>
    <x v="88"/>
    <d v="1899-12-30T20:37:17"/>
    <d v="1899-12-30T21:48:30"/>
    <d v="1899-12-30T22:37:50"/>
    <s v="7 min 23s"/>
    <s v="ztp-nrxc-seu"/>
    <x v="26"/>
    <d v="1899-12-30T02:00:33"/>
    <d v="1899-12-30T02:05:00"/>
    <n v="0"/>
    <n v="0"/>
  </r>
  <r>
    <n v="11"/>
    <x v="54"/>
    <d v="1899-12-30T20:37:17"/>
    <d v="1899-12-30T20:37:20"/>
    <d v="1899-12-30T22:37:50"/>
    <s v="1 hr 43 min 38s"/>
    <s v="ztp-nrxc-seu"/>
    <x v="26"/>
    <d v="1899-12-30T02:00:33"/>
    <d v="1899-12-30T02:05:01"/>
    <n v="0"/>
    <n v="0"/>
  </r>
  <r>
    <n v="12"/>
    <x v="15"/>
    <d v="1899-12-30T20:37:17"/>
    <d v="1899-12-30T20:37:20"/>
    <d v="1899-12-30T22:37:50"/>
    <s v="1 hr 21 min 42s"/>
    <s v="ztp-nrxc-seu"/>
    <x v="26"/>
    <d v="1899-12-30T02:00:33"/>
    <d v="1899-12-30T02:05:01"/>
    <n v="0"/>
    <n v="0"/>
  </r>
  <r>
    <n v="13"/>
    <x v="5"/>
    <d v="1899-12-30T20:37:17"/>
    <d v="1899-12-30T20:37:20"/>
    <d v="1899-12-30T22:37:50"/>
    <s v="1 hr 43 min 38s"/>
    <s v="ztp-nrxc-seu"/>
    <x v="26"/>
    <d v="1899-12-30T02:00:33"/>
    <d v="1899-12-30T02:05:02"/>
    <n v="0"/>
    <n v="0"/>
  </r>
  <r>
    <n v="14"/>
    <x v="50"/>
    <d v="1899-12-30T20:37:17"/>
    <d v="1899-12-30T20:37:20"/>
    <d v="1899-12-30T22:37:50"/>
    <s v="1 hr 25 min 36s"/>
    <s v="ztp-nrxc-seu"/>
    <x v="26"/>
    <d v="1899-12-30T02:00:33"/>
    <d v="1899-12-30T02:05:02"/>
    <n v="0"/>
    <n v="0"/>
  </r>
  <r>
    <n v="15"/>
    <x v="51"/>
    <d v="1899-12-30T20:37:17"/>
    <d v="1899-12-30T21:48:30"/>
    <d v="1899-12-30T22:37:50"/>
    <s v="49 min 19s"/>
    <s v="ztp-nrxc-seu"/>
    <x v="26"/>
    <d v="1899-12-30T02:00:33"/>
    <d v="1899-12-30T02:05:03"/>
    <n v="0"/>
    <n v="0"/>
  </r>
  <r>
    <n v="16"/>
    <x v="78"/>
    <d v="1899-12-30T20:37:17"/>
    <d v="1899-12-30T21:48:30"/>
    <d v="1899-12-30T22:37:50"/>
    <s v="42 min 1s"/>
    <s v="ztp-nrxc-seu"/>
    <x v="26"/>
    <d v="1899-12-30T02:00:33"/>
    <d v="1899-12-30T02:05:04"/>
    <n v="0"/>
    <n v="0"/>
  </r>
  <r>
    <n v="17"/>
    <x v="90"/>
    <d v="1899-12-30T20:37:17"/>
    <d v="1899-12-30T20:37:20"/>
    <d v="1899-12-30T22:37:50"/>
    <s v="54 min 19s"/>
    <s v="ztp-nrxc-seu"/>
    <x v="26"/>
    <d v="1899-12-30T02:00:33"/>
    <d v="1899-12-30T02:05:04"/>
    <n v="0"/>
    <n v="0"/>
  </r>
  <r>
    <n v="18"/>
    <x v="79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19"/>
    <x v="68"/>
    <d v="1899-12-30T20:37:17"/>
    <d v="1899-12-30T20:37:20"/>
    <d v="1899-12-30T22:37:50"/>
    <s v="1 hr 43 min 38s"/>
    <s v="ztp-nrxc-seu"/>
    <x v="26"/>
    <d v="1899-12-30T02:00:33"/>
    <d v="1899-12-30T02:05:05"/>
    <n v="0"/>
    <n v="0"/>
  </r>
  <r>
    <n v="20"/>
    <x v="6"/>
    <d v="1899-12-30T20:37:17"/>
    <d v="1899-12-30T21:48:30"/>
    <d v="1899-12-30T22:37:50"/>
    <s v="42 min 46s"/>
    <s v="ztp-nrxc-seu"/>
    <x v="26"/>
    <d v="1899-12-30T02:00:33"/>
    <d v="1899-12-30T02:05:06"/>
    <n v="0"/>
    <n v="0"/>
  </r>
  <r>
    <n v="21"/>
    <x v="17"/>
    <d v="1899-12-30T20:37:17"/>
    <d v="1899-12-30T20:37:20"/>
    <d v="1899-12-30T22:37:50"/>
    <s v="1 hr 43 min 38s"/>
    <s v="ztp-nrxc-seu"/>
    <x v="26"/>
    <d v="1899-12-30T02:00:33"/>
    <d v="1899-12-30T02:05:06"/>
    <n v="0"/>
    <n v="0"/>
  </r>
  <r>
    <n v="22"/>
    <x v="63"/>
    <d v="1899-12-30T20:37:17"/>
    <d v="1899-12-30T20:37:20"/>
    <d v="1899-12-30T22:37:50"/>
    <s v="1 hr 43 min 38s"/>
    <s v="ztp-nrxc-seu"/>
    <x v="26"/>
    <d v="1899-12-30T02:00:33"/>
    <d v="1899-12-30T02:05:07"/>
    <n v="0"/>
    <n v="0"/>
  </r>
  <r>
    <n v="23"/>
    <x v="85"/>
    <d v="1899-12-30T20:37:17"/>
    <d v="1899-12-30T21:48:30"/>
    <d v="1899-12-30T22:37:50"/>
    <s v="49 min 19s"/>
    <s v="ztp-nrxc-seu"/>
    <x v="26"/>
    <d v="1899-12-30T02:00:33"/>
    <d v="1899-12-30T02:05:08"/>
    <n v="0"/>
    <n v="0"/>
  </r>
  <r>
    <n v="24"/>
    <x v="43"/>
    <d v="1899-12-30T20:37:17"/>
    <d v="1899-12-30T20:37:20"/>
    <d v="1899-12-30T22:37:50"/>
    <s v="1 hr 43 min 38s"/>
    <s v="ztp-nrxc-seu"/>
    <x v="26"/>
    <d v="1899-12-30T02:00:33"/>
    <d v="1899-12-30T02:05:08"/>
    <n v="0"/>
    <n v="0"/>
  </r>
  <r>
    <n v="25"/>
    <x v="73"/>
    <d v="1899-12-30T20:37:17"/>
    <d v="1899-12-30T20:37:20"/>
    <d v="1899-12-30T22:37:50"/>
    <s v="1 hr 42 min 40s"/>
    <s v="ztp-nrxc-seu"/>
    <x v="26"/>
    <d v="1899-12-30T02:00:33"/>
    <d v="1899-12-30T02:05:09"/>
    <n v="0"/>
    <n v="0"/>
  </r>
  <r>
    <n v="26"/>
    <x v="28"/>
    <d v="1899-12-30T20:37:17"/>
    <d v="1899-12-30T20:37:20"/>
    <d v="1899-12-30T22:37:50"/>
    <s v="1 hr 1 min 42s"/>
    <s v="ztp-nrxc-seu"/>
    <x v="26"/>
    <d v="1899-12-30T02:00:33"/>
    <d v="1899-12-30T02:05:09"/>
    <n v="0"/>
    <n v="0"/>
  </r>
  <r>
    <n v="27"/>
    <x v="7"/>
    <d v="1899-12-30T20:37:17"/>
    <d v="1899-12-30T20:37:20"/>
    <d v="1899-12-30T22:37:50"/>
    <s v="1 hr 36 min 15s"/>
    <s v="ztp-nrxc-seu"/>
    <x v="26"/>
    <d v="1899-12-30T02:00:33"/>
    <d v="1899-12-30T02:05:10"/>
    <n v="0"/>
    <n v="0"/>
  </r>
  <r>
    <n v="28"/>
    <x v="91"/>
    <d v="1899-12-30T20:37:17"/>
    <d v="1899-12-30T20:37:20"/>
    <d v="1899-12-30T22:37:50"/>
    <s v="1 hr 43 min 38s"/>
    <s v="ztp-nrxc-seu"/>
    <x v="26"/>
    <d v="1899-12-30T02:00:33"/>
    <d v="1899-12-30T02:05:10"/>
    <n v="0"/>
    <n v="0"/>
  </r>
  <r>
    <n v="29"/>
    <x v="48"/>
    <d v="1899-12-30T20:37:17"/>
    <d v="1899-12-30T20:37:20"/>
    <d v="1899-12-30T22:37:50"/>
    <s v="54 min 19s"/>
    <s v="ztp-nrxc-seu"/>
    <x v="26"/>
    <d v="1899-12-30T02:00:33"/>
    <d v="1899-12-30T02:05:11"/>
    <n v="0"/>
    <n v="0"/>
  </r>
  <r>
    <n v="30"/>
    <x v="74"/>
    <d v="1899-12-30T20:37:17"/>
    <d v="1899-12-30T21:48:30"/>
    <d v="1899-12-30T22:37:50"/>
    <s v="49 min 19s"/>
    <s v="ztp-nrxc-seu"/>
    <x v="26"/>
    <d v="1899-12-30T02:00:33"/>
    <d v="1899-12-30T02:05:12"/>
    <n v="0"/>
    <n v="0"/>
  </r>
  <r>
    <n v="31"/>
    <x v="59"/>
    <d v="1899-12-30T20:37:17"/>
    <d v="1899-12-30T20:37:20"/>
    <d v="1899-12-30T22:37:50"/>
    <s v="1 hr 37 min 50s"/>
    <s v="ztp-nrxc-seu"/>
    <x v="26"/>
    <d v="1899-12-30T02:00:33"/>
    <d v="1899-12-30T02:05:12"/>
    <n v="0"/>
    <n v="0"/>
  </r>
  <r>
    <n v="32"/>
    <x v="8"/>
    <d v="1899-12-30T20:37:17"/>
    <d v="1899-12-30T20:37:20"/>
    <d v="1899-12-30T22:37:50"/>
    <s v="1 hr 42 min 25s"/>
    <s v="ztp-nrxc-seu"/>
    <x v="26"/>
    <d v="1899-12-30T02:00:33"/>
    <d v="1899-12-30T02:05:13"/>
    <n v="0"/>
    <n v="0"/>
  </r>
  <r>
    <n v="33"/>
    <x v="29"/>
    <d v="1899-12-30T20:37:17"/>
    <d v="1899-12-30T20:37:20"/>
    <d v="1899-12-30T22:37:50"/>
    <s v="54 min 19s"/>
    <s v="ztp-nrxc-seu"/>
    <x v="26"/>
    <d v="1899-12-30T02:00:33"/>
    <d v="1899-12-30T02:05:13"/>
    <n v="0"/>
    <n v="0"/>
  </r>
  <r>
    <n v="34"/>
    <x v="20"/>
    <d v="1899-12-30T20:37:17"/>
    <d v="1899-12-30T21:48:30"/>
    <d v="1899-12-30T22:37:50"/>
    <s v="48 min 59s"/>
    <s v="ztp-nrxc-seu"/>
    <x v="26"/>
    <d v="1899-12-30T02:00:33"/>
    <d v="1899-12-30T02:05:14"/>
    <n v="0"/>
    <n v="0"/>
  </r>
  <r>
    <n v="35"/>
    <x v="39"/>
    <d v="1899-12-30T20:37:17"/>
    <d v="1899-12-30T20:37:20"/>
    <d v="1899-12-30T22:37:50"/>
    <s v="1 hr 9 min 53s"/>
    <s v="ztp-nrxc-seu"/>
    <x v="26"/>
    <d v="1899-12-30T02:00:33"/>
    <d v="1899-12-30T02:05:15"/>
    <n v="0"/>
    <n v="0"/>
  </r>
  <r>
    <n v="36"/>
    <x v="9"/>
    <d v="1899-12-30T20:37:17"/>
    <d v="1899-12-30T20:37:20"/>
    <d v="1899-12-30T22:37:50"/>
    <s v="1 hr 43 min 38s"/>
    <s v="ztp-nrxc-seu"/>
    <x v="26"/>
    <d v="1899-12-30T02:00:33"/>
    <d v="1899-12-30T02:05:15"/>
    <n v="0"/>
    <n v="0"/>
  </r>
  <r>
    <n v="37"/>
    <x v="86"/>
    <d v="1899-12-30T20:37:17"/>
    <d v="1899-12-30T20:37:20"/>
    <d v="1899-12-30T22:37:50"/>
    <s v="54 min 19s"/>
    <s v="ztp-nrxc-seu"/>
    <x v="26"/>
    <d v="1899-12-30T02:00:33"/>
    <d v="1899-12-30T02:05:16"/>
    <n v="0"/>
    <n v="0"/>
  </r>
  <r>
    <n v="38"/>
    <x v="21"/>
    <d v="1899-12-30T20:37:17"/>
    <d v="1899-12-30T20:37:20"/>
    <d v="1899-12-30T22:37:50"/>
    <s v="54 min 19s"/>
    <s v="ztp-nrxc-seu"/>
    <x v="26"/>
    <d v="1899-12-30T02:00:33"/>
    <d v="1899-12-30T02:05:17"/>
    <n v="0"/>
    <n v="0"/>
  </r>
  <r>
    <n v="39"/>
    <x v="64"/>
    <d v="1899-12-30T20:37:17"/>
    <d v="1899-12-30T20:37:20"/>
    <d v="1899-12-30T22:37:50"/>
    <s v="1 hr 43 min 38s"/>
    <s v="ztp-nrxc-seu"/>
    <x v="26"/>
    <d v="1899-12-30T02:00:33"/>
    <d v="1899-12-30T02:05:17"/>
    <n v="0"/>
    <n v="0"/>
  </r>
  <r>
    <n v="40"/>
    <x v="10"/>
    <d v="1899-12-30T20:37:17"/>
    <d v="1899-12-30T21:48:30"/>
    <d v="1899-12-30T22:37:50"/>
    <s v="49 min 19s"/>
    <s v="ztp-nrxc-seu"/>
    <x v="26"/>
    <d v="1899-12-30T02:00:33"/>
    <d v="1899-12-30T02:05:18"/>
    <n v="0"/>
    <n v="0"/>
  </r>
  <r>
    <n v="41"/>
    <x v="92"/>
    <d v="1899-12-30T20:37:17"/>
    <d v="1899-12-30T20:37:20"/>
    <d v="1899-12-30T22:37:50"/>
    <s v="1 hr 36 min 6s"/>
    <s v="ztp-nrxc-seu"/>
    <x v="26"/>
    <d v="1899-12-30T02:00:33"/>
    <d v="1899-12-30T02:05:18"/>
    <n v="0"/>
    <n v="0"/>
  </r>
  <r>
    <n v="42"/>
    <x v="52"/>
    <d v="1899-12-30T20:37:17"/>
    <d v="1899-12-30T20:37:20"/>
    <d v="1899-12-30T22:37:50"/>
    <s v="1 hr 43 min 38s"/>
    <s v="ztp-nrxc-seu"/>
    <x v="26"/>
    <d v="1899-12-30T02:00:33"/>
    <d v="1899-12-30T02:05:19"/>
    <n v="0"/>
    <n v="0"/>
  </r>
  <r>
    <n v="43"/>
    <x v="55"/>
    <d v="1899-12-30T20:37:17"/>
    <d v="1899-12-30T21:48:30"/>
    <d v="1899-12-30T22:37:50"/>
    <s v="49 min 19s"/>
    <s v="ztp-nrxc-seu"/>
    <x v="26"/>
    <d v="1899-12-30T02:00:33"/>
    <d v="1899-12-30T02:05:20"/>
    <n v="0"/>
    <n v="0"/>
  </r>
  <r>
    <n v="44"/>
    <x v="22"/>
    <d v="1899-12-30T20:37:17"/>
    <d v="1899-12-30T20:37:20"/>
    <d v="1899-12-30T22:37:50"/>
    <s v="1 hr 43 min 38s"/>
    <s v="ztp-nrxc-seu"/>
    <x v="26"/>
    <d v="1899-12-30T02:00:33"/>
    <d v="1899-12-30T02:05:20"/>
    <n v="0"/>
    <n v="0"/>
  </r>
  <r>
    <n v="45"/>
    <x v="94"/>
    <d v="1899-12-30T20:37:17"/>
    <d v="1899-12-30T20:37:20"/>
    <d v="1899-12-30T22:37:50"/>
    <s v="1 hr 43 min 38s"/>
    <s v="ztp-nrxc-seu"/>
    <x v="26"/>
    <d v="1899-12-30T02:00:33"/>
    <d v="1899-12-30T02:05:21"/>
    <n v="0"/>
    <n v="0"/>
  </r>
  <r>
    <n v="46"/>
    <x v="30"/>
    <d v="1899-12-30T20:37:17"/>
    <d v="1899-12-30T20:37:20"/>
    <d v="1899-12-30T22:37:50"/>
    <s v="1 hr 42 min 59s"/>
    <s v="ztp-nrxc-seu"/>
    <x v="26"/>
    <d v="1899-12-30T02:00:33"/>
    <d v="1899-12-30T02:05:22"/>
    <n v="0"/>
    <n v="0"/>
  </r>
  <r>
    <n v="47"/>
    <x v="23"/>
    <d v="1899-12-30T20:37:17"/>
    <d v="1899-12-30T20:37:20"/>
    <d v="1899-12-30T22:37:50"/>
    <s v="1 hr 43 min 38s"/>
    <s v="ztp-nrxc-seu"/>
    <x v="26"/>
    <d v="1899-12-30T02:00:33"/>
    <d v="1899-12-30T02:05:22"/>
    <n v="0"/>
    <n v="0"/>
  </r>
  <r>
    <n v="48"/>
    <x v="34"/>
    <d v="1899-12-30T20:37:17"/>
    <d v="1899-12-30T20:37:20"/>
    <d v="1899-12-30T22:37:50"/>
    <s v="1 hr 43 min 38s"/>
    <s v="ztp-nrxc-seu"/>
    <x v="26"/>
    <d v="1899-12-30T02:00:33"/>
    <d v="1899-12-30T02:05:23"/>
    <n v="0"/>
    <n v="0"/>
  </r>
  <r>
    <n v="49"/>
    <x v="93"/>
    <d v="1899-12-30T20:37:17"/>
    <d v="1899-12-30T20:37:20"/>
    <d v="1899-12-30T22:37:50"/>
    <s v="1 hr 25 min 39s"/>
    <s v="ztp-nrxc-seu"/>
    <x v="26"/>
    <d v="1899-12-30T02:00:33"/>
    <d v="1899-12-30T02:05:24"/>
    <n v="0"/>
    <n v="0"/>
  </r>
  <r>
    <n v="50"/>
    <x v="24"/>
    <d v="1899-12-30T20:37:17"/>
    <d v="1899-12-30T20:37:20"/>
    <d v="1899-12-30T22:37:50"/>
    <s v="1 hr 43 min 38s"/>
    <s v="ztp-nrxc-seu"/>
    <x v="26"/>
    <d v="1899-12-30T02:00:33"/>
    <d v="1899-12-30T02:05:24"/>
    <n v="0"/>
    <n v="0"/>
  </r>
  <r>
    <n v="51"/>
    <x v="25"/>
    <d v="1899-12-30T20:37:17"/>
    <d v="1899-12-30T21:55:53"/>
    <d v="1899-12-30T22:37:50"/>
    <s v="35 min 34s"/>
    <s v="ztp-nrxc-seu"/>
    <x v="26"/>
    <d v="1899-12-30T02:00:33"/>
    <d v="1899-12-30T02:05:25"/>
    <n v="0"/>
    <n v="0"/>
  </r>
  <r>
    <n v="52"/>
    <x v="81"/>
    <d v="1899-12-30T20:37:17"/>
    <d v="1899-12-30T20:37:20"/>
    <d v="1899-12-30T22:37:50"/>
    <s v="1 hr 33 min 32s"/>
    <s v="ztp-nrxc-seu"/>
    <x v="26"/>
    <d v="1899-12-30T02:00:33"/>
    <d v="1899-12-30T02:05:26"/>
    <n v="0"/>
    <n v="0"/>
  </r>
  <r>
    <n v="53"/>
    <x v="76"/>
    <d v="1899-12-30T20:37:17"/>
    <d v="1899-12-30T20:37:20"/>
    <d v="1899-12-30T22:37:50"/>
    <s v="1 hr 43 min 38s"/>
    <s v="ztp-nrxc-seu"/>
    <x v="26"/>
    <d v="1899-12-30T02:00:33"/>
    <d v="1899-12-30T02:05:26"/>
    <n v="0"/>
    <n v="0"/>
  </r>
  <r>
    <n v="54"/>
    <x v="95"/>
    <d v="1899-12-30T20:37:17"/>
    <d v="1899-12-30T22:31:54"/>
    <d v="1899-12-30T22:37:50"/>
    <s v="5 min 55s"/>
    <s v="ztp-nrxc-seu"/>
    <x v="26"/>
    <d v="1899-12-30T02:00:33"/>
    <d v="1899-12-30T02:05:27"/>
    <n v="0"/>
    <n v="0"/>
  </r>
  <r>
    <n v="55"/>
    <x v="36"/>
    <d v="1899-12-30T20:37:17"/>
    <d v="1899-12-30T20:37:20"/>
    <d v="1899-12-30T22:37:50"/>
    <s v="1 hr 43 min 38s"/>
    <s v="ztp-nrxc-seu"/>
    <x v="26"/>
    <d v="1899-12-30T02:00:33"/>
    <d v="1899-12-30T02:05:28"/>
    <n v="0"/>
    <n v="0"/>
  </r>
  <r>
    <n v="56"/>
    <x v="47"/>
    <d v="1899-12-30T20:37:17"/>
    <d v="1899-12-30T21:48:30"/>
    <d v="1899-12-30T22:37:50"/>
    <s v="10 min 50s"/>
    <s v="ztp-nrxc-seu"/>
    <x v="26"/>
    <d v="1899-12-30T02:00:33"/>
    <d v="1899-12-30T02:05:28"/>
    <n v="0"/>
    <n v="0"/>
  </r>
  <r>
    <n v="57"/>
    <x v="69"/>
    <d v="1899-12-30T20:37:17"/>
    <d v="1899-12-30T20:37:20"/>
    <d v="1899-12-30T22:37:50"/>
    <s v="1 hr 8 min 40s"/>
    <s v="ztp-nrxc-seu"/>
    <x v="26"/>
    <d v="1899-12-30T02:00:33"/>
    <d v="1899-12-30T02:05:29"/>
    <n v="0"/>
    <n v="0"/>
  </r>
  <r>
    <n v="58"/>
    <x v="67"/>
    <d v="1899-12-30T20:37:17"/>
    <d v="1899-12-30T20:37:20"/>
    <d v="1899-12-30T22:37:50"/>
    <s v="1 hr 38 min 4s"/>
    <s v="ztp-nrxc-seu"/>
    <x v="26"/>
    <d v="1899-12-30T02:00:33"/>
    <d v="1899-12-30T02:05:30"/>
    <n v="0"/>
    <n v="0"/>
  </r>
  <r>
    <n v="1"/>
    <x v="1"/>
    <d v="1899-12-30T20:36:22"/>
    <d v="1899-12-30T20:36:26"/>
    <d v="1899-12-30T22:11:15"/>
    <s v="1 hr 34 min 3s"/>
    <s v="rhi-fugx-kpy"/>
    <x v="27"/>
    <d v="1899-12-30T01:34:53"/>
    <d v="1899-12-30T02:05:30"/>
    <n v="0"/>
    <n v="0"/>
  </r>
  <r>
    <n v="2"/>
    <x v="2"/>
    <d v="1899-12-30T20:36:22"/>
    <d v="1899-12-30T21:36:18"/>
    <d v="1899-12-30T22:11:15"/>
    <s v="33 min 8s"/>
    <s v="rhi-fugx-kpy"/>
    <x v="27"/>
    <d v="1899-12-30T01:34:53"/>
    <d v="1899-12-30T02:05:34"/>
    <n v="0"/>
    <n v="0"/>
  </r>
  <r>
    <n v="3"/>
    <x v="65"/>
    <d v="1899-12-30T20:36:22"/>
    <d v="1899-12-30T20:36:26"/>
    <d v="1899-12-30T22:11:15"/>
    <s v="1 hr 34 min 3s"/>
    <s v="rhi-fugx-kpy"/>
    <x v="27"/>
    <d v="1899-12-30T01:34:53"/>
    <d v="1899-12-30T02:05:39"/>
    <n v="0"/>
    <n v="0"/>
  </r>
  <r>
    <n v="4"/>
    <x v="13"/>
    <d v="1899-12-30T20:36:22"/>
    <d v="1899-12-30T20:36:26"/>
    <d v="1899-12-30T22:11:15"/>
    <s v="1 hr 33 min 20s"/>
    <s v="rhi-fugx-kpy"/>
    <x v="27"/>
    <d v="1899-12-30T01:34:53"/>
    <d v="1899-12-30T02:05:43"/>
    <n v="0"/>
    <n v="0"/>
  </r>
  <r>
    <n v="5"/>
    <x v="96"/>
    <d v="1899-12-30T20:36:22"/>
    <d v="1899-12-30T21:36:18"/>
    <d v="1899-12-30T22:11:15"/>
    <s v="34 min 16s"/>
    <s v="rhi-fugx-kpy"/>
    <x v="27"/>
    <d v="1899-12-30T01:34:53"/>
    <d v="1899-12-30T02:05:47"/>
    <n v="0"/>
    <n v="0"/>
  </r>
  <r>
    <n v="6"/>
    <x v="4"/>
    <d v="1899-12-30T20:36:22"/>
    <d v="1899-12-30T20:36:26"/>
    <d v="1899-12-30T22:11:15"/>
    <s v="1 hr 34 min 3s"/>
    <s v="rhi-fugx-kpy"/>
    <x v="27"/>
    <d v="1899-12-30T01:34:53"/>
    <d v="1899-12-30T02:05:52"/>
    <n v="0"/>
    <n v="0"/>
  </r>
  <r>
    <n v="7"/>
    <x v="31"/>
    <d v="1899-12-30T20:36:22"/>
    <d v="1899-12-30T21:36:18"/>
    <d v="1899-12-30T22:11:15"/>
    <s v="33 min 39s"/>
    <s v="rhi-fugx-kpy"/>
    <x v="27"/>
    <d v="1899-12-30T01:34:53"/>
    <d v="1899-12-30T02:05:56"/>
    <n v="0"/>
    <n v="0"/>
  </r>
  <r>
    <n v="8"/>
    <x v="72"/>
    <d v="1899-12-30T20:36:22"/>
    <d v="1899-12-30T20:36:26"/>
    <d v="1899-12-30T22:11:15"/>
    <s v="1 hr 34 min 3s"/>
    <s v="rhi-fugx-kpy"/>
    <x v="27"/>
    <d v="1899-12-30T01:34:53"/>
    <d v="1899-12-30T02:06:00"/>
    <n v="0"/>
    <n v="0"/>
  </r>
  <r>
    <n v="9"/>
    <x v="49"/>
    <d v="1899-12-30T20:36:22"/>
    <d v="1899-12-30T20:36:26"/>
    <d v="1899-12-30T22:11:15"/>
    <s v="1 hr 34 min 3s"/>
    <s v="rhi-fugx-kpy"/>
    <x v="27"/>
    <d v="1899-12-30T01:34:53"/>
    <d v="1899-12-30T02:06:05"/>
    <n v="0"/>
    <n v="0"/>
  </r>
  <r>
    <n v="10"/>
    <x v="70"/>
    <d v="1899-12-30T20:36:22"/>
    <d v="1899-12-30T22:04:48"/>
    <d v="1899-12-30T22:11:15"/>
    <s v="0 min 11s"/>
    <s v="rhi-fugx-kpy"/>
    <x v="27"/>
    <d v="1899-12-30T01:34:53"/>
    <d v="1899-12-30T02:06:09"/>
    <n v="0"/>
    <n v="0"/>
  </r>
  <r>
    <n v="11"/>
    <x v="14"/>
    <d v="1899-12-30T20:36:22"/>
    <d v="1899-12-30T21:36:18"/>
    <d v="1899-12-30T22:11:15"/>
    <s v="34 min 16s"/>
    <s v="rhi-fugx-kpy"/>
    <x v="27"/>
    <d v="1899-12-30T01:34:53"/>
    <d v="1899-12-30T02:06:13"/>
    <n v="0"/>
    <n v="0"/>
  </r>
  <r>
    <n v="12"/>
    <x v="97"/>
    <d v="1899-12-30T20:36:22"/>
    <d v="1899-12-30T20:36:26"/>
    <d v="1899-12-30T22:11:15"/>
    <s v="1 hr 34 min 3s"/>
    <s v="rhi-fugx-kpy"/>
    <x v="27"/>
    <d v="1899-12-30T01:34:53"/>
    <d v="1899-12-30T02:06:18"/>
    <n v="0"/>
    <n v="0"/>
  </r>
  <r>
    <n v="13"/>
    <x v="15"/>
    <d v="1899-12-30T20:36:22"/>
    <d v="1899-12-30T21:36:18"/>
    <d v="1899-12-30T22:11:15"/>
    <s v="34 min 16s"/>
    <s v="rhi-fugx-kpy"/>
    <x v="27"/>
    <d v="1899-12-30T01:34:53"/>
    <d v="1899-12-30T02:06:22"/>
    <n v="0"/>
    <n v="0"/>
  </r>
  <r>
    <n v="14"/>
    <x v="5"/>
    <d v="1899-12-30T20:36:22"/>
    <d v="1899-12-30T20:36:26"/>
    <d v="1899-12-30T22:11:15"/>
    <s v="1 hr 34 min 3s"/>
    <s v="rhi-fugx-kpy"/>
    <x v="27"/>
    <d v="1899-12-30T01:34:53"/>
    <d v="1899-12-30T02:06:27"/>
    <n v="0"/>
    <n v="0"/>
  </r>
  <r>
    <n v="15"/>
    <x v="50"/>
    <d v="1899-12-30T20:36:22"/>
    <d v="1899-12-30T20:36:26"/>
    <d v="1899-12-30T22:11:15"/>
    <s v="1 hr 34 min 3s"/>
    <s v="rhi-fugx-kpy"/>
    <x v="27"/>
    <d v="1899-12-30T01:34:53"/>
    <d v="1899-12-30T02:06:31"/>
    <n v="0"/>
    <n v="0"/>
  </r>
  <r>
    <n v="16"/>
    <x v="51"/>
    <d v="1899-12-30T20:36:22"/>
    <d v="1899-12-30T21:36:18"/>
    <d v="1899-12-30T22:11:15"/>
    <s v="34 min 16s"/>
    <s v="rhi-fugx-kpy"/>
    <x v="27"/>
    <d v="1899-12-30T01:34:53"/>
    <d v="1899-12-30T02:06:36"/>
    <n v="0"/>
    <n v="0"/>
  </r>
  <r>
    <n v="17"/>
    <x v="78"/>
    <d v="1899-12-30T20:36:22"/>
    <d v="1899-12-30T21:36:18"/>
    <d v="1899-12-30T22:11:15"/>
    <s v="34 min 12s"/>
    <s v="rhi-fugx-kpy"/>
    <x v="27"/>
    <d v="1899-12-30T01:34:53"/>
    <d v="1899-12-30T02:06:40"/>
    <n v="0"/>
    <n v="0"/>
  </r>
  <r>
    <n v="18"/>
    <x v="68"/>
    <d v="1899-12-30T20:36:22"/>
    <d v="1899-12-30T21:36:18"/>
    <d v="1899-12-30T22:11:15"/>
    <s v="34 min 16s"/>
    <s v="rhi-fugx-kpy"/>
    <x v="27"/>
    <d v="1899-12-30T01:34:53"/>
    <d v="1899-12-30T02:06:45"/>
    <n v="0"/>
    <n v="0"/>
  </r>
  <r>
    <n v="19"/>
    <x v="6"/>
    <d v="1899-12-30T20:36:22"/>
    <d v="1899-12-30T20:36:26"/>
    <d v="1899-12-30T22:11:15"/>
    <s v="1 hr 34 min 3s"/>
    <s v="rhi-fugx-kpy"/>
    <x v="27"/>
    <d v="1899-12-30T01:34:53"/>
    <d v="1899-12-30T02:06:49"/>
    <n v="0"/>
    <n v="0"/>
  </r>
  <r>
    <n v="20"/>
    <x v="17"/>
    <d v="1899-12-30T20:36:22"/>
    <d v="1899-12-30T20:36:26"/>
    <d v="1899-12-30T22:11:15"/>
    <s v="1 hr 34 min 3s"/>
    <s v="rhi-fugx-kpy"/>
    <x v="27"/>
    <d v="1899-12-30T01:34:53"/>
    <d v="1899-12-30T02:06:54"/>
    <n v="0"/>
    <n v="0"/>
  </r>
  <r>
    <n v="21"/>
    <x v="63"/>
    <d v="1899-12-30T20:36:22"/>
    <d v="1899-12-30T20:36:26"/>
    <d v="1899-12-30T22:11:15"/>
    <s v="1 hr 34 min 3s"/>
    <s v="rhi-fugx-kpy"/>
    <x v="27"/>
    <d v="1899-12-30T01:34:53"/>
    <d v="1899-12-30T02:06:59"/>
    <n v="0"/>
    <n v="0"/>
  </r>
  <r>
    <n v="22"/>
    <x v="85"/>
    <d v="1899-12-30T20:36:22"/>
    <d v="1899-12-30T21:36:18"/>
    <d v="1899-12-30T22:11:15"/>
    <s v="34 min 16s"/>
    <s v="rhi-fugx-kpy"/>
    <x v="27"/>
    <d v="1899-12-30T01:34:53"/>
    <d v="1899-12-30T02:07:03"/>
    <n v="0"/>
    <n v="0"/>
  </r>
  <r>
    <n v="23"/>
    <x v="43"/>
    <d v="1899-12-30T20:36:22"/>
    <d v="1899-12-30T20:36:26"/>
    <d v="1899-12-30T22:11:15"/>
    <s v="1 hr 34 min 3s"/>
    <s v="rhi-fugx-kpy"/>
    <x v="27"/>
    <d v="1899-12-30T01:34:53"/>
    <d v="1899-12-30T02:07:08"/>
    <n v="0"/>
    <n v="0"/>
  </r>
  <r>
    <n v="24"/>
    <x v="73"/>
    <d v="1899-12-30T20:36:22"/>
    <d v="1899-12-30T22:04:48"/>
    <d v="1899-12-30T22:11:15"/>
    <s v="5 min 49s"/>
    <s v="rhi-fugx-kpy"/>
    <x v="27"/>
    <d v="1899-12-30T01:34:53"/>
    <d v="1899-12-30T02:07:13"/>
    <n v="0"/>
    <n v="0"/>
  </r>
  <r>
    <n v="25"/>
    <x v="28"/>
    <d v="1899-12-30T20:36:22"/>
    <d v="1899-12-30T21:36:18"/>
    <d v="1899-12-30T22:11:15"/>
    <s v="31 min 52s"/>
    <s v="rhi-fugx-kpy"/>
    <x v="27"/>
    <d v="1899-12-30T01:34:53"/>
    <d v="1899-12-30T02:07:17"/>
    <n v="0"/>
    <n v="0"/>
  </r>
  <r>
    <n v="26"/>
    <x v="58"/>
    <d v="1899-12-30T20:36:22"/>
    <d v="1899-12-30T21:36:18"/>
    <d v="1899-12-30T22:11:15"/>
    <s v="28 min 27s"/>
    <s v="rhi-fugx-kpy"/>
    <x v="27"/>
    <d v="1899-12-30T01:34:53"/>
    <d v="1899-12-30T02:07:22"/>
    <n v="0"/>
    <n v="0"/>
  </r>
  <r>
    <n v="27"/>
    <x v="98"/>
    <d v="1899-12-30T20:36:22"/>
    <d v="1899-12-30T20:36:26"/>
    <d v="1899-12-30T22:11:15"/>
    <s v="59 min 47s"/>
    <s v="rhi-fugx-kpy"/>
    <x v="27"/>
    <d v="1899-12-30T01:34:53"/>
    <d v="1899-12-30T02:07:27"/>
    <n v="0"/>
    <n v="0"/>
  </r>
  <r>
    <n v="28"/>
    <x v="7"/>
    <d v="1899-12-30T20:36:22"/>
    <d v="1899-12-30T20:36:26"/>
    <d v="1899-12-30T22:11:15"/>
    <s v="1 hr 34 min 3s"/>
    <s v="rhi-fugx-kpy"/>
    <x v="27"/>
    <d v="1899-12-30T01:34:53"/>
    <d v="1899-12-30T02:07:31"/>
    <n v="0"/>
    <n v="0"/>
  </r>
  <r>
    <n v="29"/>
    <x v="91"/>
    <d v="1899-12-30T20:36:22"/>
    <d v="1899-12-30T20:36:26"/>
    <d v="1899-12-30T22:11:15"/>
    <s v="1 hr 34 min 3s"/>
    <s v="rhi-fugx-kpy"/>
    <x v="27"/>
    <d v="1899-12-30T01:34:53"/>
    <d v="1899-12-30T02:07:36"/>
    <n v="0"/>
    <n v="0"/>
  </r>
  <r>
    <n v="30"/>
    <x v="38"/>
    <d v="1899-12-30T20:36:22"/>
    <d v="1899-12-30T21:36:18"/>
    <d v="1899-12-30T22:11:15"/>
    <s v="34 min 16s"/>
    <s v="rhi-fugx-kpy"/>
    <x v="27"/>
    <d v="1899-12-30T01:34:53"/>
    <d v="1899-12-30T02:07:41"/>
    <n v="0"/>
    <n v="0"/>
  </r>
  <r>
    <n v="31"/>
    <x v="48"/>
    <d v="1899-12-30T20:36:22"/>
    <d v="1899-12-30T20:36:26"/>
    <d v="1899-12-30T22:11:15"/>
    <s v="59 min 47s"/>
    <s v="rhi-fugx-kpy"/>
    <x v="27"/>
    <d v="1899-12-30T01:34:53"/>
    <d v="1899-12-30T02:07:46"/>
    <n v="0"/>
    <n v="0"/>
  </r>
  <r>
    <n v="32"/>
    <x v="59"/>
    <d v="1899-12-30T20:36:22"/>
    <d v="1899-12-30T20:36:26"/>
    <d v="1899-12-30T22:11:15"/>
    <s v="1 hr 34 min 3s"/>
    <s v="rhi-fugx-kpy"/>
    <x v="27"/>
    <d v="1899-12-30T01:34:53"/>
    <d v="1899-12-30T02:07:51"/>
    <n v="0"/>
    <n v="0"/>
  </r>
  <r>
    <n v="33"/>
    <x v="8"/>
    <d v="1899-12-30T20:36:22"/>
    <d v="1899-12-30T20:36:26"/>
    <d v="1899-12-30T22:11:15"/>
    <s v="1 hr 34 min 3s"/>
    <s v="rhi-fugx-kpy"/>
    <x v="27"/>
    <d v="1899-12-30T01:34:53"/>
    <d v="1899-12-30T02:07:56"/>
    <n v="0"/>
    <n v="0"/>
  </r>
  <r>
    <n v="34"/>
    <x v="80"/>
    <d v="1899-12-30T20:36:22"/>
    <d v="1899-12-30T22:04:48"/>
    <d v="1899-12-30T22:11:15"/>
    <s v="0 min 21s"/>
    <s v="rhi-fugx-kpy"/>
    <x v="27"/>
    <d v="1899-12-30T01:34:53"/>
    <d v="1899-12-30T02:08:01"/>
    <n v="0"/>
    <n v="0"/>
  </r>
  <r>
    <n v="35"/>
    <x v="20"/>
    <d v="1899-12-30T20:36:22"/>
    <d v="1899-12-30T20:36:26"/>
    <d v="1899-12-30T22:11:15"/>
    <s v="1 hr 31 min 55s"/>
    <s v="rhi-fugx-kpy"/>
    <x v="27"/>
    <d v="1899-12-30T01:34:53"/>
    <d v="1899-12-30T02:08:06"/>
    <n v="0"/>
    <n v="0"/>
  </r>
  <r>
    <n v="36"/>
    <x v="99"/>
    <d v="1899-12-30T20:36:22"/>
    <d v="1899-12-30T20:36:26"/>
    <d v="1899-12-30T22:11:15"/>
    <s v="1 hr 34 min 3s"/>
    <s v="rhi-fugx-kpy"/>
    <x v="27"/>
    <d v="1899-12-30T01:34:53"/>
    <d v="1899-12-30T02:08:11"/>
    <n v="0"/>
    <n v="0"/>
  </r>
  <r>
    <n v="37"/>
    <x v="9"/>
    <d v="1899-12-30T20:36:22"/>
    <d v="1899-12-30T22:04:48"/>
    <d v="1899-12-30T22:11:15"/>
    <s v="5 min 49s"/>
    <s v="rhi-fugx-kpy"/>
    <x v="27"/>
    <d v="1899-12-30T01:34:53"/>
    <d v="1899-12-30T02:08:16"/>
    <n v="0"/>
    <n v="0"/>
  </r>
  <r>
    <n v="38"/>
    <x v="86"/>
    <d v="1899-12-30T20:36:22"/>
    <d v="1899-12-30T20:36:26"/>
    <d v="1899-12-30T22:11:15"/>
    <s v="1 hr 5 min 36s"/>
    <s v="rhi-fugx-kpy"/>
    <x v="27"/>
    <d v="1899-12-30T01:34:53"/>
    <d v="1899-12-30T02:08:21"/>
    <n v="0"/>
    <n v="0"/>
  </r>
  <r>
    <n v="39"/>
    <x v="21"/>
    <d v="1899-12-30T20:36:22"/>
    <d v="1899-12-30T20:36:26"/>
    <d v="1899-12-30T22:11:15"/>
    <s v="1 hr 33 min 19s"/>
    <s v="rhi-fugx-kpy"/>
    <x v="27"/>
    <d v="1899-12-30T01:34:53"/>
    <d v="1899-12-30T02:08:26"/>
    <n v="0"/>
    <n v="0"/>
  </r>
  <r>
    <n v="40"/>
    <x v="64"/>
    <d v="1899-12-30T20:36:22"/>
    <d v="1899-12-30T20:36:26"/>
    <d v="1899-12-30T22:11:15"/>
    <s v="1 hr 28 min 14s"/>
    <s v="rhi-fugx-kpy"/>
    <x v="27"/>
    <d v="1899-12-30T01:34:53"/>
    <d v="1899-12-30T02:08:31"/>
    <n v="0"/>
    <n v="0"/>
  </r>
  <r>
    <n v="41"/>
    <x v="52"/>
    <d v="1899-12-30T20:36:22"/>
    <d v="1899-12-30T20:36:26"/>
    <d v="1899-12-30T22:11:15"/>
    <s v="1 hr 5 min 36s"/>
    <s v="rhi-fugx-kpy"/>
    <x v="27"/>
    <d v="1899-12-30T01:34:53"/>
    <d v="1899-12-30T02:08:36"/>
    <n v="0"/>
    <n v="0"/>
  </r>
  <r>
    <n v="42"/>
    <x v="55"/>
    <d v="1899-12-30T20:36:22"/>
    <d v="1899-12-30T21:36:18"/>
    <d v="1899-12-30T22:11:15"/>
    <s v="34 min 16s"/>
    <s v="rhi-fugx-kpy"/>
    <x v="27"/>
    <d v="1899-12-30T01:34:53"/>
    <d v="1899-12-30T02:08:41"/>
    <n v="0"/>
    <n v="0"/>
  </r>
  <r>
    <n v="43"/>
    <x v="22"/>
    <d v="1899-12-30T20:36:22"/>
    <d v="1899-12-30T20:36:26"/>
    <d v="1899-12-30T22:11:15"/>
    <s v="1 hr 34 min 3s"/>
    <s v="rhi-fugx-kpy"/>
    <x v="27"/>
    <d v="1899-12-30T01:34:53"/>
    <d v="1899-12-30T02:08:46"/>
    <n v="0"/>
    <n v="0"/>
  </r>
  <r>
    <n v="44"/>
    <x v="94"/>
    <d v="1899-12-30T20:36:22"/>
    <d v="1899-12-30T20:36:26"/>
    <d v="1899-12-30T22:11:15"/>
    <s v="1 hr 34 min 3s"/>
    <s v="rhi-fugx-kpy"/>
    <x v="27"/>
    <d v="1899-12-30T01:34:53"/>
    <d v="1899-12-30T02:08:51"/>
    <n v="0"/>
    <n v="0"/>
  </r>
  <r>
    <n v="45"/>
    <x v="30"/>
    <d v="1899-12-30T20:36:22"/>
    <d v="1899-12-30T20:36:26"/>
    <d v="1899-12-30T22:11:15"/>
    <s v="1 hr 28 min 14s"/>
    <s v="rhi-fugx-kpy"/>
    <x v="27"/>
    <d v="1899-12-30T01:34:53"/>
    <d v="1899-12-30T02:08:56"/>
    <n v="0"/>
    <n v="0"/>
  </r>
  <r>
    <n v="46"/>
    <x v="33"/>
    <d v="1899-12-30T20:36:22"/>
    <d v="1899-12-30T20:36:26"/>
    <d v="1899-12-30T22:11:15"/>
    <s v="1 hr 34 min 3s"/>
    <s v="rhi-fugx-kpy"/>
    <x v="27"/>
    <d v="1899-12-30T01:34:53"/>
    <d v="1899-12-30T02:09:02"/>
    <n v="0"/>
    <n v="0"/>
  </r>
  <r>
    <n v="47"/>
    <x v="34"/>
    <d v="1899-12-30T20:36:22"/>
    <d v="1899-12-30T21:36:18"/>
    <d v="1899-12-30T22:11:15"/>
    <s v="34 min 16s"/>
    <s v="rhi-fugx-kpy"/>
    <x v="27"/>
    <d v="1899-12-30T01:34:53"/>
    <d v="1899-12-30T02:09:07"/>
    <n v="0"/>
    <n v="0"/>
  </r>
  <r>
    <n v="48"/>
    <x v="93"/>
    <d v="1899-12-30T20:36:22"/>
    <d v="1899-12-30T20:36:26"/>
    <d v="1899-12-30T22:11:15"/>
    <s v="1 hr 34 min 3s"/>
    <s v="rhi-fugx-kpy"/>
    <x v="27"/>
    <d v="1899-12-30T01:34:53"/>
    <d v="1899-12-30T02:09:12"/>
    <n v="0"/>
    <n v="0"/>
  </r>
  <r>
    <n v="49"/>
    <x v="24"/>
    <d v="1899-12-30T20:36:22"/>
    <d v="1899-12-30T21:36:18"/>
    <d v="1899-12-30T22:11:15"/>
    <s v="34 min 16s"/>
    <s v="rhi-fugx-kpy"/>
    <x v="27"/>
    <d v="1899-12-30T01:34:53"/>
    <d v="1899-12-30T02:09:17"/>
    <n v="0"/>
    <n v="0"/>
  </r>
  <r>
    <n v="50"/>
    <x v="62"/>
    <d v="1899-12-30T20:36:22"/>
    <d v="1899-12-30T21:36:18"/>
    <d v="1899-12-30T22:11:15"/>
    <s v="34 min 16s"/>
    <s v="rhi-fugx-kpy"/>
    <x v="27"/>
    <d v="1899-12-30T01:34:53"/>
    <d v="1899-12-30T02:09:23"/>
    <n v="0"/>
    <n v="0"/>
  </r>
  <r>
    <n v="51"/>
    <x v="81"/>
    <d v="1899-12-30T20:36:22"/>
    <d v="1899-12-30T20:36:26"/>
    <d v="1899-12-30T22:11:15"/>
    <s v="1 hr 33 min 42s"/>
    <s v="rhi-fugx-kpy"/>
    <x v="27"/>
    <d v="1899-12-30T01:34:53"/>
    <d v="1899-12-30T02:09:28"/>
    <n v="0"/>
    <n v="0"/>
  </r>
  <r>
    <n v="52"/>
    <x v="76"/>
    <d v="1899-12-30T20:36:22"/>
    <d v="1899-12-30T20:36:26"/>
    <d v="1899-12-30T22:11:15"/>
    <s v="1 hr 34 min 3s"/>
    <s v="rhi-fugx-kpy"/>
    <x v="27"/>
    <d v="1899-12-30T01:34:53"/>
    <d v="1899-12-30T02:09:34"/>
    <n v="0"/>
    <n v="0"/>
  </r>
  <r>
    <n v="53"/>
    <x v="36"/>
    <d v="1899-12-30T20:36:22"/>
    <d v="1899-12-30T21:36:18"/>
    <d v="1899-12-30T22:11:15"/>
    <s v="34 min 16s"/>
    <s v="rhi-fugx-kpy"/>
    <x v="27"/>
    <d v="1899-12-30T01:34:53"/>
    <d v="1899-12-30T02:09:39"/>
    <n v="0"/>
    <n v="0"/>
  </r>
  <r>
    <n v="54"/>
    <x v="47"/>
    <d v="1899-12-30T20:36:22"/>
    <d v="1899-12-30T20:36:26"/>
    <d v="1899-12-30T22:11:15"/>
    <s v="1 hr 34 min 3s"/>
    <s v="rhi-fugx-kpy"/>
    <x v="27"/>
    <d v="1899-12-30T01:34:53"/>
    <d v="1899-12-30T02:09:44"/>
    <n v="0"/>
    <n v="0"/>
  </r>
  <r>
    <n v="55"/>
    <x v="69"/>
    <d v="1899-12-30T20:36:22"/>
    <d v="1899-12-30T21:36:18"/>
    <d v="1899-12-30T22:11:15"/>
    <s v="28 min 27s"/>
    <s v="rhi-fugx-kpy"/>
    <x v="27"/>
    <d v="1899-12-30T01:34:53"/>
    <d v="1899-12-30T02:09:50"/>
    <n v="0"/>
    <n v="0"/>
  </r>
  <r>
    <n v="56"/>
    <x v="67"/>
    <d v="1899-12-30T20:36:22"/>
    <d v="1899-12-30T20:36:26"/>
    <d v="1899-12-30T22:11:15"/>
    <s v="1 hr 34 min 3s"/>
    <s v="rhi-fugx-kpy"/>
    <x v="27"/>
    <d v="1899-12-30T01:34:53"/>
    <d v="1899-12-30T02:09:55"/>
    <n v="0"/>
    <n v="0"/>
  </r>
  <r>
    <n v="1"/>
    <x v="1"/>
    <d v="1899-12-30T20:39:20"/>
    <d v="1899-12-30T20:39:23"/>
    <d v="1899-12-30T22:48:13"/>
    <s v="2 hr 8 min 48s"/>
    <s v="uhx-ocez-tyy"/>
    <x v="28"/>
    <d v="1899-12-30T02:08:53"/>
    <d v="1899-12-30T02:10:01"/>
    <n v="0"/>
    <n v="0"/>
  </r>
  <r>
    <n v="2"/>
    <x v="2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3"/>
    <x v="13"/>
    <d v="1899-12-30T20:39:20"/>
    <d v="1899-12-30T20:39:23"/>
    <d v="1899-12-30T22:48:13"/>
    <s v="2 hr 8 min 20s"/>
    <s v="uhx-ocez-tyy"/>
    <x v="28"/>
    <d v="1899-12-30T02:08:53"/>
    <d v="1899-12-30T02:10:01"/>
    <n v="0"/>
    <n v="0"/>
  </r>
  <r>
    <n v="4"/>
    <x v="4"/>
    <d v="1899-12-30T20:39:20"/>
    <d v="1899-12-30T22:47:46"/>
    <d v="1899-12-30T22:48:13"/>
    <s v="0 min 10s"/>
    <s v="uhx-ocez-tyy"/>
    <x v="28"/>
    <d v="1899-12-30T02:08:53"/>
    <d v="1899-12-30T02:10:01"/>
    <n v="0"/>
    <n v="0"/>
  </r>
  <r>
    <n v="5"/>
    <x v="27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6"/>
    <x v="72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7"/>
    <x v="49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8"/>
    <x v="14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9"/>
    <x v="54"/>
    <d v="1899-12-30T20:39:20"/>
    <d v="1899-12-30T20:39:23"/>
    <d v="1899-12-30T22:48:13"/>
    <s v="2 hr 8 min 20s"/>
    <s v="uhx-ocez-tyy"/>
    <x v="28"/>
    <d v="1899-12-30T02:08:53"/>
    <d v="1899-12-30T02:10:02"/>
    <n v="0"/>
    <n v="0"/>
  </r>
  <r>
    <n v="10"/>
    <x v="15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1"/>
    <x v="5"/>
    <d v="1899-12-30T20:39:20"/>
    <d v="1899-12-30T20:39:23"/>
    <d v="1899-12-30T22:48:13"/>
    <s v="2 hr 8 min 48s"/>
    <s v="uhx-ocez-tyy"/>
    <x v="28"/>
    <d v="1899-12-30T02:08:53"/>
    <d v="1899-12-30T02:10:03"/>
    <n v="0"/>
    <n v="0"/>
  </r>
  <r>
    <n v="12"/>
    <x v="51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3"/>
    <x v="78"/>
    <d v="1899-12-30T20:39:20"/>
    <d v="1899-12-30T20:39:23"/>
    <d v="1899-12-30T22:48:13"/>
    <s v="0 min 5s"/>
    <s v="uhx-ocez-tyy"/>
    <x v="28"/>
    <d v="1899-12-30T02:08:53"/>
    <d v="1899-12-30T02:10:03"/>
    <n v="0"/>
    <n v="0"/>
  </r>
  <r>
    <n v="14"/>
    <x v="90"/>
    <d v="1899-12-30T20:39:20"/>
    <d v="1899-12-30T20:39:23"/>
    <d v="1899-12-30T22:48:13"/>
    <s v="2 hr 8 min 20s"/>
    <s v="uhx-ocez-tyy"/>
    <x v="28"/>
    <d v="1899-12-30T02:08:53"/>
    <d v="1899-12-30T02:10:03"/>
    <n v="0"/>
    <n v="0"/>
  </r>
  <r>
    <n v="15"/>
    <x v="6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6"/>
    <x v="17"/>
    <d v="1899-12-30T20:39:20"/>
    <d v="1899-12-30T20:39:23"/>
    <d v="1899-12-30T22:48:13"/>
    <s v="2 hr 8 min 48s"/>
    <s v="uhx-ocez-tyy"/>
    <x v="28"/>
    <d v="1899-12-30T02:08:53"/>
    <d v="1899-12-30T02:10:04"/>
    <n v="0"/>
    <n v="0"/>
  </r>
  <r>
    <n v="17"/>
    <x v="85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8"/>
    <x v="43"/>
    <d v="1899-12-30T20:39:20"/>
    <d v="1899-12-30T20:39:23"/>
    <d v="1899-12-30T22:48:13"/>
    <s v="2 hr 8 min 20s"/>
    <s v="uhx-ocez-tyy"/>
    <x v="28"/>
    <d v="1899-12-30T02:08:53"/>
    <d v="1899-12-30T02:10:04"/>
    <n v="0"/>
    <n v="0"/>
  </r>
  <r>
    <n v="19"/>
    <x v="73"/>
    <d v="1899-12-30T20:39:20"/>
    <d v="1899-12-30T20:39:23"/>
    <d v="1899-12-30T22:48:13"/>
    <s v="0 min 1s"/>
    <s v="uhx-ocez-tyy"/>
    <x v="28"/>
    <d v="1899-12-30T02:08:53"/>
    <d v="1899-12-30T02:10:04"/>
    <n v="0"/>
    <n v="0"/>
  </r>
  <r>
    <n v="20"/>
    <x v="2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1"/>
    <x v="7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2"/>
    <x v="1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3"/>
    <x v="3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4"/>
    <x v="48"/>
    <d v="1899-12-30T20:39:20"/>
    <d v="1899-12-30T20:39:23"/>
    <d v="1899-12-30T22:48:13"/>
    <s v="2 hr 8 min 20s"/>
    <s v="uhx-ocez-tyy"/>
    <x v="28"/>
    <d v="1899-12-30T02:08:53"/>
    <d v="1899-12-30T02:10:05"/>
    <n v="0"/>
    <n v="0"/>
  </r>
  <r>
    <n v="25"/>
    <x v="74"/>
    <d v="1899-12-30T20:39:20"/>
    <d v="1899-12-30T20:39:23"/>
    <d v="1899-12-30T22:48:13"/>
    <s v="2 hr 8 min 39s"/>
    <s v="uhx-ocez-tyy"/>
    <x v="28"/>
    <d v="1899-12-30T02:08:53"/>
    <d v="1899-12-30T02:10:06"/>
    <n v="0"/>
    <n v="0"/>
  </r>
  <r>
    <n v="26"/>
    <x v="59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7"/>
    <x v="8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8"/>
    <x v="29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29"/>
    <x v="20"/>
    <d v="1899-12-30T20:39:20"/>
    <d v="1899-12-30T20:39:23"/>
    <d v="1899-12-30T22:48:13"/>
    <s v="2 hr 8 min 20s"/>
    <s v="uhx-ocez-tyy"/>
    <x v="28"/>
    <d v="1899-12-30T02:08:53"/>
    <d v="1899-12-30T02:10:06"/>
    <n v="0"/>
    <n v="0"/>
  </r>
  <r>
    <n v="30"/>
    <x v="9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1"/>
    <x v="86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2"/>
    <x v="21"/>
    <d v="1899-12-30T20:39:20"/>
    <d v="1899-12-30T20:39:23"/>
    <d v="1899-12-30T22:48:13"/>
    <s v="2 hr 8 min 20s"/>
    <s v="uhx-ocez-tyy"/>
    <x v="28"/>
    <d v="1899-12-30T02:08:53"/>
    <d v="1899-12-30T02:10:07"/>
    <n v="0"/>
    <n v="0"/>
  </r>
  <r>
    <n v="33"/>
    <x v="64"/>
    <d v="1899-12-30T20:39:20"/>
    <d v="1899-12-30T20:39:23"/>
    <d v="1899-12-30T22:48:13"/>
    <s v="2 hr 8 min 48s"/>
    <s v="uhx-ocez-tyy"/>
    <x v="28"/>
    <d v="1899-12-30T02:08:53"/>
    <d v="1899-12-30T02:10:07"/>
    <n v="0"/>
    <n v="0"/>
  </r>
  <r>
    <n v="34"/>
    <x v="45"/>
    <d v="1899-12-30T20:39:20"/>
    <d v="1899-12-30T22:47:46"/>
    <d v="1899-12-30T22:48:13"/>
    <s v="0 min 28s"/>
    <s v="uhx-ocez-tyy"/>
    <x v="28"/>
    <d v="1899-12-30T02:08:53"/>
    <d v="1899-12-30T02:10:07"/>
    <n v="0"/>
    <n v="0"/>
  </r>
  <r>
    <n v="35"/>
    <x v="92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6"/>
    <x v="22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7"/>
    <x v="94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8"/>
    <x v="30"/>
    <d v="1899-12-30T20:39:20"/>
    <d v="1899-12-30T20:39:23"/>
    <d v="1899-12-30T22:48:13"/>
    <s v="2 hr 8 min 20s"/>
    <s v="uhx-ocez-tyy"/>
    <x v="28"/>
    <d v="1899-12-30T02:08:53"/>
    <d v="1899-12-30T02:10:08"/>
    <n v="0"/>
    <n v="0"/>
  </r>
  <r>
    <n v="39"/>
    <x v="23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0"/>
    <x v="34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1"/>
    <x v="93"/>
    <d v="1899-12-30T20:39:20"/>
    <d v="1899-12-30T20:39:23"/>
    <d v="1899-12-30T22:48:13"/>
    <s v="2 hr 8 min 42s"/>
    <s v="uhx-ocez-tyy"/>
    <x v="28"/>
    <d v="1899-12-30T02:08:53"/>
    <d v="1899-12-30T02:10:09"/>
    <n v="0"/>
    <n v="0"/>
  </r>
  <r>
    <n v="42"/>
    <x v="24"/>
    <d v="1899-12-30T20:39:20"/>
    <d v="1899-12-30T20:39:23"/>
    <d v="1899-12-30T22:48:13"/>
    <s v="2 hr 8 min 20s"/>
    <s v="uhx-ocez-tyy"/>
    <x v="28"/>
    <d v="1899-12-30T02:08:53"/>
    <d v="1899-12-30T02:10:09"/>
    <n v="0"/>
    <n v="0"/>
  </r>
  <r>
    <n v="43"/>
    <x v="81"/>
    <d v="1899-12-30T20:39:20"/>
    <d v="1899-12-30T20:39:23"/>
    <d v="1899-12-30T22:48:13"/>
    <s v="2 hr 8 min 48s"/>
    <s v="uhx-ocez-tyy"/>
    <x v="28"/>
    <d v="1899-12-30T02:08:53"/>
    <d v="1899-12-30T02:10:09"/>
    <n v="0"/>
    <n v="0"/>
  </r>
  <r>
    <n v="44"/>
    <x v="76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5"/>
    <x v="36"/>
    <d v="1899-12-30T20:39:20"/>
    <d v="1899-12-30T20:39:23"/>
    <d v="1899-12-30T22:48:13"/>
    <s v="2 hr 8 min 48s"/>
    <s v="uhx-ocez-tyy"/>
    <x v="28"/>
    <d v="1899-12-30T02:08:53"/>
    <d v="1899-12-30T02:10:10"/>
    <n v="0"/>
    <n v="0"/>
  </r>
  <r>
    <n v="46"/>
    <x v="69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47"/>
    <x v="67"/>
    <d v="1899-12-30T20:39:20"/>
    <d v="1899-12-30T20:39:23"/>
    <d v="1899-12-30T22:48:13"/>
    <s v="2 hr 8 min 20s"/>
    <s v="uhx-ocez-tyy"/>
    <x v="28"/>
    <d v="1899-12-30T02:08:53"/>
    <d v="1899-12-30T02:10:10"/>
    <n v="0"/>
    <n v="0"/>
  </r>
  <r>
    <n v="1"/>
    <x v="12"/>
    <d v="1899-12-30T20:38:27"/>
    <d v="1899-12-30T20:38:31"/>
    <d v="1899-12-30T22:20:52"/>
    <s v="1 hr 8 min 18s"/>
    <s v="kdm-nwwh-zkg"/>
    <x v="29"/>
    <d v="1899-12-30T01:42:25"/>
    <d v="1899-12-30T02:10:11"/>
    <n v="1"/>
    <n v="0"/>
  </r>
  <r>
    <n v="2"/>
    <x v="2"/>
    <d v="1899-12-30T20:38:27"/>
    <d v="1899-12-30T20:38:31"/>
    <d v="1899-12-30T22:20:52"/>
    <s v="3 min 29s"/>
    <s v="kdm-nwwh-zkg"/>
    <x v="29"/>
    <d v="1899-12-30T01:42:25"/>
    <d v="1899-12-30T02:10:16"/>
    <n v="1"/>
    <n v="0"/>
  </r>
  <r>
    <n v="3"/>
    <x v="3"/>
    <d v="1899-12-30T20:38:27"/>
    <d v="1899-12-30T21:46:53"/>
    <d v="1899-12-30T22:20:52"/>
    <s v="33 min 59s"/>
    <s v="kdm-nwwh-zkg"/>
    <x v="29"/>
    <d v="1899-12-30T01:42:25"/>
    <d v="1899-12-30T02:10:21"/>
    <n v="1"/>
    <n v="0"/>
  </r>
  <r>
    <n v="4"/>
    <x v="13"/>
    <d v="1899-12-30T20:38:27"/>
    <d v="1899-12-30T20:38:31"/>
    <d v="1899-12-30T22:20:52"/>
    <s v="1 hr 42 min 17s"/>
    <s v="kdm-nwwh-zkg"/>
    <x v="29"/>
    <d v="1899-12-30T01:42:25"/>
    <d v="1899-12-30T02:10:26"/>
    <n v="1"/>
    <n v="0"/>
  </r>
  <r>
    <n v="5"/>
    <x v="96"/>
    <d v="1899-12-30T20:38:27"/>
    <d v="1899-12-30T21:46:53"/>
    <d v="1899-12-30T22:20:52"/>
    <s v="33 min 59s"/>
    <s v="kdm-nwwh-zkg"/>
    <x v="29"/>
    <d v="1899-12-30T01:42:25"/>
    <d v="1899-12-30T02:10:31"/>
    <n v="1"/>
    <n v="0"/>
  </r>
  <r>
    <n v="6"/>
    <x v="4"/>
    <d v="1899-12-30T20:38:27"/>
    <d v="1899-12-30T20:38:31"/>
    <d v="1899-12-30T22:20:52"/>
    <s v="1 hr 8 min 18s"/>
    <s v="kdm-nwwh-zkg"/>
    <x v="29"/>
    <d v="1899-12-30T01:42:25"/>
    <d v="1899-12-30T02:10:36"/>
    <n v="1"/>
    <n v="0"/>
  </r>
  <r>
    <n v="7"/>
    <x v="27"/>
    <d v="1899-12-30T20:38:27"/>
    <d v="1899-12-30T21:46:53"/>
    <d v="1899-12-30T22:20:52"/>
    <s v="33 min 59s"/>
    <s v="kdm-nwwh-zkg"/>
    <x v="29"/>
    <d v="1899-12-30T01:42:25"/>
    <d v="1899-12-30T02:10:41"/>
    <n v="1"/>
    <n v="0"/>
  </r>
  <r>
    <n v="8"/>
    <x v="72"/>
    <d v="1899-12-30T20:38:27"/>
    <d v="1899-12-30T20:38:31"/>
    <d v="1899-12-30T22:20:52"/>
    <s v="1 hr 8 min 18s"/>
    <s v="kdm-nwwh-zkg"/>
    <x v="29"/>
    <d v="1899-12-30T01:42:25"/>
    <d v="1899-12-30T02:10:46"/>
    <n v="1"/>
    <n v="0"/>
  </r>
  <r>
    <n v="9"/>
    <x v="49"/>
    <d v="1899-12-30T20:38:27"/>
    <d v="1899-12-30T20:38:31"/>
    <d v="1899-12-30T22:20:52"/>
    <s v="1 hr 42 min 17s"/>
    <s v="kdm-nwwh-zkg"/>
    <x v="29"/>
    <d v="1899-12-30T01:42:25"/>
    <d v="1899-12-30T02:10:52"/>
    <n v="1"/>
    <n v="0"/>
  </r>
  <r>
    <n v="10"/>
    <x v="14"/>
    <d v="1899-12-30T20:38:27"/>
    <d v="1899-12-30T20:38:31"/>
    <d v="1899-12-30T22:20:52"/>
    <s v="1 hr 42 min 17s"/>
    <s v="kdm-nwwh-zkg"/>
    <x v="29"/>
    <d v="1899-12-30T01:42:25"/>
    <d v="1899-12-30T02:10:57"/>
    <n v="1"/>
    <n v="0"/>
  </r>
  <r>
    <n v="11"/>
    <x v="88"/>
    <d v="1899-12-30T20:38:27"/>
    <d v="1899-12-30T20:38:31"/>
    <d v="1899-12-30T22:20:52"/>
    <s v="1 hr 8 min 18s"/>
    <s v="kdm-nwwh-zkg"/>
    <x v="29"/>
    <d v="1899-12-30T01:42:25"/>
    <d v="1899-12-30T02:11:02"/>
    <n v="1"/>
    <n v="0"/>
  </r>
  <r>
    <n v="12"/>
    <x v="15"/>
    <d v="1899-12-30T20:38:27"/>
    <d v="1899-12-30T21:46:53"/>
    <d v="1899-12-30T22:20:52"/>
    <s v="33 min 59s"/>
    <s v="kdm-nwwh-zkg"/>
    <x v="29"/>
    <d v="1899-12-30T01:42:25"/>
    <d v="1899-12-30T02:11:07"/>
    <n v="1"/>
    <n v="0"/>
  </r>
  <r>
    <n v="13"/>
    <x v="5"/>
    <d v="1899-12-30T20:38:27"/>
    <d v="1899-12-30T20:38:31"/>
    <d v="1899-12-30T22:20:52"/>
    <s v="1 hr 42 min 17s"/>
    <s v="kdm-nwwh-zkg"/>
    <x v="29"/>
    <d v="1899-12-30T01:42:25"/>
    <d v="1899-12-30T02:11:13"/>
    <n v="1"/>
    <n v="0"/>
  </r>
  <r>
    <n v="14"/>
    <x v="89"/>
    <d v="1899-12-30T20:38:27"/>
    <d v="1899-12-30T20:38:31"/>
    <d v="1899-12-30T22:20:52"/>
    <s v="1 hr 8 min 18s"/>
    <s v="kdm-nwwh-zkg"/>
    <x v="29"/>
    <d v="1899-12-30T01:42:25"/>
    <d v="1899-12-30T02:11:18"/>
    <n v="1"/>
    <n v="0"/>
  </r>
  <r>
    <n v="15"/>
    <x v="51"/>
    <d v="1899-12-30T20:38:27"/>
    <d v="1899-12-30T20:38:31"/>
    <d v="1899-12-30T22:20:52"/>
    <s v="1 hr 42 min 17s"/>
    <s v="kdm-nwwh-zkg"/>
    <x v="29"/>
    <d v="1899-12-30T01:42:25"/>
    <d v="1899-12-30T02:11:24"/>
    <n v="1"/>
    <n v="0"/>
  </r>
  <r>
    <n v="16"/>
    <x v="78"/>
    <d v="1899-12-30T20:38:27"/>
    <d v="1899-12-30T20:38:31"/>
    <d v="1899-12-30T22:20:52"/>
    <s v="1 hr 8 min 18s"/>
    <s v="kdm-nwwh-zkg"/>
    <x v="29"/>
    <d v="1899-12-30T01:42:25"/>
    <d v="1899-12-30T02:11:29"/>
    <n v="1"/>
    <n v="0"/>
  </r>
  <r>
    <n v="17"/>
    <x v="42"/>
    <d v="1899-12-30T20:38:27"/>
    <d v="1899-12-30T20:38:31"/>
    <d v="1899-12-30T22:20:52"/>
    <s v="1 hr 8 min 18s"/>
    <s v="kdm-nwwh-zkg"/>
    <x v="29"/>
    <d v="1899-12-30T01:42:25"/>
    <d v="1899-12-30T02:11:35"/>
    <n v="1"/>
    <n v="0"/>
  </r>
  <r>
    <n v="18"/>
    <x v="6"/>
    <d v="1899-12-30T20:38:27"/>
    <d v="1899-12-30T20:38:31"/>
    <d v="1899-12-30T22:20:52"/>
    <s v="1 hr 42 min 17s"/>
    <s v="kdm-nwwh-zkg"/>
    <x v="29"/>
    <d v="1899-12-30T01:42:25"/>
    <d v="1899-12-30T02:11:40"/>
    <n v="1"/>
    <n v="0"/>
  </r>
  <r>
    <n v="19"/>
    <x v="17"/>
    <d v="1899-12-30T20:38:27"/>
    <d v="1899-12-30T20:38:31"/>
    <d v="1899-12-30T22:20:52"/>
    <s v="1 hr 42 min 17s"/>
    <s v="kdm-nwwh-zkg"/>
    <x v="29"/>
    <d v="1899-12-30T01:42:25"/>
    <d v="1899-12-30T02:11:46"/>
    <n v="1"/>
    <n v="0"/>
  </r>
  <r>
    <n v="20"/>
    <x v="85"/>
    <d v="1899-12-30T20:38:27"/>
    <d v="1899-12-30T21:46:53"/>
    <d v="1899-12-30T22:20:52"/>
    <s v="33 min 59s"/>
    <s v="kdm-nwwh-zkg"/>
    <x v="29"/>
    <d v="1899-12-30T01:42:25"/>
    <d v="1899-12-30T02:11:51"/>
    <n v="1"/>
    <n v="0"/>
  </r>
  <r>
    <n v="21"/>
    <x v="43"/>
    <d v="1899-12-30T20:38:27"/>
    <d v="1899-12-30T20:38:31"/>
    <d v="1899-12-30T22:20:52"/>
    <s v="1 hr 42 min 17s"/>
    <s v="kdm-nwwh-zkg"/>
    <x v="29"/>
    <d v="1899-12-30T01:42:25"/>
    <d v="1899-12-30T02:11:57"/>
    <n v="1"/>
    <n v="0"/>
  </r>
  <r>
    <n v="22"/>
    <x v="73"/>
    <d v="1899-12-30T20:38:27"/>
    <d v="1899-12-30T20:38:39"/>
    <d v="1899-12-30T22:20:52"/>
    <s v="1 hr 42 min 9s"/>
    <s v="kdm-nwwh-zkg"/>
    <x v="29"/>
    <d v="1899-12-30T01:42:25"/>
    <d v="1899-12-30T02:12:03"/>
    <n v="1"/>
    <n v="0"/>
  </r>
  <r>
    <n v="23"/>
    <x v="28"/>
    <d v="1899-12-30T20:38:27"/>
    <d v="1899-12-30T20:38:31"/>
    <d v="1899-12-30T22:20:52"/>
    <s v="1 hr 8 min 18s"/>
    <s v="kdm-nwwh-zkg"/>
    <x v="29"/>
    <d v="1899-12-30T01:42:25"/>
    <d v="1899-12-30T02:12:08"/>
    <n v="1"/>
    <n v="0"/>
  </r>
  <r>
    <n v="24"/>
    <x v="7"/>
    <d v="1899-12-30T20:38:27"/>
    <d v="1899-12-30T20:38:31"/>
    <d v="1899-12-30T22:20:52"/>
    <s v="1 hr 42 min 17s"/>
    <s v="kdm-nwwh-zkg"/>
    <x v="29"/>
    <d v="1899-12-30T01:42:25"/>
    <d v="1899-12-30T02:12:14"/>
    <n v="1"/>
    <n v="0"/>
  </r>
  <r>
    <n v="25"/>
    <x v="91"/>
    <d v="1899-12-30T20:38:27"/>
    <d v="1899-12-30T20:38:31"/>
    <d v="1899-12-30T22:20:52"/>
    <s v="1 hr 42 min 17s"/>
    <s v="kdm-nwwh-zkg"/>
    <x v="29"/>
    <d v="1899-12-30T01:42:25"/>
    <d v="1899-12-30T02:12:20"/>
    <n v="1"/>
    <n v="0"/>
  </r>
  <r>
    <n v="26"/>
    <x v="38"/>
    <d v="1899-12-30T20:38:27"/>
    <d v="1899-12-30T21:46:53"/>
    <d v="1899-12-30T22:20:52"/>
    <s v="33 min 59s"/>
    <s v="kdm-nwwh-zkg"/>
    <x v="29"/>
    <d v="1899-12-30T01:42:25"/>
    <d v="1899-12-30T02:12:26"/>
    <n v="1"/>
    <n v="0"/>
  </r>
  <r>
    <n v="27"/>
    <x v="48"/>
    <d v="1899-12-30T20:38:27"/>
    <d v="1899-12-30T20:38:31"/>
    <d v="1899-12-30T22:20:52"/>
    <s v="1 hr 8 min 18s"/>
    <s v="kdm-nwwh-zkg"/>
    <x v="29"/>
    <d v="1899-12-30T01:42:25"/>
    <d v="1899-12-30T02:12:32"/>
    <n v="1"/>
    <n v="0"/>
  </r>
  <r>
    <n v="28"/>
    <x v="59"/>
    <d v="1899-12-30T20:38:27"/>
    <d v="1899-12-30T20:38:31"/>
    <d v="1899-12-30T22:20:52"/>
    <s v="1 hr 42 min 17s"/>
    <s v="kdm-nwwh-zkg"/>
    <x v="29"/>
    <d v="1899-12-30T01:42:25"/>
    <d v="1899-12-30T02:12:38"/>
    <n v="1"/>
    <n v="0"/>
  </r>
  <r>
    <n v="29"/>
    <x v="8"/>
    <d v="1899-12-30T20:38:27"/>
    <d v="1899-12-30T20:38:31"/>
    <d v="1899-12-30T22:20:52"/>
    <s v="1 hr 42 min 17s"/>
    <s v="kdm-nwwh-zkg"/>
    <x v="29"/>
    <d v="1899-12-30T01:42:25"/>
    <d v="1899-12-30T02:12:43"/>
    <n v="1"/>
    <n v="0"/>
  </r>
  <r>
    <n v="30"/>
    <x v="29"/>
    <d v="1899-12-30T20:38:27"/>
    <d v="1899-12-30T20:38:31"/>
    <d v="1899-12-30T22:20:52"/>
    <s v="1 hr 8 min 18s"/>
    <s v="kdm-nwwh-zkg"/>
    <x v="29"/>
    <d v="1899-12-30T01:42:25"/>
    <d v="1899-12-30T02:12:49"/>
    <n v="1"/>
    <n v="0"/>
  </r>
  <r>
    <n v="31"/>
    <x v="20"/>
    <d v="1899-12-30T20:38:27"/>
    <d v="1899-12-30T20:38:31"/>
    <d v="1899-12-30T22:20:52"/>
    <s v="1 hr 42 min 17s"/>
    <s v="kdm-nwwh-zkg"/>
    <x v="29"/>
    <d v="1899-12-30T01:42:25"/>
    <d v="1899-12-30T02:12:55"/>
    <n v="1"/>
    <n v="0"/>
  </r>
  <r>
    <n v="32"/>
    <x v="9"/>
    <d v="1899-12-30T20:38:27"/>
    <d v="1899-12-30T20:38:31"/>
    <d v="1899-12-30T22:20:52"/>
    <s v="1 hr 42 min 17s"/>
    <s v="kdm-nwwh-zkg"/>
    <x v="29"/>
    <d v="1899-12-30T01:42:25"/>
    <d v="1899-12-30T02:13:02"/>
    <n v="1"/>
    <n v="0"/>
  </r>
  <r>
    <n v="33"/>
    <x v="21"/>
    <d v="1899-12-30T20:38:27"/>
    <d v="1899-12-30T20:38:31"/>
    <d v="1899-12-30T22:20:52"/>
    <s v="1 hr 8 min 18s"/>
    <s v="kdm-nwwh-zkg"/>
    <x v="29"/>
    <d v="1899-12-30T01:42:25"/>
    <d v="1899-12-30T02:13:08"/>
    <n v="1"/>
    <n v="0"/>
  </r>
  <r>
    <n v="34"/>
    <x v="64"/>
    <d v="1899-12-30T20:38:27"/>
    <d v="1899-12-30T20:38:31"/>
    <d v="1899-12-30T22:20:52"/>
    <s v="1 hr 42 min 17s"/>
    <s v="kdm-nwwh-zkg"/>
    <x v="29"/>
    <d v="1899-12-30T01:42:25"/>
    <d v="1899-12-30T02:13:14"/>
    <n v="1"/>
    <n v="0"/>
  </r>
  <r>
    <n v="35"/>
    <x v="92"/>
    <d v="1899-12-30T20:38:27"/>
    <d v="1899-12-30T20:38:31"/>
    <d v="1899-12-30T22:20:52"/>
    <s v="1 hr 42 min 17s"/>
    <s v="kdm-nwwh-zkg"/>
    <x v="29"/>
    <d v="1899-12-30T01:42:25"/>
    <d v="1899-12-30T02:13:20"/>
    <n v="1"/>
    <n v="0"/>
  </r>
  <r>
    <n v="36"/>
    <x v="22"/>
    <d v="1899-12-30T20:38:27"/>
    <d v="1899-12-30T20:38:31"/>
    <d v="1899-12-30T22:20:52"/>
    <s v="1 hr 42 min 17s"/>
    <s v="kdm-nwwh-zkg"/>
    <x v="29"/>
    <d v="1899-12-30T01:42:25"/>
    <d v="1899-12-30T02:13:26"/>
    <n v="1"/>
    <n v="0"/>
  </r>
  <r>
    <n v="37"/>
    <x v="94"/>
    <d v="1899-12-30T20:38:27"/>
    <d v="1899-12-30T20:38:31"/>
    <d v="1899-12-30T22:20:52"/>
    <s v="1 hr 42 min 17s"/>
    <s v="kdm-nwwh-zkg"/>
    <x v="29"/>
    <d v="1899-12-30T01:42:25"/>
    <d v="1899-12-30T02:13:32"/>
    <n v="1"/>
    <n v="0"/>
  </r>
  <r>
    <n v="38"/>
    <x v="30"/>
    <d v="1899-12-30T20:38:27"/>
    <d v="1899-12-30T20:38:31"/>
    <d v="1899-12-30T22:20:52"/>
    <s v="1 hr 42 min 17s"/>
    <s v="kdm-nwwh-zkg"/>
    <x v="29"/>
    <d v="1899-12-30T01:42:25"/>
    <d v="1899-12-30T02:13:39"/>
    <n v="1"/>
    <n v="0"/>
  </r>
  <r>
    <n v="39"/>
    <x v="33"/>
    <d v="1899-12-30T20:38:27"/>
    <d v="1899-12-30T20:38:31"/>
    <d v="1899-12-30T22:20:52"/>
    <s v="1 hr 42 min 17s"/>
    <s v="kdm-nwwh-zkg"/>
    <x v="29"/>
    <d v="1899-12-30T01:42:25"/>
    <d v="1899-12-30T02:13:45"/>
    <n v="1"/>
    <n v="0"/>
  </r>
  <r>
    <n v="40"/>
    <x v="34"/>
    <d v="1899-12-30T20:38:27"/>
    <d v="1899-12-30T20:38:31"/>
    <d v="1899-12-30T22:20:52"/>
    <s v="1 hr 42 min 17s"/>
    <s v="kdm-nwwh-zkg"/>
    <x v="29"/>
    <d v="1899-12-30T01:42:25"/>
    <d v="1899-12-30T02:13:51"/>
    <n v="1"/>
    <n v="0"/>
  </r>
  <r>
    <n v="41"/>
    <x v="93"/>
    <d v="1899-12-30T20:38:27"/>
    <d v="1899-12-30T20:38:31"/>
    <d v="1899-12-30T22:20:52"/>
    <s v="1 hr 42 min 17s"/>
    <s v="kdm-nwwh-zkg"/>
    <x v="29"/>
    <d v="1899-12-30T01:42:25"/>
    <d v="1899-12-30T02:13:58"/>
    <n v="1"/>
    <n v="0"/>
  </r>
  <r>
    <n v="42"/>
    <x v="24"/>
    <d v="1899-12-30T20:38:27"/>
    <d v="1899-12-30T20:38:31"/>
    <d v="1899-12-30T22:20:52"/>
    <s v="1 hr 42 min 17s"/>
    <s v="kdm-nwwh-zkg"/>
    <x v="29"/>
    <d v="1899-12-30T01:42:25"/>
    <d v="1899-12-30T02:14:04"/>
    <n v="1"/>
    <n v="0"/>
  </r>
  <r>
    <n v="43"/>
    <x v="62"/>
    <d v="1899-12-30T20:38:27"/>
    <d v="1899-12-30T21:46:53"/>
    <d v="1899-12-30T22:20:52"/>
    <s v="33 min 59s"/>
    <s v="kdm-nwwh-zkg"/>
    <x v="29"/>
    <d v="1899-12-30T01:42:25"/>
    <d v="1899-12-30T02:14:11"/>
    <n v="1"/>
    <n v="0"/>
  </r>
  <r>
    <n v="44"/>
    <x v="81"/>
    <d v="1899-12-30T20:38:27"/>
    <d v="1899-12-30T20:38:31"/>
    <d v="1899-12-30T22:20:52"/>
    <s v="1 hr 42 min 17s"/>
    <s v="kdm-nwwh-zkg"/>
    <x v="29"/>
    <d v="1899-12-30T01:42:25"/>
    <d v="1899-12-30T02:14:18"/>
    <n v="1"/>
    <n v="0"/>
  </r>
  <r>
    <n v="45"/>
    <x v="76"/>
    <d v="1899-12-30T20:38:27"/>
    <d v="1899-12-30T20:38:31"/>
    <d v="1899-12-30T22:20:52"/>
    <s v="1 hr 42 min 17s"/>
    <s v="kdm-nwwh-zkg"/>
    <x v="29"/>
    <d v="1899-12-30T01:42:25"/>
    <d v="1899-12-30T02:14:24"/>
    <n v="1"/>
    <n v="0"/>
  </r>
  <r>
    <n v="46"/>
    <x v="36"/>
    <d v="1899-12-30T20:38:27"/>
    <d v="1899-12-30T20:38:31"/>
    <d v="1899-12-30T22:20:52"/>
    <s v="1 hr 42 min 17s"/>
    <s v="kdm-nwwh-zkg"/>
    <x v="29"/>
    <d v="1899-12-30T01:42:25"/>
    <d v="1899-12-30T02:14:31"/>
    <n v="1"/>
    <n v="0"/>
  </r>
  <r>
    <n v="47"/>
    <x v="47"/>
    <d v="1899-12-30T20:38:27"/>
    <d v="1899-12-30T20:38:31"/>
    <d v="1899-12-30T22:20:52"/>
    <s v="1 hr 42 min 17s"/>
    <s v="kdm-nwwh-zkg"/>
    <x v="29"/>
    <d v="1899-12-30T01:42:25"/>
    <d v="1899-12-30T02:14:38"/>
    <n v="1"/>
    <n v="0"/>
  </r>
  <r>
    <n v="48"/>
    <x v="69"/>
    <d v="1899-12-30T20:38:27"/>
    <d v="1899-12-30T21:46:53"/>
    <d v="1899-12-30T22:20:52"/>
    <s v="33 min 59s"/>
    <s v="kdm-nwwh-zkg"/>
    <x v="29"/>
    <d v="1899-12-30T01:42:25"/>
    <d v="1899-12-30T02:14:44"/>
    <n v="1"/>
    <n v="0"/>
  </r>
  <r>
    <n v="1"/>
    <x v="2"/>
    <d v="1899-12-30T20:06:45"/>
    <d v="1899-12-30T22:16:07"/>
    <d v="1899-12-30T22:16:18"/>
    <s v="0 min 10s"/>
    <s v="ymy-awtg-ykd"/>
    <x v="30"/>
    <d v="1899-12-30T02:09:33"/>
    <d v="1899-12-30T02:14:51"/>
    <n v="1"/>
    <n v="0"/>
  </r>
  <r>
    <n v="2"/>
    <x v="65"/>
    <d v="1899-12-30T20:06:45"/>
    <d v="1899-12-30T20:35:34"/>
    <d v="1899-12-30T22:16:18"/>
    <s v="1 hr 40 min 36s"/>
    <s v="ymy-awtg-ykd"/>
    <x v="30"/>
    <d v="1899-12-30T02:09:33"/>
    <d v="1899-12-30T02:14:52"/>
    <n v="1"/>
    <n v="0"/>
  </r>
  <r>
    <n v="3"/>
    <x v="13"/>
    <d v="1899-12-30T20:06:45"/>
    <d v="1899-12-30T20:35:34"/>
    <d v="1899-12-30T22:16:18"/>
    <s v="1 hr 40 min 36s"/>
    <s v="ymy-awtg-ykd"/>
    <x v="30"/>
    <d v="1899-12-30T02:09:33"/>
    <d v="1899-12-30T02:14:53"/>
    <n v="1"/>
    <n v="0"/>
  </r>
  <r>
    <n v="4"/>
    <x v="96"/>
    <d v="1899-12-30T20:06:45"/>
    <d v="1899-12-30T20:35:34"/>
    <d v="1899-12-30T22:16:18"/>
    <s v="1 hr 40 min 28s"/>
    <s v="ymy-awtg-ykd"/>
    <x v="30"/>
    <d v="1899-12-30T02:09:33"/>
    <d v="1899-12-30T02:14:54"/>
    <n v="1"/>
    <n v="0"/>
  </r>
  <r>
    <n v="5"/>
    <x v="4"/>
    <d v="1899-12-30T20:06:45"/>
    <d v="1899-12-30T20:35:34"/>
    <d v="1899-12-30T22:16:18"/>
    <s v="56 min 27s"/>
    <s v="ymy-awtg-ykd"/>
    <x v="30"/>
    <d v="1899-12-30T02:09:33"/>
    <d v="1899-12-30T02:14:56"/>
    <n v="1"/>
    <n v="0"/>
  </r>
  <r>
    <n v="6"/>
    <x v="31"/>
    <d v="1899-12-30T20:06:45"/>
    <d v="1899-12-30T20:37:27"/>
    <d v="1899-12-30T22:16:18"/>
    <s v="1 hr 38 min 33s"/>
    <s v="ymy-awtg-ykd"/>
    <x v="30"/>
    <d v="1899-12-30T02:09:33"/>
    <d v="1899-12-30T02:14:57"/>
    <n v="1"/>
    <n v="0"/>
  </r>
  <r>
    <n v="7"/>
    <x v="72"/>
    <d v="1899-12-30T20:06:45"/>
    <d v="1899-12-30T20:35:34"/>
    <d v="1899-12-30T22:16:18"/>
    <s v="1 hr 40 min 26s"/>
    <s v="ymy-awtg-ykd"/>
    <x v="30"/>
    <d v="1899-12-30T02:09:33"/>
    <d v="1899-12-30T02:14:58"/>
    <n v="1"/>
    <n v="0"/>
  </r>
  <r>
    <n v="8"/>
    <x v="49"/>
    <d v="1899-12-30T20:06:45"/>
    <d v="1899-12-30T20:35:34"/>
    <d v="1899-12-30T22:16:18"/>
    <s v="1 hr 40 min 26s"/>
    <s v="ymy-awtg-ykd"/>
    <x v="30"/>
    <d v="1899-12-30T02:09:33"/>
    <d v="1899-12-30T02:14:59"/>
    <n v="1"/>
    <n v="0"/>
  </r>
  <r>
    <n v="9"/>
    <x v="14"/>
    <d v="1899-12-30T20:06:45"/>
    <d v="1899-12-30T20:35:34"/>
    <d v="1899-12-30T22:16:18"/>
    <s v="1 hr 40 min 33s"/>
    <s v="ymy-awtg-ykd"/>
    <x v="30"/>
    <d v="1899-12-30T02:09:33"/>
    <d v="1899-12-30T02:15:00"/>
    <n v="1"/>
    <n v="0"/>
  </r>
  <r>
    <n v="10"/>
    <x v="56"/>
    <d v="1899-12-30T20:06:45"/>
    <d v="1899-12-30T21:21:43"/>
    <d v="1899-12-30T22:16:18"/>
    <s v="54 min 34s"/>
    <s v="ymy-awtg-ykd"/>
    <x v="30"/>
    <d v="1899-12-30T02:09:33"/>
    <d v="1899-12-30T02:15:01"/>
    <n v="1"/>
    <n v="0"/>
  </r>
  <r>
    <n v="11"/>
    <x v="15"/>
    <d v="1899-12-30T20:06:45"/>
    <d v="1899-12-30T21:21:43"/>
    <d v="1899-12-30T22:16:18"/>
    <s v="54 min 34s"/>
    <s v="ymy-awtg-ykd"/>
    <x v="30"/>
    <d v="1899-12-30T02:09:33"/>
    <d v="1899-12-30T02:15:03"/>
    <n v="1"/>
    <n v="0"/>
  </r>
  <r>
    <n v="12"/>
    <x v="5"/>
    <d v="1899-12-30T20:06:45"/>
    <d v="1899-12-30T20:06:48"/>
    <d v="1899-12-30T22:16:18"/>
    <s v="2 hr 9 min 19s"/>
    <s v="ymy-awtg-ykd"/>
    <x v="30"/>
    <d v="1899-12-30T02:09:33"/>
    <d v="1899-12-30T02:15:04"/>
    <n v="1"/>
    <n v="0"/>
  </r>
  <r>
    <n v="13"/>
    <x v="51"/>
    <d v="1899-12-30T20:06:45"/>
    <d v="1899-12-30T20:35:34"/>
    <d v="1899-12-30T22:16:18"/>
    <s v="1 hr 40 min 26s"/>
    <s v="ymy-awtg-ykd"/>
    <x v="30"/>
    <d v="1899-12-30T02:09:33"/>
    <d v="1899-12-30T02:15:05"/>
    <n v="1"/>
    <n v="0"/>
  </r>
  <r>
    <n v="14"/>
    <x v="100"/>
    <d v="1899-12-30T20:06:45"/>
    <d v="1899-12-30T21:21:43"/>
    <d v="1899-12-30T22:16:18"/>
    <s v="54 min 24s"/>
    <s v="ymy-awtg-ykd"/>
    <x v="30"/>
    <d v="1899-12-30T02:09:33"/>
    <d v="1899-12-30T02:15:06"/>
    <n v="1"/>
    <n v="0"/>
  </r>
  <r>
    <n v="15"/>
    <x v="78"/>
    <d v="1899-12-30T20:06:45"/>
    <d v="1899-12-30T20:35:34"/>
    <d v="1899-12-30T22:16:18"/>
    <s v="1 hr 40 min 36s"/>
    <s v="ymy-awtg-ykd"/>
    <x v="30"/>
    <d v="1899-12-30T02:09:33"/>
    <d v="1899-12-30T02:15:07"/>
    <n v="1"/>
    <n v="0"/>
  </r>
  <r>
    <n v="16"/>
    <x v="90"/>
    <d v="1899-12-30T20:06:45"/>
    <d v="1899-12-30T21:21:43"/>
    <d v="1899-12-30T22:16:18"/>
    <s v="54 min 24s"/>
    <s v="ymy-awtg-ykd"/>
    <x v="30"/>
    <d v="1899-12-30T02:09:33"/>
    <d v="1899-12-30T02:15:09"/>
    <n v="1"/>
    <n v="0"/>
  </r>
  <r>
    <n v="17"/>
    <x v="42"/>
    <d v="1899-12-30T20:06:45"/>
    <d v="1899-12-30T20:35:34"/>
    <d v="1899-12-30T22:16:18"/>
    <s v="1 hr 40 min 26s"/>
    <s v="ymy-awtg-ykd"/>
    <x v="30"/>
    <d v="1899-12-30T02:09:33"/>
    <d v="1899-12-30T02:15:10"/>
    <n v="1"/>
    <n v="0"/>
  </r>
  <r>
    <n v="18"/>
    <x v="6"/>
    <d v="1899-12-30T20:06:45"/>
    <d v="1899-12-30T20:35:34"/>
    <d v="1899-12-30T22:16:18"/>
    <s v="1 hr 40 min 26s"/>
    <s v="ymy-awtg-ykd"/>
    <x v="30"/>
    <d v="1899-12-30T02:09:33"/>
    <d v="1899-12-30T02:15:11"/>
    <n v="1"/>
    <n v="0"/>
  </r>
  <r>
    <n v="19"/>
    <x v="17"/>
    <d v="1899-12-30T20:06:45"/>
    <d v="1899-12-30T20:35:34"/>
    <d v="1899-12-30T22:16:18"/>
    <s v="1 hr 40 min 36s"/>
    <s v="ymy-awtg-ykd"/>
    <x v="30"/>
    <d v="1899-12-30T02:09:33"/>
    <d v="1899-12-30T02:15:13"/>
    <n v="1"/>
    <n v="0"/>
  </r>
  <r>
    <n v="20"/>
    <x v="85"/>
    <d v="1899-12-30T20:06:45"/>
    <d v="1899-12-30T21:21:43"/>
    <d v="1899-12-30T22:16:18"/>
    <s v="54 min 34s"/>
    <s v="ymy-awtg-ykd"/>
    <x v="30"/>
    <d v="1899-12-30T02:09:33"/>
    <d v="1899-12-30T02:15:14"/>
    <n v="1"/>
    <n v="0"/>
  </r>
  <r>
    <n v="21"/>
    <x v="43"/>
    <d v="1899-12-30T20:06:45"/>
    <d v="1899-12-30T20:37:27"/>
    <d v="1899-12-30T22:16:18"/>
    <s v="1 hr 38 min 33s"/>
    <s v="ymy-awtg-ykd"/>
    <x v="30"/>
    <d v="1899-12-30T02:09:33"/>
    <d v="1899-12-30T02:15:15"/>
    <n v="1"/>
    <n v="0"/>
  </r>
  <r>
    <n v="22"/>
    <x v="73"/>
    <d v="1899-12-30T20:06:45"/>
    <d v="1899-12-30T20:35:34"/>
    <d v="1899-12-30T22:16:18"/>
    <s v="1 hr 40 min 36s"/>
    <s v="ymy-awtg-ykd"/>
    <x v="30"/>
    <d v="1899-12-30T02:09:33"/>
    <d v="1899-12-30T02:15:16"/>
    <n v="1"/>
    <n v="0"/>
  </r>
  <r>
    <n v="23"/>
    <x v="7"/>
    <d v="1899-12-30T20:06:45"/>
    <d v="1899-12-30T20:35:34"/>
    <d v="1899-12-30T22:16:18"/>
    <s v="1 hr 40 min 32s"/>
    <s v="ymy-awtg-ykd"/>
    <x v="30"/>
    <d v="1899-12-30T02:09:33"/>
    <d v="1899-12-30T02:15:18"/>
    <n v="1"/>
    <n v="0"/>
  </r>
  <r>
    <n v="24"/>
    <x v="91"/>
    <d v="1899-12-30T20:06:45"/>
    <d v="1899-12-30T20:35:34"/>
    <d v="1899-12-30T22:16:18"/>
    <s v="1 hr 40 min 36s"/>
    <s v="ymy-awtg-ykd"/>
    <x v="30"/>
    <d v="1899-12-30T02:09:33"/>
    <d v="1899-12-30T02:15:19"/>
    <n v="1"/>
    <n v="0"/>
  </r>
  <r>
    <n v="25"/>
    <x v="38"/>
    <d v="1899-12-30T20:06:45"/>
    <d v="1899-12-30T20:35:34"/>
    <d v="1899-12-30T22:16:18"/>
    <s v="1 hr 40 min 36s"/>
    <s v="ymy-awtg-ykd"/>
    <x v="30"/>
    <d v="1899-12-30T02:09:33"/>
    <d v="1899-12-30T02:15:20"/>
    <n v="1"/>
    <n v="0"/>
  </r>
  <r>
    <n v="26"/>
    <x v="59"/>
    <d v="1899-12-30T20:06:45"/>
    <d v="1899-12-30T20:35:34"/>
    <d v="1899-12-30T22:16:18"/>
    <s v="1 hr 40 min 26s"/>
    <s v="ymy-awtg-ykd"/>
    <x v="30"/>
    <d v="1899-12-30T02:09:33"/>
    <d v="1899-12-30T02:15:22"/>
    <n v="1"/>
    <n v="0"/>
  </r>
  <r>
    <n v="27"/>
    <x v="8"/>
    <d v="1899-12-30T20:06:45"/>
    <d v="1899-12-30T20:35:34"/>
    <d v="1899-12-30T22:16:18"/>
    <s v="1 hr 40 min 36s"/>
    <s v="ymy-awtg-ykd"/>
    <x v="30"/>
    <d v="1899-12-30T02:09:33"/>
    <d v="1899-12-30T02:15:23"/>
    <n v="1"/>
    <n v="0"/>
  </r>
  <r>
    <n v="28"/>
    <x v="29"/>
    <d v="1899-12-30T20:06:45"/>
    <d v="1899-12-30T21:21:43"/>
    <d v="1899-12-30T22:16:18"/>
    <s v="54 min 24s"/>
    <s v="ymy-awtg-ykd"/>
    <x v="30"/>
    <d v="1899-12-30T02:09:33"/>
    <d v="1899-12-30T02:15:24"/>
    <n v="1"/>
    <n v="0"/>
  </r>
  <r>
    <n v="29"/>
    <x v="20"/>
    <d v="1899-12-30T20:06:45"/>
    <d v="1899-12-30T20:35:34"/>
    <d v="1899-12-30T22:16:18"/>
    <s v="1 hr 40 min 36s"/>
    <s v="ymy-awtg-ykd"/>
    <x v="30"/>
    <d v="1899-12-30T02:09:33"/>
    <d v="1899-12-30T02:15:26"/>
    <n v="1"/>
    <n v="0"/>
  </r>
  <r>
    <n v="30"/>
    <x v="39"/>
    <d v="1899-12-30T20:06:45"/>
    <d v="1899-12-30T21:21:43"/>
    <d v="1899-12-30T22:16:18"/>
    <s v="54 min 34s"/>
    <s v="ymy-awtg-ykd"/>
    <x v="30"/>
    <d v="1899-12-30T02:09:33"/>
    <d v="1899-12-30T02:15:27"/>
    <n v="1"/>
    <n v="0"/>
  </r>
  <r>
    <n v="31"/>
    <x v="9"/>
    <d v="1899-12-30T20:06:45"/>
    <d v="1899-12-30T20:35:34"/>
    <d v="1899-12-30T22:16:18"/>
    <s v="1 hr 40 min 33s"/>
    <s v="ymy-awtg-ykd"/>
    <x v="30"/>
    <d v="1899-12-30T02:09:33"/>
    <d v="1899-12-30T02:15:28"/>
    <n v="1"/>
    <n v="0"/>
  </r>
  <r>
    <n v="32"/>
    <x v="86"/>
    <d v="1899-12-30T20:06:45"/>
    <d v="1899-12-30T20:35:34"/>
    <d v="1899-12-30T22:16:18"/>
    <s v="1 hr 40 min 36s"/>
    <s v="ymy-awtg-ykd"/>
    <x v="30"/>
    <d v="1899-12-30T02:09:33"/>
    <d v="1899-12-30T02:15:30"/>
    <n v="1"/>
    <n v="0"/>
  </r>
  <r>
    <n v="33"/>
    <x v="21"/>
    <d v="1899-12-30T20:06:45"/>
    <d v="1899-12-30T21:21:43"/>
    <d v="1899-12-30T22:16:18"/>
    <s v="54 min 24s"/>
    <s v="ymy-awtg-ykd"/>
    <x v="30"/>
    <d v="1899-12-30T02:09:33"/>
    <d v="1899-12-30T02:15:31"/>
    <n v="1"/>
    <n v="0"/>
  </r>
  <r>
    <n v="34"/>
    <x v="52"/>
    <d v="1899-12-30T20:06:45"/>
    <d v="1899-12-30T20:35:34"/>
    <d v="1899-12-30T22:16:18"/>
    <s v="46 min 12s"/>
    <s v="ymy-awtg-ykd"/>
    <x v="30"/>
    <d v="1899-12-30T02:09:33"/>
    <d v="1899-12-30T02:15:33"/>
    <n v="1"/>
    <n v="0"/>
  </r>
  <r>
    <n v="35"/>
    <x v="55"/>
    <d v="1899-12-30T20:06:45"/>
    <d v="1899-12-30T21:21:43"/>
    <d v="1899-12-30T22:16:18"/>
    <s v="54 min 24s"/>
    <s v="ymy-awtg-ykd"/>
    <x v="30"/>
    <d v="1899-12-30T02:09:33"/>
    <d v="1899-12-30T02:15:34"/>
    <n v="1"/>
    <n v="0"/>
  </r>
  <r>
    <n v="36"/>
    <x v="22"/>
    <d v="1899-12-30T20:06:45"/>
    <d v="1899-12-30T20:37:30"/>
    <d v="1899-12-30T22:16:18"/>
    <s v="1 hr 38 min 40s"/>
    <s v="ymy-awtg-ykd"/>
    <x v="30"/>
    <d v="1899-12-30T02:09:33"/>
    <d v="1899-12-30T02:15:36"/>
    <n v="1"/>
    <n v="0"/>
  </r>
  <r>
    <n v="37"/>
    <x v="94"/>
    <d v="1899-12-30T20:06:45"/>
    <d v="1899-12-30T20:35:34"/>
    <d v="1899-12-30T22:16:18"/>
    <s v="1 hr 40 min 26s"/>
    <s v="ymy-awtg-ykd"/>
    <x v="30"/>
    <d v="1899-12-30T02:09:33"/>
    <d v="1899-12-30T02:15:37"/>
    <n v="1"/>
    <n v="0"/>
  </r>
  <r>
    <n v="38"/>
    <x v="30"/>
    <d v="1899-12-30T20:06:45"/>
    <d v="1899-12-30T20:06:48"/>
    <d v="1899-12-30T22:16:18"/>
    <s v="2 hr 9 min 18s"/>
    <s v="ymy-awtg-ykd"/>
    <x v="30"/>
    <d v="1899-12-30T02:09:33"/>
    <d v="1899-12-30T02:15:39"/>
    <n v="1"/>
    <n v="0"/>
  </r>
  <r>
    <n v="39"/>
    <x v="34"/>
    <d v="1899-12-30T20:06:45"/>
    <d v="1899-12-30T20:35:34"/>
    <d v="1899-12-30T22:16:18"/>
    <s v="1 hr 40 min 27s"/>
    <s v="ymy-awtg-ykd"/>
    <x v="30"/>
    <d v="1899-12-30T02:09:33"/>
    <d v="1899-12-30T02:15:40"/>
    <n v="1"/>
    <n v="0"/>
  </r>
  <r>
    <n v="40"/>
    <x v="93"/>
    <d v="1899-12-30T20:06:45"/>
    <d v="1899-12-30T20:35:34"/>
    <d v="1899-12-30T22:16:18"/>
    <s v="1 hr 40 min 26s"/>
    <s v="ymy-awtg-ykd"/>
    <x v="30"/>
    <d v="1899-12-30T02:09:33"/>
    <d v="1899-12-30T02:15:41"/>
    <n v="1"/>
    <n v="0"/>
  </r>
  <r>
    <n v="41"/>
    <x v="40"/>
    <d v="1899-12-30T20:06:45"/>
    <d v="1899-12-30T20:37:27"/>
    <d v="1899-12-30T22:16:18"/>
    <s v="1 hr 38 min 33s"/>
    <s v="ymy-awtg-ykd"/>
    <x v="30"/>
    <d v="1899-12-30T02:09:33"/>
    <d v="1899-12-30T02:15:43"/>
    <n v="1"/>
    <n v="0"/>
  </r>
  <r>
    <n v="42"/>
    <x v="24"/>
    <d v="1899-12-30T20:06:45"/>
    <d v="1899-12-30T21:21:43"/>
    <d v="1899-12-30T22:16:18"/>
    <s v="54 min 34s"/>
    <s v="ymy-awtg-ykd"/>
    <x v="30"/>
    <d v="1899-12-30T02:09:33"/>
    <d v="1899-12-30T02:15:45"/>
    <n v="1"/>
    <n v="0"/>
  </r>
  <r>
    <n v="43"/>
    <x v="62"/>
    <d v="1899-12-30T20:06:45"/>
    <d v="1899-12-30T21:21:43"/>
    <d v="1899-12-30T22:16:18"/>
    <s v="54 min 24s"/>
    <s v="ymy-awtg-ykd"/>
    <x v="30"/>
    <d v="1899-12-30T02:09:33"/>
    <d v="1899-12-30T02:15:46"/>
    <n v="1"/>
    <n v="0"/>
  </r>
  <r>
    <n v="44"/>
    <x v="25"/>
    <d v="1899-12-30T20:06:45"/>
    <d v="1899-12-30T21:21:43"/>
    <d v="1899-12-30T22:16:18"/>
    <s v="54 min 24s"/>
    <s v="ymy-awtg-ykd"/>
    <x v="30"/>
    <d v="1899-12-30T02:09:33"/>
    <d v="1899-12-30T02:15:48"/>
    <n v="1"/>
    <n v="0"/>
  </r>
  <r>
    <n v="45"/>
    <x v="81"/>
    <d v="1899-12-30T20:06:45"/>
    <d v="1899-12-30T20:35:34"/>
    <d v="1899-12-30T22:16:18"/>
    <s v="46 min 12s"/>
    <s v="ymy-awtg-ykd"/>
    <x v="30"/>
    <d v="1899-12-30T02:09:33"/>
    <d v="1899-12-30T02:15:49"/>
    <n v="1"/>
    <n v="0"/>
  </r>
  <r>
    <n v="46"/>
    <x v="76"/>
    <d v="1899-12-30T20:06:45"/>
    <d v="1899-12-30T20:35:34"/>
    <d v="1899-12-30T22:16:18"/>
    <s v="1 hr 40 min 26s"/>
    <s v="ymy-awtg-ykd"/>
    <x v="30"/>
    <d v="1899-12-30T02:09:33"/>
    <d v="1899-12-30T02:15:51"/>
    <n v="1"/>
    <n v="0"/>
  </r>
  <r>
    <n v="47"/>
    <x v="36"/>
    <d v="1899-12-30T20:06:45"/>
    <d v="1899-12-30T20:35:34"/>
    <d v="1899-12-30T22:16:18"/>
    <s v="1 hr 40 min 30s"/>
    <s v="ymy-awtg-ykd"/>
    <x v="30"/>
    <d v="1899-12-30T02:09:33"/>
    <d v="1899-12-30T02:15:52"/>
    <n v="1"/>
    <n v="0"/>
  </r>
  <r>
    <n v="48"/>
    <x v="69"/>
    <d v="1899-12-30T20:06:45"/>
    <d v="1899-12-30T20:35:34"/>
    <d v="1899-12-30T22:16:18"/>
    <s v="1 hr 40 min 26s"/>
    <s v="ymy-awtg-ykd"/>
    <x v="30"/>
    <d v="1899-12-30T02:09:33"/>
    <d v="1899-12-30T02:15:54"/>
    <n v="1"/>
    <n v="0"/>
  </r>
  <r>
    <n v="49"/>
    <x v="67"/>
    <d v="1899-12-30T20:06:45"/>
    <d v="1899-12-30T20:35:34"/>
    <d v="1899-12-30T22:16:18"/>
    <s v="1 hr 40 min 26s"/>
    <s v="ymy-awtg-ykd"/>
    <x v="30"/>
    <d v="1899-12-30T02:09:33"/>
    <d v="1899-12-30T02:15:55"/>
    <n v="1"/>
    <n v="0"/>
  </r>
  <r>
    <n v="50"/>
    <x v="26"/>
    <d v="1899-12-30T20:06:45"/>
    <d v="1899-12-30T21:21:43"/>
    <d v="1899-12-30T22:16:18"/>
    <s v="54 min 24s"/>
    <s v="ymy-awtg-ykd"/>
    <x v="30"/>
    <d v="1899-12-30T02:09:33"/>
    <d v="1899-12-30T02:15:57"/>
    <n v="1"/>
    <n v="0"/>
  </r>
  <r>
    <n v="1"/>
    <x v="65"/>
    <d v="1899-12-30T20:12:08"/>
    <d v="1899-12-30T22:41:21"/>
    <d v="1899-12-30T23:45:34"/>
    <s v="14 min 17s"/>
    <s v="dua-unee-xss"/>
    <x v="31"/>
    <d v="1899-12-30T03:33:26"/>
    <d v="1899-12-30T02:15:59"/>
    <n v="1"/>
    <n v="0"/>
  </r>
  <r>
    <n v="2"/>
    <x v="101"/>
    <d v="1899-12-30T20:12:08"/>
    <d v="1899-12-30T22:41:21"/>
    <d v="1899-12-30T23:45:34"/>
    <s v="49 min 17s"/>
    <s v="dua-unee-xss"/>
    <x v="31"/>
    <d v="1899-12-30T03:33:26"/>
    <d v="1899-12-30T02:15:39"/>
    <n v="1"/>
    <n v="0"/>
  </r>
  <r>
    <n v="3"/>
    <x v="96"/>
    <d v="1899-12-30T20:12:08"/>
    <d v="1899-12-30T22:41:21"/>
    <d v="1899-12-30T23:45:34"/>
    <s v="14 min 17s"/>
    <s v="dua-unee-xss"/>
    <x v="31"/>
    <d v="1899-12-30T03:33:26"/>
    <d v="1899-12-30T02:15:19"/>
    <n v="1"/>
    <n v="0"/>
  </r>
  <r>
    <n v="4"/>
    <x v="27"/>
    <d v="1899-12-30T20:12:08"/>
    <d v="1899-12-30T22:41:21"/>
    <d v="1899-12-30T23:45:34"/>
    <s v="0 min 2s"/>
    <s v="dua-unee-xss"/>
    <x v="31"/>
    <d v="1899-12-30T03:33:26"/>
    <d v="1899-12-30T02:14:59"/>
    <n v="1"/>
    <n v="0"/>
  </r>
  <r>
    <n v="5"/>
    <x v="72"/>
    <d v="1899-12-30T20:12:08"/>
    <d v="1899-12-30T20:29:39"/>
    <d v="1899-12-30T23:45:34"/>
    <s v="2 hr 10 min 2s"/>
    <s v="dua-unee-xss"/>
    <x v="31"/>
    <d v="1899-12-30T03:33:26"/>
    <d v="1899-12-30T02:14:38"/>
    <n v="1"/>
    <n v="0"/>
  </r>
  <r>
    <n v="6"/>
    <x v="49"/>
    <d v="1899-12-30T20:12:08"/>
    <d v="1899-12-30T20:29:39"/>
    <d v="1899-12-30T23:45:34"/>
    <s v="2 hr 10 min 2s"/>
    <s v="dua-unee-xss"/>
    <x v="31"/>
    <d v="1899-12-30T03:33:26"/>
    <d v="1899-12-30T02:14:18"/>
    <n v="1"/>
    <n v="0"/>
  </r>
  <r>
    <n v="7"/>
    <x v="14"/>
    <d v="1899-12-30T20:12:08"/>
    <d v="1899-12-30T20:29:39"/>
    <d v="1899-12-30T23:45:34"/>
    <s v="2 hr 10 min 2s"/>
    <s v="dua-unee-xss"/>
    <x v="31"/>
    <d v="1899-12-30T03:33:26"/>
    <d v="1899-12-30T02:13:57"/>
    <n v="1"/>
    <n v="0"/>
  </r>
  <r>
    <n v="8"/>
    <x v="5"/>
    <d v="1899-12-30T20:12:08"/>
    <d v="1899-12-30T20:12:11"/>
    <d v="1899-12-30T23:45:34"/>
    <s v="3 hr 31 min 36s"/>
    <s v="dua-unee-xss"/>
    <x v="31"/>
    <d v="1899-12-30T03:33:26"/>
    <d v="1899-12-30T02:13:36"/>
    <n v="1"/>
    <n v="0"/>
  </r>
  <r>
    <n v="9"/>
    <x v="51"/>
    <d v="1899-12-30T20:12:08"/>
    <d v="1899-12-30T20:29:39"/>
    <d v="1899-12-30T23:45:34"/>
    <s v="2 hr 10 min 2s"/>
    <s v="dua-unee-xss"/>
    <x v="31"/>
    <d v="1899-12-30T03:33:26"/>
    <d v="1899-12-30T02:13:15"/>
    <n v="1"/>
    <n v="0"/>
  </r>
  <r>
    <n v="10"/>
    <x v="42"/>
    <d v="1899-12-30T20:12:08"/>
    <d v="1899-12-30T20:29:39"/>
    <d v="1899-12-30T23:45:34"/>
    <s v="2 hr 10 min 2s"/>
    <s v="dua-unee-xss"/>
    <x v="31"/>
    <d v="1899-12-30T03:33:26"/>
    <d v="1899-12-30T02:12:54"/>
    <n v="1"/>
    <n v="0"/>
  </r>
  <r>
    <n v="11"/>
    <x v="79"/>
    <d v="1899-12-30T20:12:08"/>
    <d v="1899-12-30T20:29:39"/>
    <d v="1899-12-30T23:45:34"/>
    <s v="2 hr 10 min 2s"/>
    <s v="dua-unee-xss"/>
    <x v="31"/>
    <d v="1899-12-30T03:33:26"/>
    <d v="1899-12-30T02:12:32"/>
    <n v="1"/>
    <n v="0"/>
  </r>
  <r>
    <n v="12"/>
    <x v="6"/>
    <d v="1899-12-30T20:12:08"/>
    <d v="1899-12-30T22:41:21"/>
    <d v="1899-12-30T23:45:34"/>
    <s v="19 min 35s"/>
    <s v="dua-unee-xss"/>
    <x v="31"/>
    <d v="1899-12-30T03:33:26"/>
    <d v="1899-12-30T02:12:11"/>
    <n v="1"/>
    <n v="0"/>
  </r>
  <r>
    <n v="13"/>
    <x v="85"/>
    <d v="1899-12-30T20:12:08"/>
    <d v="1899-12-30T23:07:41"/>
    <d v="1899-12-30T23:45:34"/>
    <s v="15 min 57s"/>
    <s v="dua-unee-xss"/>
    <x v="31"/>
    <d v="1899-12-30T03:33:26"/>
    <d v="1899-12-30T02:11:49"/>
    <n v="1"/>
    <n v="0"/>
  </r>
  <r>
    <n v="14"/>
    <x v="43"/>
    <d v="1899-12-30T20:12:08"/>
    <d v="1899-12-30T20:29:39"/>
    <d v="1899-12-30T23:45:34"/>
    <s v="2 hr 24 min 19s"/>
    <s v="dua-unee-xss"/>
    <x v="31"/>
    <d v="1899-12-30T03:33:26"/>
    <d v="1899-12-30T02:11:27"/>
    <n v="1"/>
    <n v="0"/>
  </r>
  <r>
    <n v="15"/>
    <x v="73"/>
    <d v="1899-12-30T20:12:08"/>
    <d v="1899-12-30T20:29:39"/>
    <d v="1899-12-30T23:45:34"/>
    <s v="2 hr 10 min 2s"/>
    <s v="dua-unee-xss"/>
    <x v="31"/>
    <d v="1899-12-30T03:33:26"/>
    <d v="1899-12-30T02:11:04"/>
    <n v="1"/>
    <n v="0"/>
  </r>
  <r>
    <n v="16"/>
    <x v="58"/>
    <d v="1899-12-30T20:12:08"/>
    <d v="1899-12-30T20:29:39"/>
    <d v="1899-12-30T23:45:34"/>
    <s v="2 hr 10 min 2s"/>
    <s v="dua-unee-xss"/>
    <x v="31"/>
    <d v="1899-12-30T03:33:26"/>
    <d v="1899-12-30T02:10:42"/>
    <n v="1"/>
    <n v="0"/>
  </r>
  <r>
    <n v="17"/>
    <x v="8"/>
    <d v="1899-12-30T20:12:08"/>
    <d v="1899-12-30T22:41:21"/>
    <d v="1899-12-30T23:45:34"/>
    <s v="14 min 17s"/>
    <s v="dua-unee-xss"/>
    <x v="31"/>
    <d v="1899-12-30T03:33:26"/>
    <d v="1899-12-30T02:10:19"/>
    <n v="1"/>
    <n v="0"/>
  </r>
  <r>
    <n v="18"/>
    <x v="20"/>
    <d v="1899-12-30T20:12:08"/>
    <d v="1899-12-30T22:41:21"/>
    <d v="1899-12-30T23:45:34"/>
    <s v="50 min 32s"/>
    <s v="dua-unee-xss"/>
    <x v="31"/>
    <d v="1899-12-30T03:33:26"/>
    <d v="1899-12-30T02:09:56"/>
    <n v="1"/>
    <n v="0"/>
  </r>
  <r>
    <n v="19"/>
    <x v="39"/>
    <d v="1899-12-30T20:12:08"/>
    <d v="1899-12-30T20:29:39"/>
    <d v="1899-12-30T23:45:34"/>
    <s v="2 hr 10 min 2s"/>
    <s v="dua-unee-xss"/>
    <x v="31"/>
    <d v="1899-12-30T03:33:26"/>
    <d v="1899-12-30T02:09:33"/>
    <n v="1"/>
    <n v="0"/>
  </r>
  <r>
    <n v="20"/>
    <x v="9"/>
    <d v="1899-12-30T20:12:08"/>
    <d v="1899-12-30T22:41:21"/>
    <d v="1899-12-30T23:45:34"/>
    <s v="55 min 23s"/>
    <s v="dua-unee-xss"/>
    <x v="31"/>
    <d v="1899-12-30T03:33:26"/>
    <d v="1899-12-30T02:09:10"/>
    <n v="1"/>
    <n v="0"/>
  </r>
  <r>
    <n v="21"/>
    <x v="94"/>
    <d v="1899-12-30T20:12:08"/>
    <d v="1899-12-30T20:29:39"/>
    <d v="1899-12-30T23:45:34"/>
    <s v="2 hr 10 min 2s"/>
    <s v="dua-unee-xss"/>
    <x v="31"/>
    <d v="1899-12-30T03:33:26"/>
    <d v="1899-12-30T02:08:46"/>
    <n v="1"/>
    <n v="0"/>
  </r>
  <r>
    <n v="22"/>
    <x v="24"/>
    <d v="1899-12-30T20:12:08"/>
    <d v="1899-12-30T22:41:21"/>
    <d v="1899-12-30T23:45:34"/>
    <s v="1 hr 4 min 8s"/>
    <s v="dua-unee-xss"/>
    <x v="31"/>
    <d v="1899-12-30T03:33:26"/>
    <d v="1899-12-30T02:08:23"/>
    <n v="1"/>
    <n v="0"/>
  </r>
  <r>
    <n v="23"/>
    <x v="36"/>
    <d v="1899-12-30T20:12:08"/>
    <d v="1899-12-30T22:41:21"/>
    <d v="1899-12-30T23:45:34"/>
    <s v="21 min 21s"/>
    <s v="dua-unee-xss"/>
    <x v="31"/>
    <d v="1899-12-30T03:33:26"/>
    <d v="1899-12-30T02:07:59"/>
    <n v="1"/>
    <n v="0"/>
  </r>
  <r>
    <n v="24"/>
    <x v="69"/>
    <d v="1899-12-30T20:12:08"/>
    <d v="1899-12-30T22:41:21"/>
    <d v="1899-12-30T23:45:34"/>
    <s v="14 min 17s"/>
    <s v="dua-unee-xss"/>
    <x v="31"/>
    <d v="1899-12-30T03:33:26"/>
    <d v="1899-12-30T02:07:35"/>
    <n v="1"/>
    <n v="0"/>
  </r>
  <r>
    <n v="1"/>
    <x v="1"/>
    <d v="1899-12-30T20:30:00"/>
    <d v="1899-12-30T20:30:03"/>
    <d v="1899-12-30T22:19:48"/>
    <s v="1 hr 49 min 44s"/>
    <s v="dua-unee-xss"/>
    <x v="32"/>
    <d v="1899-12-30T01:49:48"/>
    <d v="1899-12-30T02:07:10"/>
    <n v="1"/>
    <n v="0"/>
  </r>
  <r>
    <n v="2"/>
    <x v="2"/>
    <d v="1899-12-30T20:30:00"/>
    <d v="1899-12-30T20:36:49"/>
    <d v="1899-12-30T22:19:48"/>
    <s v="1 hr 43 min 0s"/>
    <s v="dua-unee-xss"/>
    <x v="32"/>
    <d v="1899-12-30T01:49:48"/>
    <d v="1899-12-30T02:07:15"/>
    <n v="1"/>
    <n v="0"/>
  </r>
  <r>
    <n v="3"/>
    <x v="65"/>
    <d v="1899-12-30T20:30:00"/>
    <d v="1899-12-30T20:36:49"/>
    <d v="1899-12-30T22:19:48"/>
    <s v="1 hr 43 min 0s"/>
    <s v="dua-unee-xss"/>
    <x v="32"/>
    <d v="1899-12-30T01:49:48"/>
    <d v="1899-12-30T02:07:20"/>
    <n v="1"/>
    <n v="0"/>
  </r>
  <r>
    <n v="4"/>
    <x v="13"/>
    <d v="1899-12-30T20:30:00"/>
    <d v="1899-12-30T20:36:49"/>
    <d v="1899-12-30T22:19:48"/>
    <s v="1 hr 43 min 0s"/>
    <s v="dua-unee-xss"/>
    <x v="32"/>
    <d v="1899-12-30T01:49:48"/>
    <d v="1899-12-30T02:07:25"/>
    <n v="1"/>
    <n v="0"/>
  </r>
  <r>
    <n v="5"/>
    <x v="101"/>
    <d v="1899-12-30T20:30:00"/>
    <d v="1899-12-30T20:36:49"/>
    <d v="1899-12-30T22:19:48"/>
    <s v="1 hr 43 min 0s"/>
    <s v="dua-unee-xss"/>
    <x v="32"/>
    <d v="1899-12-30T01:49:48"/>
    <d v="1899-12-30T02:07:30"/>
    <n v="1"/>
    <n v="0"/>
  </r>
  <r>
    <n v="6"/>
    <x v="4"/>
    <d v="1899-12-30T20:30:00"/>
    <d v="1899-12-30T20:30:03"/>
    <d v="1899-12-30T22:19:48"/>
    <s v="1 hr 49 min 44s"/>
    <s v="dua-unee-xss"/>
    <x v="32"/>
    <d v="1899-12-30T01:49:48"/>
    <d v="1899-12-30T02:07:35"/>
    <n v="1"/>
    <n v="0"/>
  </r>
  <r>
    <n v="7"/>
    <x v="31"/>
    <d v="1899-12-30T20:30:00"/>
    <d v="1899-12-30T20:30:03"/>
    <d v="1899-12-30T22:19:48"/>
    <s v="1 hr 49 min 44s"/>
    <s v="dua-unee-xss"/>
    <x v="32"/>
    <d v="1899-12-30T01:49:48"/>
    <d v="1899-12-30T02:07:41"/>
    <n v="1"/>
    <n v="0"/>
  </r>
  <r>
    <n v="8"/>
    <x v="27"/>
    <d v="1899-12-30T20:30:00"/>
    <d v="1899-12-30T20:36:49"/>
    <d v="1899-12-30T22:19:48"/>
    <s v="1 hr 43 min 0s"/>
    <s v="dua-unee-xss"/>
    <x v="32"/>
    <d v="1899-12-30T01:49:48"/>
    <d v="1899-12-30T02:07:46"/>
    <n v="1"/>
    <n v="0"/>
  </r>
  <r>
    <n v="9"/>
    <x v="72"/>
    <d v="1899-12-30T20:30:00"/>
    <d v="1899-12-30T20:30:03"/>
    <d v="1899-12-30T22:19:48"/>
    <s v="1 hr 49 min 44s"/>
    <s v="dua-unee-xss"/>
    <x v="32"/>
    <d v="1899-12-30T01:49:48"/>
    <d v="1899-12-30T02:07:51"/>
    <n v="1"/>
    <n v="0"/>
  </r>
  <r>
    <n v="10"/>
    <x v="70"/>
    <d v="1899-12-30T20:30:00"/>
    <d v="1899-12-30T20:30:03"/>
    <d v="1899-12-30T22:19:48"/>
    <s v="1 hr 49 min 44s"/>
    <s v="dua-unee-xss"/>
    <x v="32"/>
    <d v="1899-12-30T01:49:48"/>
    <d v="1899-12-30T02:07:57"/>
    <n v="1"/>
    <n v="0"/>
  </r>
  <r>
    <n v="11"/>
    <x v="14"/>
    <d v="1899-12-30T20:30:00"/>
    <d v="1899-12-30T20:30:03"/>
    <d v="1899-12-30T22:19:48"/>
    <s v="1 hr 49 min 44s"/>
    <s v="dua-unee-xss"/>
    <x v="32"/>
    <d v="1899-12-30T01:49:48"/>
    <d v="1899-12-30T02:08:02"/>
    <n v="1"/>
    <n v="0"/>
  </r>
  <r>
    <n v="12"/>
    <x v="88"/>
    <d v="1899-12-30T20:30:00"/>
    <d v="1899-12-30T20:36:49"/>
    <d v="1899-12-30T22:19:48"/>
    <s v="1 hr 43 min 0s"/>
    <s v="dua-unee-xss"/>
    <x v="32"/>
    <d v="1899-12-30T01:49:48"/>
    <d v="1899-12-30T02:08:07"/>
    <n v="1"/>
    <n v="0"/>
  </r>
  <r>
    <n v="13"/>
    <x v="54"/>
    <d v="1899-12-30T20:30:00"/>
    <d v="1899-12-30T20:30:03"/>
    <d v="1899-12-30T22:19:48"/>
    <s v="1 hr 49 min 44s"/>
    <s v="dua-unee-xss"/>
    <x v="32"/>
    <d v="1899-12-30T01:49:48"/>
    <d v="1899-12-30T02:08:13"/>
    <n v="1"/>
    <n v="0"/>
  </r>
  <r>
    <n v="14"/>
    <x v="5"/>
    <d v="1899-12-30T20:30:00"/>
    <d v="1899-12-30T20:30:03"/>
    <d v="1899-12-30T22:19:48"/>
    <s v="1 hr 49 min 44s"/>
    <s v="dua-unee-xss"/>
    <x v="32"/>
    <d v="1899-12-30T01:49:48"/>
    <d v="1899-12-30T02:08:19"/>
    <n v="1"/>
    <n v="0"/>
  </r>
  <r>
    <n v="15"/>
    <x v="50"/>
    <d v="1899-12-30T20:30:00"/>
    <d v="1899-12-30T20:36:49"/>
    <d v="1899-12-30T22:19:48"/>
    <s v="1 hr 43 min 0s"/>
    <s v="dua-unee-xss"/>
    <x v="32"/>
    <d v="1899-12-30T01:49:48"/>
    <d v="1899-12-30T02:08:24"/>
    <n v="1"/>
    <n v="0"/>
  </r>
  <r>
    <n v="16"/>
    <x v="100"/>
    <d v="1899-12-30T20:30:00"/>
    <d v="1899-12-30T20:36:49"/>
    <d v="1899-12-30T22:19:48"/>
    <s v="1 hr 43 min 0s"/>
    <s v="dua-unee-xss"/>
    <x v="32"/>
    <d v="1899-12-30T01:49:48"/>
    <d v="1899-12-30T02:08:30"/>
    <n v="1"/>
    <n v="0"/>
  </r>
  <r>
    <n v="17"/>
    <x v="90"/>
    <d v="1899-12-30T20:30:00"/>
    <d v="1899-12-30T20:36:49"/>
    <d v="1899-12-30T22:19:48"/>
    <s v="1 hr 43 min 0s"/>
    <s v="dua-unee-xss"/>
    <x v="32"/>
    <d v="1899-12-30T01:49:48"/>
    <d v="1899-12-30T02:08:36"/>
    <n v="1"/>
    <n v="0"/>
  </r>
  <r>
    <n v="18"/>
    <x v="42"/>
    <d v="1899-12-30T20:30:00"/>
    <d v="1899-12-30T20:30:03"/>
    <d v="1899-12-30T22:19:48"/>
    <s v="1 hr 49 min 44s"/>
    <s v="dua-unee-xss"/>
    <x v="32"/>
    <d v="1899-12-30T01:49:48"/>
    <d v="1899-12-30T02:08:41"/>
    <n v="1"/>
    <n v="0"/>
  </r>
  <r>
    <n v="19"/>
    <x v="79"/>
    <d v="1899-12-30T20:30:00"/>
    <d v="1899-12-30T20:30:03"/>
    <d v="1899-12-30T22:19:48"/>
    <s v="1 hr 49 min 44s"/>
    <s v="dua-unee-xss"/>
    <x v="32"/>
    <d v="1899-12-30T01:49:48"/>
    <d v="1899-12-30T02:08:47"/>
    <n v="1"/>
    <n v="0"/>
  </r>
  <r>
    <n v="20"/>
    <x v="17"/>
    <d v="1899-12-30T20:30:00"/>
    <d v="1899-12-30T20:30:03"/>
    <d v="1899-12-30T22:19:48"/>
    <s v="1 hr 49 min 44s"/>
    <s v="dua-unee-xss"/>
    <x v="32"/>
    <d v="1899-12-30T01:49:48"/>
    <d v="1899-12-30T02:08:53"/>
    <n v="1"/>
    <n v="0"/>
  </r>
  <r>
    <n v="21"/>
    <x v="63"/>
    <d v="1899-12-30T20:30:00"/>
    <d v="1899-12-30T20:30:03"/>
    <d v="1899-12-30T22:19:48"/>
    <s v="1 hr 49 min 44s"/>
    <s v="dua-unee-xss"/>
    <x v="32"/>
    <d v="1899-12-30T01:49:48"/>
    <d v="1899-12-30T02:08:59"/>
    <n v="1"/>
    <n v="0"/>
  </r>
  <r>
    <n v="22"/>
    <x v="7"/>
    <d v="1899-12-30T20:30:00"/>
    <d v="1899-12-30T20:30:03"/>
    <d v="1899-12-30T22:19:48"/>
    <s v="1 hr 49 min 44s"/>
    <s v="dua-unee-xss"/>
    <x v="32"/>
    <d v="1899-12-30T01:49:48"/>
    <d v="1899-12-30T02:09:05"/>
    <n v="1"/>
    <n v="0"/>
  </r>
  <r>
    <n v="23"/>
    <x v="38"/>
    <d v="1899-12-30T20:30:00"/>
    <d v="1899-12-30T20:30:03"/>
    <d v="1899-12-30T22:19:48"/>
    <s v="1 hr 49 min 44s"/>
    <s v="dua-unee-xss"/>
    <x v="32"/>
    <d v="1899-12-30T01:49:48"/>
    <d v="1899-12-30T02:09:11"/>
    <n v="1"/>
    <n v="0"/>
  </r>
  <r>
    <n v="24"/>
    <x v="48"/>
    <d v="1899-12-30T20:30:00"/>
    <d v="1899-12-30T20:30:03"/>
    <d v="1899-12-30T22:19:48"/>
    <s v="1 hr 49 min 44s"/>
    <s v="dua-unee-xss"/>
    <x v="32"/>
    <d v="1899-12-30T01:49:48"/>
    <d v="1899-12-30T02:09:18"/>
    <n v="1"/>
    <n v="0"/>
  </r>
  <r>
    <n v="25"/>
    <x v="74"/>
    <d v="1899-12-30T20:30:00"/>
    <d v="1899-12-30T20:30:03"/>
    <d v="1899-12-30T22:19:48"/>
    <s v="1 hr 49 min 44s"/>
    <s v="dua-unee-xss"/>
    <x v="32"/>
    <d v="1899-12-30T01:49:48"/>
    <d v="1899-12-30T02:09:24"/>
    <n v="1"/>
    <n v="0"/>
  </r>
  <r>
    <n v="26"/>
    <x v="59"/>
    <d v="1899-12-30T20:30:00"/>
    <d v="1899-12-30T20:30:03"/>
    <d v="1899-12-30T22:19:48"/>
    <s v="1 hr 49 min 44s"/>
    <s v="dua-unee-xss"/>
    <x v="32"/>
    <d v="1899-12-30T01:49:48"/>
    <d v="1899-12-30T02:09:30"/>
    <n v="1"/>
    <n v="0"/>
  </r>
  <r>
    <n v="27"/>
    <x v="8"/>
    <d v="1899-12-30T20:30:00"/>
    <d v="1899-12-30T20:30:03"/>
    <d v="1899-12-30T22:19:48"/>
    <s v="1 hr 49 min 44s"/>
    <s v="dua-unee-xss"/>
    <x v="32"/>
    <d v="1899-12-30T01:49:48"/>
    <d v="1899-12-30T02:09:37"/>
    <n v="1"/>
    <n v="0"/>
  </r>
  <r>
    <n v="28"/>
    <x v="20"/>
    <d v="1899-12-30T20:30:00"/>
    <d v="1899-12-30T20:36:52"/>
    <d v="1899-12-30T22:19:48"/>
    <s v="1 hr 42 min 56s"/>
    <s v="dua-unee-xss"/>
    <x v="32"/>
    <d v="1899-12-30T01:49:48"/>
    <d v="1899-12-30T02:09:43"/>
    <n v="1"/>
    <n v="0"/>
  </r>
  <r>
    <n v="29"/>
    <x v="39"/>
    <d v="1899-12-30T20:30:00"/>
    <d v="1899-12-30T20:30:03"/>
    <d v="1899-12-30T22:19:48"/>
    <s v="1 hr 49 min 44s"/>
    <s v="dua-unee-xss"/>
    <x v="32"/>
    <d v="1899-12-30T01:49:48"/>
    <d v="1899-12-30T02:09:50"/>
    <n v="1"/>
    <n v="0"/>
  </r>
  <r>
    <n v="30"/>
    <x v="86"/>
    <d v="1899-12-30T20:30:00"/>
    <d v="1899-12-30T20:30:03"/>
    <d v="1899-12-30T22:19:48"/>
    <s v="1 hr 49 min 44s"/>
    <s v="dua-unee-xss"/>
    <x v="32"/>
    <d v="1899-12-30T01:49:48"/>
    <d v="1899-12-30T02:09:56"/>
    <n v="1"/>
    <n v="0"/>
  </r>
  <r>
    <n v="31"/>
    <x v="21"/>
    <d v="1899-12-30T20:30:00"/>
    <d v="1899-12-30T20:30:03"/>
    <d v="1899-12-30T22:19:48"/>
    <s v="1 hr 49 min 44s"/>
    <s v="dua-unee-xss"/>
    <x v="32"/>
    <d v="1899-12-30T01:49:48"/>
    <d v="1899-12-30T02:10:03"/>
    <n v="1"/>
    <n v="0"/>
  </r>
  <r>
    <n v="32"/>
    <x v="52"/>
    <d v="1899-12-30T20:30:00"/>
    <d v="1899-12-30T20:36:49"/>
    <d v="1899-12-30T22:19:48"/>
    <s v="1 hr 43 min 0s"/>
    <s v="dua-unee-xss"/>
    <x v="32"/>
    <d v="1899-12-30T01:49:48"/>
    <d v="1899-12-30T02:10:10"/>
    <n v="1"/>
    <n v="0"/>
  </r>
  <r>
    <n v="33"/>
    <x v="22"/>
    <d v="1899-12-30T20:30:00"/>
    <d v="1899-12-30T20:36:49"/>
    <d v="1899-12-30T22:19:48"/>
    <s v="1 hr 43 min 0s"/>
    <s v="dua-unee-xss"/>
    <x v="32"/>
    <d v="1899-12-30T01:49:48"/>
    <d v="1899-12-30T02:10:16"/>
    <n v="1"/>
    <n v="0"/>
  </r>
  <r>
    <n v="34"/>
    <x v="94"/>
    <d v="1899-12-30T20:30:00"/>
    <d v="1899-12-30T20:30:03"/>
    <d v="1899-12-30T22:19:48"/>
    <s v="1 hr 49 min 44s"/>
    <s v="dua-unee-xss"/>
    <x v="32"/>
    <d v="1899-12-30T01:49:48"/>
    <d v="1899-12-30T02:10:23"/>
    <n v="1"/>
    <n v="0"/>
  </r>
  <r>
    <n v="35"/>
    <x v="30"/>
    <d v="1899-12-30T20:30:00"/>
    <d v="1899-12-30T20:30:03"/>
    <d v="1899-12-30T22:19:48"/>
    <s v="1 hr 49 min 44s"/>
    <s v="dua-unee-xss"/>
    <x v="32"/>
    <d v="1899-12-30T01:49:48"/>
    <d v="1899-12-30T02:10:30"/>
    <n v="1"/>
    <n v="0"/>
  </r>
  <r>
    <n v="36"/>
    <x v="87"/>
    <d v="1899-12-30T20:30:00"/>
    <d v="1899-12-30T20:36:49"/>
    <d v="1899-12-30T22:19:48"/>
    <s v="1 hr 43 min 0s"/>
    <s v="dua-unee-xss"/>
    <x v="32"/>
    <d v="1899-12-30T01:49:48"/>
    <d v="1899-12-30T02:10:37"/>
    <n v="1"/>
    <n v="0"/>
  </r>
  <r>
    <n v="37"/>
    <x v="23"/>
    <d v="1899-12-30T20:30:00"/>
    <d v="1899-12-30T20:30:03"/>
    <d v="1899-12-30T22:19:48"/>
    <s v="1 hr 49 min 44s"/>
    <s v="dua-unee-xss"/>
    <x v="32"/>
    <d v="1899-12-30T01:49:48"/>
    <d v="1899-12-30T02:10:45"/>
    <n v="1"/>
    <n v="0"/>
  </r>
  <r>
    <n v="38"/>
    <x v="93"/>
    <d v="1899-12-30T20:30:00"/>
    <d v="1899-12-30T20:30:03"/>
    <d v="1899-12-30T22:19:48"/>
    <s v="1 hr 49 min 44s"/>
    <s v="dua-unee-xss"/>
    <x v="32"/>
    <d v="1899-12-30T01:49:48"/>
    <d v="1899-12-30T02:10:52"/>
    <n v="1"/>
    <n v="0"/>
  </r>
  <r>
    <n v="39"/>
    <x v="40"/>
    <d v="1899-12-30T20:30:00"/>
    <d v="1899-12-30T20:30:03"/>
    <d v="1899-12-30T22:19:48"/>
    <s v="1 hr 49 min 44s"/>
    <s v="dua-unee-xss"/>
    <x v="32"/>
    <d v="1899-12-30T01:49:48"/>
    <d v="1899-12-30T02:10:59"/>
    <n v="1"/>
    <n v="0"/>
  </r>
  <r>
    <n v="40"/>
    <x v="24"/>
    <d v="1899-12-30T20:30:00"/>
    <d v="1899-12-30T20:36:49"/>
    <d v="1899-12-30T22:19:48"/>
    <s v="1 hr 43 min 0s"/>
    <s v="dua-unee-xss"/>
    <x v="32"/>
    <d v="1899-12-30T01:49:48"/>
    <d v="1899-12-30T02:11:06"/>
    <n v="1"/>
    <n v="0"/>
  </r>
  <r>
    <n v="41"/>
    <x v="102"/>
    <d v="1899-12-30T20:30:00"/>
    <d v="1899-12-30T20:36:49"/>
    <d v="1899-12-30T22:19:48"/>
    <s v="1 hr 43 min 0s"/>
    <s v="dua-unee-xss"/>
    <x v="32"/>
    <d v="1899-12-30T01:49:48"/>
    <d v="1899-12-30T02:11:14"/>
    <n v="1"/>
    <n v="0"/>
  </r>
  <r>
    <n v="42"/>
    <x v="25"/>
    <d v="1899-12-30T20:30:00"/>
    <d v="1899-12-30T20:30:03"/>
    <d v="1899-12-30T22:19:48"/>
    <s v="1 hr 49 min 44s"/>
    <s v="dua-unee-xss"/>
    <x v="32"/>
    <d v="1899-12-30T01:49:48"/>
    <d v="1899-12-30T02:11:21"/>
    <n v="1"/>
    <n v="0"/>
  </r>
  <r>
    <n v="43"/>
    <x v="81"/>
    <d v="1899-12-30T20:30:00"/>
    <d v="1899-12-30T20:36:49"/>
    <d v="1899-12-30T22:19:48"/>
    <s v="1 hr 43 min 0s"/>
    <s v="dua-unee-xss"/>
    <x v="32"/>
    <d v="1899-12-30T01:49:48"/>
    <d v="1899-12-30T02:11:29"/>
    <n v="1"/>
    <n v="0"/>
  </r>
  <r>
    <n v="44"/>
    <x v="76"/>
    <d v="1899-12-30T20:30:00"/>
    <d v="1899-12-30T20:36:49"/>
    <d v="1899-12-30T22:19:48"/>
    <s v="1 hr 43 min 0s"/>
    <s v="dua-unee-xss"/>
    <x v="32"/>
    <d v="1899-12-30T01:49:48"/>
    <d v="1899-12-30T02:11:37"/>
    <n v="1"/>
    <n v="0"/>
  </r>
  <r>
    <n v="45"/>
    <x v="67"/>
    <d v="1899-12-30T20:30:00"/>
    <d v="1899-12-30T20:36:49"/>
    <d v="1899-12-30T22:19:48"/>
    <s v="1 hr 43 min 0s"/>
    <s v="dua-unee-xss"/>
    <x v="32"/>
    <d v="1899-12-30T01:49:48"/>
    <d v="1899-12-30T02:11:45"/>
    <n v="1"/>
    <n v="0"/>
  </r>
  <r>
    <n v="1"/>
    <x v="1"/>
    <d v="1899-12-30T20:27:10"/>
    <d v="1899-12-30T20:37:08"/>
    <d v="1899-12-30T22:39:54"/>
    <s v="0 hr 59 min 23s"/>
    <s v="dua-unee-xss"/>
    <x v="33"/>
    <d v="1899-12-30T02:12:44"/>
    <d v="1899-12-30T02:11:53"/>
    <n v="1"/>
    <n v="0"/>
  </r>
  <r>
    <n v="2"/>
    <x v="2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3"/>
    <x v="65"/>
    <d v="1899-12-30T20:27:10"/>
    <d v="1899-12-30T20:37:08"/>
    <d v="1899-12-30T22:39:54"/>
    <s v="1 hr 59 min 23s"/>
    <s v="dua-unee-xss"/>
    <x v="33"/>
    <d v="1899-12-30T02:12:44"/>
    <d v="1899-12-30T02:11:52"/>
    <n v="1"/>
    <n v="0"/>
  </r>
  <r>
    <n v="4"/>
    <x v="13"/>
    <d v="1899-12-30T20:27:10"/>
    <d v="1899-12-30T20:27:13"/>
    <d v="1899-12-30T22:39:54"/>
    <s v="2 hr 9 min 15s"/>
    <s v="dua-unee-xss"/>
    <x v="33"/>
    <d v="1899-12-30T02:12:44"/>
    <d v="1899-12-30T02:11:52"/>
    <n v="1"/>
    <n v="0"/>
  </r>
  <r>
    <n v="5"/>
    <x v="101"/>
    <d v="1899-12-30T20:27:10"/>
    <d v="1899-12-30T20:37:08"/>
    <d v="1899-12-30T22:39:54"/>
    <s v="2 hr 2 min 43s"/>
    <s v="dua-unee-xss"/>
    <x v="33"/>
    <d v="1899-12-30T02:12:44"/>
    <d v="1899-12-30T02:11:51"/>
    <n v="1"/>
    <n v="0"/>
  </r>
  <r>
    <n v="6"/>
    <x v="96"/>
    <d v="1899-12-30T20:27:10"/>
    <d v="1899-12-30T20:37:08"/>
    <d v="1899-12-30T22:39:54"/>
    <s v="2 hr 2 min 39s"/>
    <s v="dua-unee-xss"/>
    <x v="33"/>
    <d v="1899-12-30T02:12:44"/>
    <d v="1899-12-30T02:11:51"/>
    <n v="1"/>
    <n v="0"/>
  </r>
  <r>
    <n v="7"/>
    <x v="4"/>
    <d v="1899-12-30T20:27:10"/>
    <d v="1899-12-30T20:29:54"/>
    <d v="1899-12-30T22:39:54"/>
    <s v="2 hr 9 min 54s"/>
    <s v="dua-unee-xss"/>
    <x v="33"/>
    <d v="1899-12-30T02:12:44"/>
    <d v="1899-12-30T02:11:51"/>
    <n v="1"/>
    <n v="0"/>
  </r>
  <r>
    <n v="8"/>
    <x v="31"/>
    <d v="1899-12-30T20:27:10"/>
    <d v="1899-12-30T20:37:08"/>
    <d v="1899-12-30T22:39:54"/>
    <s v="1 hr 59 min 23s"/>
    <s v="dua-unee-xss"/>
    <x v="33"/>
    <d v="1899-12-30T02:12:44"/>
    <d v="1899-12-30T02:11:50"/>
    <n v="1"/>
    <n v="0"/>
  </r>
  <r>
    <n v="9"/>
    <x v="27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0"/>
    <x v="72"/>
    <d v="1899-12-30T20:27:10"/>
    <d v="1899-12-30T20:27:13"/>
    <d v="1899-12-30T22:39:54"/>
    <s v="2 hr 9 min 15s"/>
    <s v="dua-unee-xss"/>
    <x v="33"/>
    <d v="1899-12-30T02:12:44"/>
    <d v="1899-12-30T02:11:50"/>
    <n v="1"/>
    <n v="0"/>
  </r>
  <r>
    <n v="11"/>
    <x v="49"/>
    <d v="1899-12-30T20:27:10"/>
    <d v="1899-12-30T20:27:13"/>
    <d v="1899-12-30T22:39:54"/>
    <s v="2 hr 9 min 15s"/>
    <s v="dua-unee-xss"/>
    <x v="33"/>
    <d v="1899-12-30T02:12:44"/>
    <d v="1899-12-30T02:11:49"/>
    <n v="1"/>
    <n v="0"/>
  </r>
  <r>
    <n v="12"/>
    <x v="14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3"/>
    <x v="88"/>
    <d v="1899-12-30T20:27:10"/>
    <d v="1899-12-30T20:37:08"/>
    <d v="1899-12-30T22:39:54"/>
    <s v="1 hr 59 min 23s"/>
    <s v="dua-unee-xss"/>
    <x v="33"/>
    <d v="1899-12-30T02:12:44"/>
    <d v="1899-12-30T02:11:49"/>
    <n v="1"/>
    <n v="0"/>
  </r>
  <r>
    <n v="14"/>
    <x v="54"/>
    <d v="1899-12-30T20:27:10"/>
    <d v="1899-12-30T20:29:56"/>
    <d v="1899-12-30T22:39:54"/>
    <s v="2 hr 6 min 32s"/>
    <s v="dua-unee-xss"/>
    <x v="33"/>
    <d v="1899-12-30T02:12:44"/>
    <d v="1899-12-30T02:11:48"/>
    <n v="1"/>
    <n v="0"/>
  </r>
  <r>
    <n v="15"/>
    <x v="5"/>
    <d v="1899-12-30T20:27:10"/>
    <d v="1899-12-30T20:27:13"/>
    <d v="1899-12-30T22:39:54"/>
    <s v="2 hr 12 min 35s"/>
    <s v="dua-unee-xss"/>
    <x v="33"/>
    <d v="1899-12-30T02:12:44"/>
    <d v="1899-12-30T02:11:48"/>
    <n v="1"/>
    <n v="0"/>
  </r>
  <r>
    <n v="16"/>
    <x v="89"/>
    <d v="1899-12-30T20:27:10"/>
    <d v="1899-12-30T20:37:08"/>
    <d v="1899-12-30T22:39:54"/>
    <s v="1 hr 59 min 23s"/>
    <s v="dua-unee-xss"/>
    <x v="33"/>
    <d v="1899-12-30T02:12:44"/>
    <d v="1899-12-30T02:11:48"/>
    <n v="1"/>
    <n v="0"/>
  </r>
  <r>
    <n v="17"/>
    <x v="51"/>
    <d v="1899-12-30T20:27:10"/>
    <d v="1899-12-30T20:27:13"/>
    <d v="1899-12-30T22:39:54"/>
    <s v="2 hr 9 min 15s"/>
    <s v="dua-unee-xss"/>
    <x v="33"/>
    <d v="1899-12-30T02:12:44"/>
    <d v="1899-12-30T02:11:47"/>
    <n v="1"/>
    <n v="0"/>
  </r>
  <r>
    <n v="18"/>
    <x v="78"/>
    <d v="1899-12-30T20:27:10"/>
    <d v="1899-12-30T20:37:08"/>
    <d v="1899-12-30T22:39:54"/>
    <s v="1 hr 59 min 23s"/>
    <s v="dua-unee-xss"/>
    <x v="33"/>
    <d v="1899-12-30T02:12:44"/>
    <d v="1899-12-30T02:11:47"/>
    <n v="1"/>
    <n v="0"/>
  </r>
  <r>
    <n v="19"/>
    <x v="90"/>
    <d v="1899-12-30T20:27:10"/>
    <d v="1899-12-30T20:28:25"/>
    <d v="1899-12-30T22:39:54"/>
    <s v="2 hr 8 min 3s"/>
    <s v="dua-unee-xss"/>
    <x v="33"/>
    <d v="1899-12-30T02:12:44"/>
    <d v="1899-12-30T02:11:46"/>
    <n v="1"/>
    <n v="0"/>
  </r>
  <r>
    <n v="20"/>
    <x v="42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1"/>
    <x v="79"/>
    <d v="1899-12-30T20:27:10"/>
    <d v="1899-12-30T20:37:08"/>
    <d v="1899-12-30T22:39:54"/>
    <s v="1 hr 59 min 23s"/>
    <s v="dua-unee-xss"/>
    <x v="33"/>
    <d v="1899-12-30T02:12:44"/>
    <d v="1899-12-30T02:11:46"/>
    <n v="1"/>
    <n v="0"/>
  </r>
  <r>
    <n v="22"/>
    <x v="6"/>
    <d v="1899-12-30T20:27:10"/>
    <d v="1899-12-30T20:37:08"/>
    <d v="1899-12-30T22:39:54"/>
    <s v="2 hr 2 min 43s"/>
    <s v="dua-unee-xss"/>
    <x v="33"/>
    <d v="1899-12-30T02:12:44"/>
    <d v="1899-12-30T02:11:45"/>
    <n v="1"/>
    <n v="0"/>
  </r>
  <r>
    <n v="23"/>
    <x v="17"/>
    <d v="1899-12-30T20:27:10"/>
    <d v="1899-12-30T20:37:08"/>
    <d v="1899-12-30T22:39:54"/>
    <s v="1 hr 59 min 23s"/>
    <s v="dua-unee-xss"/>
    <x v="33"/>
    <d v="1899-12-30T02:12:44"/>
    <d v="1899-12-30T02:11:45"/>
    <n v="1"/>
    <n v="0"/>
  </r>
  <r>
    <n v="24"/>
    <x v="63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5"/>
    <x v="7"/>
    <d v="1899-12-30T20:27:10"/>
    <d v="1899-12-30T20:27:13"/>
    <d v="1899-12-30T22:39:54"/>
    <s v="2 hr 9 min 15s"/>
    <s v="dua-unee-xss"/>
    <x v="33"/>
    <d v="1899-12-30T02:12:44"/>
    <d v="1899-12-30T02:11:44"/>
    <n v="1"/>
    <n v="0"/>
  </r>
  <r>
    <n v="26"/>
    <x v="18"/>
    <d v="1899-12-30T20:27:10"/>
    <d v="1899-12-30T20:37:08"/>
    <d v="1899-12-30T22:39:54"/>
    <s v="1 hr 59 min 23s"/>
    <s v="dua-unee-xss"/>
    <x v="33"/>
    <d v="1899-12-30T02:12:44"/>
    <d v="1899-12-30T02:11:44"/>
    <n v="1"/>
    <n v="0"/>
  </r>
  <r>
    <n v="27"/>
    <x v="38"/>
    <d v="1899-12-30T20:27:10"/>
    <d v="1899-12-30T20:27:13"/>
    <d v="1899-12-30T22:39:54"/>
    <s v="2 hr 9 min 15s"/>
    <s v="dua-unee-xss"/>
    <x v="33"/>
    <d v="1899-12-30T02:12:44"/>
    <d v="1899-12-30T02:11:43"/>
    <n v="1"/>
    <n v="0"/>
  </r>
  <r>
    <n v="28"/>
    <x v="48"/>
    <d v="1899-12-30T20:27:10"/>
    <d v="1899-12-30T22:36:35"/>
    <d v="1899-12-30T22:39:54"/>
    <s v="3 min 20s"/>
    <s v="dua-unee-xss"/>
    <x v="33"/>
    <d v="1899-12-30T02:12:44"/>
    <d v="1899-12-30T02:11:43"/>
    <n v="1"/>
    <n v="0"/>
  </r>
  <r>
    <n v="29"/>
    <x v="74"/>
    <d v="1899-12-30T20:27:10"/>
    <d v="1899-12-30T20:37:08"/>
    <d v="1899-12-30T22:39:54"/>
    <s v="2 hr 2 min 43s"/>
    <s v="dua-unee-xss"/>
    <x v="33"/>
    <d v="1899-12-30T02:12:44"/>
    <d v="1899-12-30T02:11:42"/>
    <n v="1"/>
    <n v="0"/>
  </r>
  <r>
    <n v="30"/>
    <x v="59"/>
    <d v="1899-12-30T20:27:10"/>
    <d v="1899-12-30T20:29:54"/>
    <d v="1899-12-30T22:39:54"/>
    <s v="2 hr 6 min 34s"/>
    <s v="dua-unee-xss"/>
    <x v="33"/>
    <d v="1899-12-30T02:12:44"/>
    <d v="1899-12-30T02:11:42"/>
    <n v="1"/>
    <n v="0"/>
  </r>
  <r>
    <n v="31"/>
    <x v="8"/>
    <d v="1899-12-30T20:27:10"/>
    <d v="1899-12-30T20:37:08"/>
    <d v="1899-12-30T22:39:54"/>
    <s v="2 hr 2 min 43s"/>
    <s v="dua-unee-xss"/>
    <x v="33"/>
    <d v="1899-12-30T02:12:44"/>
    <d v="1899-12-30T02:11:41"/>
    <n v="1"/>
    <n v="0"/>
  </r>
  <r>
    <n v="32"/>
    <x v="29"/>
    <d v="1899-12-30T20:27:10"/>
    <d v="1899-12-30T20:37:08"/>
    <d v="1899-12-30T22:39:54"/>
    <s v="1 hr 59 min 23s"/>
    <s v="dua-unee-xss"/>
    <x v="33"/>
    <d v="1899-12-30T02:12:44"/>
    <d v="1899-12-30T02:11:41"/>
    <n v="1"/>
    <n v="0"/>
  </r>
  <r>
    <n v="33"/>
    <x v="20"/>
    <d v="1899-12-30T20:27:10"/>
    <d v="1899-12-30T22:36:35"/>
    <d v="1899-12-30T22:39:54"/>
    <s v="3 min 20s"/>
    <s v="dua-unee-xss"/>
    <x v="33"/>
    <d v="1899-12-30T02:12:44"/>
    <d v="1899-12-30T02:11:40"/>
    <n v="1"/>
    <n v="0"/>
  </r>
  <r>
    <n v="34"/>
    <x v="39"/>
    <d v="1899-12-30T20:27:10"/>
    <d v="1899-12-30T20:27:13"/>
    <d v="1899-12-30T22:39:54"/>
    <s v="2 hr 12 min 35s"/>
    <s v="dua-unee-xss"/>
    <x v="33"/>
    <d v="1899-12-30T02:12:44"/>
    <d v="1899-12-30T02:11:40"/>
    <n v="1"/>
    <n v="0"/>
  </r>
  <r>
    <n v="35"/>
    <x v="9"/>
    <d v="1899-12-30T20:27:10"/>
    <d v="1899-12-30T22:36:35"/>
    <d v="1899-12-30T22:39:54"/>
    <s v="3 min 20s"/>
    <s v="dua-unee-xss"/>
    <x v="33"/>
    <d v="1899-12-30T02:12:44"/>
    <d v="1899-12-30T02:11:39"/>
    <n v="1"/>
    <n v="0"/>
  </r>
  <r>
    <n v="36"/>
    <x v="86"/>
    <d v="1899-12-30T20:27:10"/>
    <d v="1899-12-30T20:27:13"/>
    <d v="1899-12-30T22:39:54"/>
    <s v="2 hr 9 min 15s"/>
    <s v="dua-unee-xss"/>
    <x v="33"/>
    <d v="1899-12-30T02:12:44"/>
    <d v="1899-12-30T02:11:39"/>
    <n v="1"/>
    <n v="0"/>
  </r>
  <r>
    <n v="37"/>
    <x v="21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8"/>
    <x v="64"/>
    <d v="1899-12-30T20:27:10"/>
    <d v="1899-12-30T20:37:08"/>
    <d v="1899-12-30T22:39:54"/>
    <s v="1 hr 59 min 23s"/>
    <s v="dua-unee-xss"/>
    <x v="33"/>
    <d v="1899-12-30T02:12:44"/>
    <d v="1899-12-30T02:11:38"/>
    <n v="1"/>
    <n v="0"/>
  </r>
  <r>
    <n v="39"/>
    <x v="55"/>
    <d v="1899-12-30T20:27:10"/>
    <d v="1899-12-30T20:27:13"/>
    <d v="1899-12-30T22:39:54"/>
    <s v="2 hr 9 min 15s"/>
    <s v="dua-unee-xss"/>
    <x v="33"/>
    <d v="1899-12-30T02:12:44"/>
    <d v="1899-12-30T02:11:37"/>
    <n v="1"/>
    <n v="0"/>
  </r>
  <r>
    <n v="40"/>
    <x v="22"/>
    <d v="1899-12-30T20:27:10"/>
    <d v="1899-12-30T20:37:08"/>
    <d v="1899-12-30T22:39:54"/>
    <s v="1 hr 59 min 23s"/>
    <s v="dua-unee-xss"/>
    <x v="33"/>
    <d v="1899-12-30T02:12:44"/>
    <d v="1899-12-30T02:11:37"/>
    <n v="1"/>
    <n v="0"/>
  </r>
  <r>
    <n v="41"/>
    <x v="94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2"/>
    <x v="30"/>
    <d v="1899-12-30T20:27:10"/>
    <d v="1899-12-30T20:27:13"/>
    <d v="1899-12-30T22:39:54"/>
    <s v="2 hr 9 min 15s"/>
    <s v="dua-unee-xss"/>
    <x v="33"/>
    <d v="1899-12-30T02:12:44"/>
    <d v="1899-12-30T02:11:36"/>
    <n v="1"/>
    <n v="0"/>
  </r>
  <r>
    <n v="43"/>
    <x v="87"/>
    <d v="1899-12-30T20:27:10"/>
    <d v="1899-12-30T20:37:08"/>
    <d v="1899-12-30T22:39:54"/>
    <s v="1 hr 59 min 23s"/>
    <s v="dua-unee-xss"/>
    <x v="33"/>
    <d v="1899-12-30T02:12:44"/>
    <d v="1899-12-30T02:11:35"/>
    <n v="1"/>
    <n v="0"/>
  </r>
  <r>
    <n v="44"/>
    <x v="23"/>
    <d v="1899-12-30T20:27:10"/>
    <d v="1899-12-30T20:27:13"/>
    <d v="1899-12-30T22:39:54"/>
    <s v="2 hr 9 min 15s"/>
    <s v="dua-unee-xss"/>
    <x v="33"/>
    <d v="1899-12-30T02:12:44"/>
    <d v="1899-12-30T02:11:35"/>
    <n v="1"/>
    <n v="0"/>
  </r>
  <r>
    <n v="45"/>
    <x v="93"/>
    <d v="1899-12-30T20:27:10"/>
    <d v="1899-12-30T20:27:13"/>
    <d v="1899-12-30T22:39:54"/>
    <s v="2 hr 9 min 15s"/>
    <s v="dua-unee-xss"/>
    <x v="33"/>
    <d v="1899-12-30T02:12:44"/>
    <d v="1899-12-30T02:11:34"/>
    <n v="1"/>
    <n v="0"/>
  </r>
  <r>
    <n v="46"/>
    <x v="24"/>
    <d v="1899-12-30T20:27:10"/>
    <d v="1899-12-30T20:27:13"/>
    <d v="1899-12-30T22:39:54"/>
    <s v="2 hr 12 min 31s"/>
    <s v="dua-unee-xss"/>
    <x v="33"/>
    <d v="1899-12-30T02:12:44"/>
    <d v="1899-12-30T02:11:34"/>
    <n v="1"/>
    <n v="0"/>
  </r>
  <r>
    <n v="47"/>
    <x v="62"/>
    <d v="1899-12-30T20:27:10"/>
    <d v="1899-12-30T20:37:08"/>
    <d v="1899-12-30T22:39:54"/>
    <s v="1 hr 59 min 23s"/>
    <s v="dua-unee-xss"/>
    <x v="33"/>
    <d v="1899-12-30T02:12:44"/>
    <d v="1899-12-30T02:11:33"/>
    <n v="1"/>
    <n v="0"/>
  </r>
  <r>
    <n v="48"/>
    <x v="25"/>
    <d v="1899-12-30T20:27:10"/>
    <d v="1899-12-30T20:27:13"/>
    <d v="1899-12-30T22:39:54"/>
    <s v="2 hr 9 min 15s"/>
    <s v="dua-unee-xss"/>
    <x v="33"/>
    <d v="1899-12-30T02:12:44"/>
    <d v="1899-12-30T02:11:32"/>
    <n v="1"/>
    <n v="0"/>
  </r>
  <r>
    <n v="49"/>
    <x v="81"/>
    <d v="1899-12-30T20:27:10"/>
    <d v="1899-12-30T20:37:08"/>
    <d v="1899-12-30T22:39:54"/>
    <s v="2 hr 2 min 43s"/>
    <s v="dua-unee-xss"/>
    <x v="33"/>
    <d v="1899-12-30T02:12:44"/>
    <d v="1899-12-30T02:11:32"/>
    <n v="1"/>
    <n v="0"/>
  </r>
  <r>
    <n v="50"/>
    <x v="76"/>
    <d v="1899-12-30T20:27:10"/>
    <d v="1899-12-30T20:29:54"/>
    <d v="1899-12-30T22:39:54"/>
    <s v="2 hr 9 min 54s"/>
    <s v="dua-unee-xss"/>
    <x v="33"/>
    <d v="1899-12-30T02:12:44"/>
    <d v="1899-12-30T02:11:31"/>
    <n v="1"/>
    <n v="0"/>
  </r>
  <r>
    <n v="51"/>
    <x v="36"/>
    <d v="1899-12-30T20:27:10"/>
    <d v="1899-12-30T20:37:08"/>
    <d v="1899-12-30T22:39:54"/>
    <s v="1 hr 59 min 23s"/>
    <s v="dua-unee-xss"/>
    <x v="33"/>
    <d v="1899-12-30T02:12:44"/>
    <d v="1899-12-30T02:11:31"/>
    <n v="1"/>
    <n v="0"/>
  </r>
  <r>
    <n v="52"/>
    <x v="69"/>
    <d v="1899-12-30T20:27:10"/>
    <d v="1899-12-30T20:37:08"/>
    <d v="1899-12-30T22:39:54"/>
    <s v="1 hr 59 min 23s"/>
    <s v="dua-unee-xss"/>
    <x v="33"/>
    <d v="1899-12-30T02:12:44"/>
    <d v="1899-12-30T02:11:30"/>
    <n v="1"/>
    <n v="0"/>
  </r>
  <r>
    <n v="53"/>
    <x v="67"/>
    <d v="1899-12-30T20:27:10"/>
    <d v="1899-12-30T20:37:08"/>
    <d v="1899-12-30T22:39:54"/>
    <s v="1 hr 59 min 23s"/>
    <s v="dua-unee-xss"/>
    <x v="33"/>
    <d v="1899-12-30T02:12:44"/>
    <d v="1899-12-30T02:11:29"/>
    <n v="1"/>
    <n v="0"/>
  </r>
  <r>
    <n v="1"/>
    <x v="1"/>
    <d v="1899-12-30T20:37:09"/>
    <d v="1899-12-30T20:37:10"/>
    <d v="1899-12-30T22:45:41"/>
    <s v="1 hr 49 min 8s"/>
    <s v="dua-unee-xss"/>
    <x v="34"/>
    <d v="1899-12-30T02:08:32"/>
    <d v="1899-12-30T02:11:29"/>
    <n v="1"/>
    <n v="0"/>
  </r>
  <r>
    <n v="2"/>
    <x v="2"/>
    <d v="1899-12-30T20:37:09"/>
    <d v="1899-12-30T22:43:37"/>
    <d v="1899-12-30T22:45:41"/>
    <s v="1 min 51s"/>
    <s v="dua-unee-xss"/>
    <x v="34"/>
    <d v="1899-12-30T02:08:32"/>
    <d v="1899-12-30T02:11:30"/>
    <n v="1"/>
    <n v="0"/>
  </r>
  <r>
    <n v="3"/>
    <x v="65"/>
    <d v="1899-12-30T20:37:09"/>
    <d v="1899-12-30T20:37:10"/>
    <d v="1899-12-30T22:45:41"/>
    <s v="1 hr 47 min 6s"/>
    <s v="dua-unee-xss"/>
    <x v="34"/>
    <d v="1899-12-30T02:08:32"/>
    <d v="1899-12-30T02:11:32"/>
    <n v="1"/>
    <n v="0"/>
  </r>
  <r>
    <n v="4"/>
    <x v="13"/>
    <d v="1899-12-30T20:37:09"/>
    <d v="1899-12-30T20:37:10"/>
    <d v="1899-12-30T22:45:41"/>
    <s v="1 hr 47 min 6s"/>
    <s v="dua-unee-xss"/>
    <x v="34"/>
    <d v="1899-12-30T02:08:32"/>
    <d v="1899-12-30T02:11:33"/>
    <n v="1"/>
    <n v="0"/>
  </r>
  <r>
    <n v="5"/>
    <x v="101"/>
    <d v="1899-12-30T20:37:09"/>
    <d v="1899-12-30T20:37:10"/>
    <d v="1899-12-30T22:45:41"/>
    <s v="1 hr 49 min 8s"/>
    <s v="dua-unee-xss"/>
    <x v="34"/>
    <d v="1899-12-30T02:08:32"/>
    <d v="1899-12-30T02:11:35"/>
    <n v="1"/>
    <n v="0"/>
  </r>
  <r>
    <n v="6"/>
    <x v="4"/>
    <d v="1899-12-30T20:37:09"/>
    <d v="1899-12-30T20:37:10"/>
    <d v="1899-12-30T22:45:41"/>
    <s v="1 hr 47 min 6s"/>
    <s v="dua-unee-xss"/>
    <x v="34"/>
    <d v="1899-12-30T02:08:32"/>
    <d v="1899-12-30T02:11:37"/>
    <n v="1"/>
    <n v="0"/>
  </r>
  <r>
    <n v="7"/>
    <x v="31"/>
    <d v="1899-12-30T20:37:09"/>
    <d v="1899-12-30T20:37:10"/>
    <d v="1899-12-30T22:45:41"/>
    <s v="1 hr 47 min 6s"/>
    <s v="dua-unee-xss"/>
    <x v="34"/>
    <d v="1899-12-30T02:08:32"/>
    <d v="1899-12-30T02:11:38"/>
    <n v="1"/>
    <n v="0"/>
  </r>
  <r>
    <n v="8"/>
    <x v="27"/>
    <d v="1899-12-30T20:37:09"/>
    <d v="1899-12-30T20:37:10"/>
    <d v="1899-12-30T22:45:41"/>
    <s v="1 hr 49 min 8s"/>
    <s v="dua-unee-xss"/>
    <x v="34"/>
    <d v="1899-12-30T02:08:32"/>
    <d v="1899-12-30T02:11:40"/>
    <n v="1"/>
    <n v="0"/>
  </r>
  <r>
    <n v="9"/>
    <x v="49"/>
    <d v="1899-12-30T20:37:09"/>
    <d v="1899-12-30T20:37:10"/>
    <d v="1899-12-30T22:45:41"/>
    <s v="1 hr 48 min 51s"/>
    <s v="dua-unee-xss"/>
    <x v="34"/>
    <d v="1899-12-30T02:08:32"/>
    <d v="1899-12-30T02:11:42"/>
    <n v="1"/>
    <n v="0"/>
  </r>
  <r>
    <n v="10"/>
    <x v="14"/>
    <d v="1899-12-30T20:37:09"/>
    <d v="1899-12-30T20:37:10"/>
    <d v="1899-12-30T22:45:41"/>
    <s v="1 hr 47 min 6s"/>
    <s v="dua-unee-xss"/>
    <x v="34"/>
    <d v="1899-12-30T02:08:32"/>
    <d v="1899-12-30T02:11:44"/>
    <n v="1"/>
    <n v="0"/>
  </r>
  <r>
    <n v="11"/>
    <x v="88"/>
    <d v="1899-12-30T20:37:09"/>
    <d v="1899-12-30T20:37:10"/>
    <d v="1899-12-30T22:45:41"/>
    <s v="1 hr 48 min 54s"/>
    <s v="dua-unee-xss"/>
    <x v="34"/>
    <d v="1899-12-30T02:08:32"/>
    <d v="1899-12-30T02:11:46"/>
    <n v="1"/>
    <n v="0"/>
  </r>
  <r>
    <n v="12"/>
    <x v="54"/>
    <d v="1899-12-30T20:37:09"/>
    <d v="1899-12-30T20:37:10"/>
    <d v="1899-12-30T22:45:41"/>
    <s v="1 hr 47 min 6s"/>
    <s v="dua-unee-xss"/>
    <x v="34"/>
    <d v="1899-12-30T02:08:32"/>
    <d v="1899-12-30T02:11:48"/>
    <n v="1"/>
    <n v="0"/>
  </r>
  <r>
    <n v="13"/>
    <x v="5"/>
    <d v="1899-12-30T20:37:09"/>
    <d v="1899-12-30T20:37:10"/>
    <d v="1899-12-30T22:45:41"/>
    <s v="1 hr 49 min 8s"/>
    <s v="dua-unee-xss"/>
    <x v="34"/>
    <d v="1899-12-30T02:08:32"/>
    <d v="1899-12-30T02:11:50"/>
    <n v="1"/>
    <n v="0"/>
  </r>
  <r>
    <n v="14"/>
    <x v="50"/>
    <d v="1899-12-30T20:37:09"/>
    <d v="1899-12-30T20:37:10"/>
    <d v="1899-12-30T22:45:41"/>
    <s v="1 hr 47 min 6s"/>
    <s v="dua-unee-xss"/>
    <x v="34"/>
    <d v="1899-12-30T02:08:32"/>
    <d v="1899-12-30T02:11:52"/>
    <n v="1"/>
    <n v="0"/>
  </r>
  <r>
    <n v="15"/>
    <x v="89"/>
    <d v="1899-12-30T20:37:09"/>
    <d v="1899-12-30T20:37:10"/>
    <d v="1899-12-30T22:45:41"/>
    <s v="1 hr 47 min 6s"/>
    <s v="dua-unee-xss"/>
    <x v="34"/>
    <d v="1899-12-30T02:08:32"/>
    <d v="1899-12-30T02:11:54"/>
    <n v="1"/>
    <n v="0"/>
  </r>
  <r>
    <n v="16"/>
    <x v="51"/>
    <d v="1899-12-30T20:37:09"/>
    <d v="1899-12-30T20:37:10"/>
    <d v="1899-12-30T22:45:41"/>
    <s v="1 hr 47 min 6s"/>
    <s v="dua-unee-xss"/>
    <x v="34"/>
    <d v="1899-12-30T02:08:32"/>
    <d v="1899-12-30T02:11:56"/>
    <n v="1"/>
    <n v="0"/>
  </r>
  <r>
    <n v="17"/>
    <x v="78"/>
    <d v="1899-12-30T20:37:09"/>
    <d v="1899-12-30T20:37:10"/>
    <d v="1899-12-30T22:45:41"/>
    <s v="1 hr 48 min 51s"/>
    <s v="dua-unee-xss"/>
    <x v="34"/>
    <d v="1899-12-30T02:08:32"/>
    <d v="1899-12-30T02:11:58"/>
    <n v="1"/>
    <n v="0"/>
  </r>
  <r>
    <n v="18"/>
    <x v="90"/>
    <d v="1899-12-30T20:37:09"/>
    <d v="1899-12-30T20:37:10"/>
    <d v="1899-12-30T22:45:41"/>
    <s v="1 hr 47 min 6s"/>
    <s v="dua-unee-xss"/>
    <x v="34"/>
    <d v="1899-12-30T02:08:32"/>
    <d v="1899-12-30T02:12:00"/>
    <n v="1"/>
    <n v="0"/>
  </r>
  <r>
    <n v="19"/>
    <x v="42"/>
    <d v="1899-12-30T20:37:09"/>
    <d v="1899-12-30T20:37:10"/>
    <d v="1899-12-30T22:45:41"/>
    <s v="1 hr 47 min 6s"/>
    <s v="dua-unee-xss"/>
    <x v="34"/>
    <d v="1899-12-30T02:08:32"/>
    <d v="1899-12-30T02:12:02"/>
    <n v="1"/>
    <n v="0"/>
  </r>
  <r>
    <n v="20"/>
    <x v="79"/>
    <d v="1899-12-30T20:37:09"/>
    <d v="1899-12-30T20:37:10"/>
    <d v="1899-12-30T22:45:41"/>
    <s v="1 hr 47 min 6s"/>
    <s v="dua-unee-xss"/>
    <x v="34"/>
    <d v="1899-12-30T02:08:32"/>
    <d v="1899-12-30T02:12:04"/>
    <n v="1"/>
    <n v="0"/>
  </r>
  <r>
    <n v="21"/>
    <x v="103"/>
    <d v="1899-12-30T20:37:09"/>
    <d v="1899-12-30T20:37:10"/>
    <d v="1899-12-30T22:45:41"/>
    <s v="1 hr 47 min 6s"/>
    <s v="dua-unee-xss"/>
    <x v="34"/>
    <d v="1899-12-30T02:08:32"/>
    <d v="1899-12-30T02:12:07"/>
    <n v="1"/>
    <n v="0"/>
  </r>
  <r>
    <n v="22"/>
    <x v="6"/>
    <d v="1899-12-30T20:37:09"/>
    <d v="1899-12-30T22:43:37"/>
    <d v="1899-12-30T22:45:41"/>
    <s v="1 min 45s"/>
    <s v="dua-unee-xss"/>
    <x v="34"/>
    <d v="1899-12-30T02:08:32"/>
    <d v="1899-12-30T02:12:09"/>
    <n v="1"/>
    <n v="0"/>
  </r>
  <r>
    <n v="23"/>
    <x v="17"/>
    <d v="1899-12-30T20:37:09"/>
    <d v="1899-12-30T20:37:10"/>
    <d v="1899-12-30T22:45:41"/>
    <s v="1 hr 48 min 57s"/>
    <s v="dua-unee-xss"/>
    <x v="34"/>
    <d v="1899-12-30T02:08:32"/>
    <d v="1899-12-30T02:12:11"/>
    <n v="1"/>
    <n v="0"/>
  </r>
  <r>
    <n v="24"/>
    <x v="85"/>
    <d v="1899-12-30T20:37:09"/>
    <d v="1899-12-30T20:37:10"/>
    <d v="1899-12-30T22:45:41"/>
    <s v="1 hr 49 min 8s"/>
    <s v="dua-unee-xss"/>
    <x v="34"/>
    <d v="1899-12-30T02:08:32"/>
    <d v="1899-12-30T02:12:14"/>
    <n v="1"/>
    <n v="0"/>
  </r>
  <r>
    <n v="25"/>
    <x v="43"/>
    <d v="1899-12-30T20:37:09"/>
    <d v="1899-12-30T20:37:10"/>
    <d v="1899-12-30T22:45:41"/>
    <s v="1 hr 47 min 6s"/>
    <s v="dua-unee-xss"/>
    <x v="34"/>
    <d v="1899-12-30T02:08:32"/>
    <d v="1899-12-30T02:12:16"/>
    <n v="1"/>
    <n v="0"/>
  </r>
  <r>
    <n v="26"/>
    <x v="7"/>
    <d v="1899-12-30T20:37:09"/>
    <d v="1899-12-30T20:37:10"/>
    <d v="1899-12-30T22:45:41"/>
    <s v="1 hr 47 min 6s"/>
    <s v="dua-unee-xss"/>
    <x v="34"/>
    <d v="1899-12-30T02:08:32"/>
    <d v="1899-12-30T02:12:19"/>
    <n v="1"/>
    <n v="0"/>
  </r>
  <r>
    <n v="27"/>
    <x v="18"/>
    <d v="1899-12-30T20:37:09"/>
    <d v="1899-12-30T20:37:10"/>
    <d v="1899-12-30T22:45:41"/>
    <s v="1 hr 47 min 6s"/>
    <s v="dua-unee-xss"/>
    <x v="34"/>
    <d v="1899-12-30T02:08:32"/>
    <d v="1899-12-30T02:12:21"/>
    <n v="1"/>
    <n v="0"/>
  </r>
  <r>
    <n v="28"/>
    <x v="104"/>
    <d v="1899-12-30T20:37:09"/>
    <d v="1899-12-30T22:43:37"/>
    <d v="1899-12-30T22:45:41"/>
    <s v="2 min 2s"/>
    <s v="dua-unee-xss"/>
    <x v="34"/>
    <d v="1899-12-30T02:08:32"/>
    <d v="1899-12-30T02:12:24"/>
    <n v="1"/>
    <n v="0"/>
  </r>
  <r>
    <n v="29"/>
    <x v="38"/>
    <d v="1899-12-30T20:37:09"/>
    <d v="1899-12-30T20:37:10"/>
    <d v="1899-12-30T22:45:41"/>
    <s v="1 hr 48 min 51s"/>
    <s v="dua-unee-xss"/>
    <x v="34"/>
    <d v="1899-12-30T02:08:32"/>
    <d v="1899-12-30T02:12:27"/>
    <n v="1"/>
    <n v="0"/>
  </r>
  <r>
    <n v="30"/>
    <x v="48"/>
    <d v="1899-12-30T20:37:09"/>
    <d v="1899-12-30T20:37:10"/>
    <d v="1899-12-30T22:45:41"/>
    <s v="1 hr 47 min 6s"/>
    <s v="dua-unee-xss"/>
    <x v="34"/>
    <d v="1899-12-30T02:08:32"/>
    <d v="1899-12-30T02:12:30"/>
    <n v="1"/>
    <n v="0"/>
  </r>
  <r>
    <n v="31"/>
    <x v="59"/>
    <d v="1899-12-30T20:37:09"/>
    <d v="1899-12-30T20:37:10"/>
    <d v="1899-12-30T22:45:41"/>
    <s v="1 hr 47 min 6s"/>
    <s v="dua-unee-xss"/>
    <x v="34"/>
    <d v="1899-12-30T02:08:32"/>
    <d v="1899-12-30T02:12:32"/>
    <n v="1"/>
    <n v="0"/>
  </r>
  <r>
    <n v="32"/>
    <x v="8"/>
    <d v="1899-12-30T20:37:09"/>
    <d v="1899-12-30T20:37:10"/>
    <d v="1899-12-30T22:45:41"/>
    <s v="1 hr 48 min 51s"/>
    <s v="dua-unee-xss"/>
    <x v="34"/>
    <d v="1899-12-30T02:08:32"/>
    <d v="1899-12-30T02:12:35"/>
    <n v="1"/>
    <n v="0"/>
  </r>
  <r>
    <n v="33"/>
    <x v="29"/>
    <d v="1899-12-30T20:37:09"/>
    <d v="1899-12-30T20:37:10"/>
    <d v="1899-12-30T22:45:41"/>
    <s v="1 hr 47 min 6s"/>
    <s v="dua-unee-xss"/>
    <x v="34"/>
    <d v="1899-12-30T02:08:32"/>
    <d v="1899-12-30T02:12:38"/>
    <n v="1"/>
    <n v="0"/>
  </r>
  <r>
    <n v="34"/>
    <x v="20"/>
    <d v="1899-12-30T20:37:09"/>
    <d v="1899-12-30T20:37:10"/>
    <d v="1899-12-30T22:45:41"/>
    <s v="1 hr 49 min 8s"/>
    <s v="dua-unee-xss"/>
    <x v="34"/>
    <d v="1899-12-30T02:08:32"/>
    <d v="1899-12-30T02:12:41"/>
    <n v="1"/>
    <n v="0"/>
  </r>
  <r>
    <n v="35"/>
    <x v="9"/>
    <d v="1899-12-30T20:37:09"/>
    <d v="1899-12-30T20:37:10"/>
    <d v="1899-12-30T22:45:41"/>
    <s v="1 hr 49 min 3s"/>
    <s v="dua-unee-xss"/>
    <x v="34"/>
    <d v="1899-12-30T02:08:32"/>
    <d v="1899-12-30T02:12:45"/>
    <n v="1"/>
    <n v="0"/>
  </r>
  <r>
    <n v="36"/>
    <x v="86"/>
    <d v="1899-12-30T20:37:09"/>
    <d v="1899-12-30T20:37:10"/>
    <d v="1899-12-30T22:45:41"/>
    <s v="1 hr 48 min 55s"/>
    <s v="dua-unee-xss"/>
    <x v="34"/>
    <d v="1899-12-30T02:08:32"/>
    <d v="1899-12-30T02:12:48"/>
    <n v="1"/>
    <n v="0"/>
  </r>
  <r>
    <n v="37"/>
    <x v="92"/>
    <d v="1899-12-30T20:37:09"/>
    <d v="1899-12-30T20:37:10"/>
    <d v="1899-12-30T22:45:41"/>
    <s v="1 hr 47 min 6s"/>
    <s v="dua-unee-xss"/>
    <x v="34"/>
    <d v="1899-12-30T02:08:32"/>
    <d v="1899-12-30T02:12:51"/>
    <n v="1"/>
    <n v="0"/>
  </r>
  <r>
    <n v="38"/>
    <x v="52"/>
    <d v="1899-12-30T20:37:09"/>
    <d v="1899-12-30T20:37:10"/>
    <d v="1899-12-30T22:45:41"/>
    <s v="1 hr 47 min 6s"/>
    <s v="dua-unee-xss"/>
    <x v="34"/>
    <d v="1899-12-30T02:08:32"/>
    <d v="1899-12-30T02:12:55"/>
    <n v="1"/>
    <n v="0"/>
  </r>
  <r>
    <n v="39"/>
    <x v="55"/>
    <d v="1899-12-30T20:37:09"/>
    <d v="1899-12-30T20:37:10"/>
    <d v="1899-12-30T22:45:41"/>
    <s v="1 hr 47 min 6s"/>
    <s v="dua-unee-xss"/>
    <x v="34"/>
    <d v="1899-12-30T02:08:32"/>
    <d v="1899-12-30T02:12:58"/>
    <n v="1"/>
    <n v="0"/>
  </r>
  <r>
    <n v="40"/>
    <x v="22"/>
    <d v="1899-12-30T20:37:09"/>
    <d v="1899-12-30T20:37:10"/>
    <d v="1899-12-30T22:45:41"/>
    <s v="1 hr 47 min 6s"/>
    <s v="dua-unee-xss"/>
    <x v="34"/>
    <d v="1899-12-30T02:08:32"/>
    <d v="1899-12-30T02:13:02"/>
    <n v="1"/>
    <n v="0"/>
  </r>
  <r>
    <n v="41"/>
    <x v="94"/>
    <d v="1899-12-30T20:37:09"/>
    <d v="1899-12-30T20:37:10"/>
    <d v="1899-12-30T22:45:41"/>
    <s v="1 hr 48 min 51s"/>
    <s v="dua-unee-xss"/>
    <x v="34"/>
    <d v="1899-12-30T02:08:32"/>
    <d v="1899-12-30T02:13:05"/>
    <n v="1"/>
    <n v="0"/>
  </r>
  <r>
    <n v="42"/>
    <x v="30"/>
    <d v="1899-12-30T20:37:09"/>
    <d v="1899-12-30T20:37:10"/>
    <d v="1899-12-30T22:45:41"/>
    <s v="1 hr 47 min 6s"/>
    <s v="dua-unee-xss"/>
    <x v="34"/>
    <d v="1899-12-30T02:08:32"/>
    <d v="1899-12-30T02:13:09"/>
    <n v="1"/>
    <n v="0"/>
  </r>
  <r>
    <n v="43"/>
    <x v="87"/>
    <d v="1899-12-30T20:37:09"/>
    <d v="1899-12-30T20:37:10"/>
    <d v="1899-12-30T22:45:41"/>
    <s v="1 hr 47 min 6s"/>
    <s v="dua-unee-xss"/>
    <x v="34"/>
    <d v="1899-12-30T02:08:32"/>
    <d v="1899-12-30T02:13:13"/>
    <n v="1"/>
    <n v="0"/>
  </r>
  <r>
    <n v="44"/>
    <x v="23"/>
    <d v="1899-12-30T20:37:09"/>
    <d v="1899-12-30T20:37:10"/>
    <d v="1899-12-30T22:45:41"/>
    <s v="1 hr 47 min 6s"/>
    <s v="dua-unee-xss"/>
    <x v="34"/>
    <d v="1899-12-30T02:08:32"/>
    <d v="1899-12-30T02:13:17"/>
    <n v="1"/>
    <n v="0"/>
  </r>
  <r>
    <n v="45"/>
    <x v="34"/>
    <d v="1899-12-30T20:37:09"/>
    <d v="1899-12-30T20:37:10"/>
    <d v="1899-12-30T22:45:41"/>
    <s v="1 hr 47 min 6s"/>
    <s v="dua-unee-xss"/>
    <x v="34"/>
    <d v="1899-12-30T02:08:32"/>
    <d v="1899-12-30T02:13:21"/>
    <n v="1"/>
    <n v="0"/>
  </r>
  <r>
    <n v="46"/>
    <x v="35"/>
    <d v="1899-12-30T20:37:09"/>
    <d v="1899-12-30T20:37:10"/>
    <d v="1899-12-30T22:45:41"/>
    <s v="1 hr 47 min 6s"/>
    <s v="dua-unee-xss"/>
    <x v="34"/>
    <d v="1899-12-30T02:08:32"/>
    <d v="1899-12-30T02:13:25"/>
    <n v="1"/>
    <n v="0"/>
  </r>
  <r>
    <n v="47"/>
    <x v="24"/>
    <d v="1899-12-30T20:37:09"/>
    <d v="1899-12-30T20:37:10"/>
    <d v="1899-12-30T22:45:41"/>
    <s v="1 hr 49 min 8s"/>
    <s v="dua-unee-xss"/>
    <x v="34"/>
    <d v="1899-12-30T02:08:32"/>
    <d v="1899-12-30T02:13:30"/>
    <n v="1"/>
    <n v="0"/>
  </r>
  <r>
    <n v="48"/>
    <x v="25"/>
    <d v="1899-12-30T20:37:09"/>
    <d v="1899-12-30T20:37:10"/>
    <d v="1899-12-30T22:45:41"/>
    <s v="1 hr 47 min 6s"/>
    <s v="dua-unee-xss"/>
    <x v="34"/>
    <d v="1899-12-30T02:08:32"/>
    <d v="1899-12-30T02:13:34"/>
    <n v="1"/>
    <n v="0"/>
  </r>
  <r>
    <n v="49"/>
    <x v="81"/>
    <d v="1899-12-30T20:37:09"/>
    <d v="1899-12-30T20:37:10"/>
    <d v="1899-12-30T22:45:41"/>
    <s v="1 hr 47 min 6s"/>
    <s v="dua-unee-xss"/>
    <x v="34"/>
    <d v="1899-12-30T02:08:32"/>
    <d v="1899-12-30T02:13:39"/>
    <n v="1"/>
    <n v="0"/>
  </r>
  <r>
    <n v="50"/>
    <x v="76"/>
    <d v="1899-12-30T20:37:09"/>
    <d v="1899-12-30T20:37:10"/>
    <d v="1899-12-30T22:45:41"/>
    <s v="1 hr 47 min 6s"/>
    <s v="dua-unee-xss"/>
    <x v="34"/>
    <d v="1899-12-30T02:08:32"/>
    <d v="1899-12-30T02:13:44"/>
    <n v="1"/>
    <n v="0"/>
  </r>
  <r>
    <n v="51"/>
    <x v="36"/>
    <d v="1899-12-30T20:37:09"/>
    <d v="1899-12-30T20:37:10"/>
    <d v="1899-12-30T22:45:41"/>
    <s v="1 hr 49 min 8s"/>
    <s v="dua-unee-xss"/>
    <x v="34"/>
    <d v="1899-12-30T02:08:32"/>
    <d v="1899-12-30T02:13:49"/>
    <n v="1"/>
    <n v="0"/>
  </r>
  <r>
    <n v="52"/>
    <x v="67"/>
    <d v="1899-12-30T20:37:09"/>
    <d v="1899-12-30T20:37:10"/>
    <d v="1899-12-30T22:45:41"/>
    <s v="1 hr 47 min 6s"/>
    <s v="dua-unee-xss"/>
    <x v="34"/>
    <d v="1899-12-30T02:08:32"/>
    <d v="1899-12-30T02:13:54"/>
    <n v="1"/>
    <n v="0"/>
  </r>
  <r>
    <n v="53"/>
    <x v="26"/>
    <d v="1899-12-30T20:37:09"/>
    <d v="1899-12-30T20:37:10"/>
    <d v="1899-12-30T22:45:41"/>
    <s v="1 hr 47 min 6s"/>
    <s v="dua-unee-xss"/>
    <x v="34"/>
    <d v="1899-12-30T02:08:32"/>
    <d v="1899-12-30T02:13:59"/>
    <n v="1"/>
    <n v="0"/>
  </r>
  <r>
    <n v="1"/>
    <x v="12"/>
    <d v="1899-12-30T20:29:31"/>
    <d v="1899-12-30T20:32:18"/>
    <d v="1899-12-30T22:23:06"/>
    <s v="1 hr 49 min 39s"/>
    <s v="dua-unee-xss"/>
    <x v="35"/>
    <d v="1899-12-30T01:53:35"/>
    <d v="1899-12-30T02:14:05"/>
    <n v="1"/>
    <n v="0"/>
  </r>
  <r>
    <n v="2"/>
    <x v="0"/>
    <d v="1899-12-30T00:00:00"/>
    <d v="1899-12-30T22:22:10"/>
    <d v="1899-12-30T22:23:06"/>
    <s v="0 min 56s"/>
    <s v="dua-unee-xss"/>
    <x v="35"/>
    <d v="1899-12-30T22:23:06"/>
    <d v="1899-12-30T02:14:25"/>
    <n v="1"/>
    <n v="0"/>
  </r>
  <r>
    <n v="3"/>
    <x v="2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4"/>
    <x v="65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"/>
    <x v="13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6"/>
    <x v="4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7"/>
    <x v="31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8"/>
    <x v="27"/>
    <d v="1899-12-30T20:29:31"/>
    <d v="1899-12-30T20:29:34"/>
    <d v="1899-12-30T22:23:06"/>
    <s v="1 hr 52 min 15s"/>
    <s v="dua-unee-xss"/>
    <x v="35"/>
    <d v="1899-12-30T01:53:35"/>
    <d v="1899-12-30T01:53:35"/>
    <n v="1"/>
    <n v="0"/>
  </r>
  <r>
    <n v="9"/>
    <x v="72"/>
    <d v="1899-12-30T20:29:31"/>
    <d v="1899-12-30T20:29:34"/>
    <d v="1899-12-30T22:23:06"/>
    <s v="1 hr 52 min 6s"/>
    <s v="dua-unee-xss"/>
    <x v="35"/>
    <d v="1899-12-30T01:53:35"/>
    <d v="1899-12-30T01:53:35"/>
    <n v="1"/>
    <n v="0"/>
  </r>
  <r>
    <n v="10"/>
    <x v="4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1"/>
    <x v="14"/>
    <d v="1899-12-30T20:29:31"/>
    <d v="1899-12-30T20:30:42"/>
    <d v="1899-12-30T22:23:06"/>
    <s v="1 hr 51 min 51s"/>
    <s v="dua-unee-xss"/>
    <x v="35"/>
    <d v="1899-12-30T01:53:35"/>
    <d v="1899-12-30T01:53:35"/>
    <n v="1"/>
    <n v="0"/>
  </r>
  <r>
    <n v="12"/>
    <x v="88"/>
    <d v="1899-12-30T20:29:31"/>
    <d v="1899-12-30T20:29:34"/>
    <d v="1899-12-30T22:23:06"/>
    <s v="1 hr 52 min 30s"/>
    <s v="dua-unee-xss"/>
    <x v="35"/>
    <d v="1899-12-30T01:53:35"/>
    <d v="1899-12-30T01:53:35"/>
    <n v="1"/>
    <n v="0"/>
  </r>
  <r>
    <n v="13"/>
    <x v="54"/>
    <d v="1899-12-30T20:29:31"/>
    <d v="1899-12-30T20:29:34"/>
    <d v="1899-12-30T22:23:06"/>
    <s v="1 hr 52 min 5s"/>
    <s v="dua-unee-xss"/>
    <x v="35"/>
    <d v="1899-12-30T01:53:35"/>
    <d v="1899-12-30T01:53:35"/>
    <n v="1"/>
    <n v="0"/>
  </r>
  <r>
    <n v="14"/>
    <x v="56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15"/>
    <x v="5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16"/>
    <x v="105"/>
    <d v="1899-12-30T20:29:31"/>
    <d v="1899-12-30T20:33:13"/>
    <d v="1899-12-30T22:23:06"/>
    <s v="1 min 37s"/>
    <s v="dua-unee-xss"/>
    <x v="35"/>
    <d v="1899-12-30T01:53:35"/>
    <d v="1899-12-30T01:53:35"/>
    <n v="1"/>
    <n v="0"/>
  </r>
  <r>
    <n v="17"/>
    <x v="50"/>
    <d v="1899-12-30T20:29:31"/>
    <d v="1899-12-30T20:31:36"/>
    <d v="1899-12-30T22:23:06"/>
    <s v="1 hr 24 min 56s"/>
    <s v="dua-unee-xss"/>
    <x v="35"/>
    <d v="1899-12-30T01:53:35"/>
    <d v="1899-12-30T01:53:35"/>
    <n v="1"/>
    <n v="0"/>
  </r>
  <r>
    <n v="18"/>
    <x v="89"/>
    <d v="1899-12-30T20:29:31"/>
    <d v="1899-12-30T20:31:29"/>
    <d v="1899-12-30T22:23:06"/>
    <s v="1 hr 50 min 16s"/>
    <s v="dua-unee-xss"/>
    <x v="35"/>
    <d v="1899-12-30T01:53:35"/>
    <d v="1899-12-30T01:53:35"/>
    <n v="1"/>
    <n v="0"/>
  </r>
  <r>
    <n v="19"/>
    <x v="51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20"/>
    <x v="106"/>
    <d v="1899-12-30T20:29:31"/>
    <d v="1899-12-30T20:58:44"/>
    <d v="1899-12-30T22:23:06"/>
    <s v="1 hr 23 min 21s"/>
    <s v="dua-unee-xss"/>
    <x v="35"/>
    <d v="1899-12-30T01:53:35"/>
    <d v="1899-12-30T01:53:35"/>
    <n v="1"/>
    <n v="0"/>
  </r>
  <r>
    <n v="21"/>
    <x v="78"/>
    <d v="1899-12-30T20:29:31"/>
    <d v="1899-12-30T20:32:39"/>
    <d v="1899-12-30T22:23:06"/>
    <s v="1 hr 49 min 14s"/>
    <s v="dua-unee-xss"/>
    <x v="35"/>
    <d v="1899-12-30T01:53:35"/>
    <d v="1899-12-30T01:53:35"/>
    <n v="1"/>
    <n v="0"/>
  </r>
  <r>
    <n v="22"/>
    <x v="90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3"/>
    <x v="42"/>
    <d v="1899-12-30T20:29:31"/>
    <d v="1899-12-30T20:30:12"/>
    <d v="1899-12-30T22:23:06"/>
    <s v="1 hr 51 min 25s"/>
    <s v="dua-unee-xss"/>
    <x v="35"/>
    <d v="1899-12-30T01:53:35"/>
    <d v="1899-12-30T01:53:35"/>
    <n v="1"/>
    <n v="0"/>
  </r>
  <r>
    <n v="24"/>
    <x v="7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25"/>
    <x v="6"/>
    <d v="1899-12-30T20:29:31"/>
    <d v="1899-12-30T20:29:34"/>
    <d v="1899-12-30T22:23:06"/>
    <s v="1 hr 52 min 22s"/>
    <s v="dua-unee-xss"/>
    <x v="35"/>
    <d v="1899-12-30T01:53:35"/>
    <d v="1899-12-30T01:53:35"/>
    <n v="1"/>
    <n v="0"/>
  </r>
  <r>
    <n v="26"/>
    <x v="17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27"/>
    <x v="85"/>
    <d v="1899-12-30T20:29:31"/>
    <d v="1899-12-30T20:32:42"/>
    <d v="1899-12-30T22:23:06"/>
    <s v="1 hr 49 min 11s"/>
    <s v="dua-unee-xss"/>
    <x v="35"/>
    <d v="1899-12-30T01:53:35"/>
    <d v="1899-12-30T01:53:35"/>
    <n v="1"/>
    <n v="0"/>
  </r>
  <r>
    <n v="28"/>
    <x v="43"/>
    <d v="1899-12-30T20:29:31"/>
    <d v="1899-12-30T20:33:27"/>
    <d v="1899-12-30T22:23:06"/>
    <s v="1 hr 49 min 6s"/>
    <s v="dua-unee-xss"/>
    <x v="35"/>
    <d v="1899-12-30T01:53:35"/>
    <d v="1899-12-30T01:53:35"/>
    <n v="1"/>
    <n v="0"/>
  </r>
  <r>
    <n v="29"/>
    <x v="9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0"/>
    <x v="7"/>
    <d v="1899-12-30T20:29:31"/>
    <d v="1899-12-30T20:33:37"/>
    <d v="1899-12-30T22:23:06"/>
    <s v="1 hr 48 min 16s"/>
    <s v="dua-unee-xss"/>
    <x v="35"/>
    <d v="1899-12-30T01:53:35"/>
    <d v="1899-12-30T01:53:35"/>
    <n v="1"/>
    <n v="0"/>
  </r>
  <r>
    <n v="31"/>
    <x v="1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2"/>
    <x v="48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3"/>
    <x v="74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34"/>
    <x v="5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5"/>
    <x v="8"/>
    <d v="1899-12-30T20:29:31"/>
    <d v="1899-12-30T20:33:13"/>
    <d v="1899-12-30T22:23:06"/>
    <s v="1 hr 49 min 7s"/>
    <s v="dua-unee-xss"/>
    <x v="35"/>
    <d v="1899-12-30T01:53:35"/>
    <d v="1899-12-30T01:53:35"/>
    <n v="1"/>
    <n v="0"/>
  </r>
  <r>
    <n v="36"/>
    <x v="29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37"/>
    <x v="20"/>
    <d v="1899-12-30T20:29:31"/>
    <d v="1899-12-30T20:29:34"/>
    <d v="1899-12-30T22:23:06"/>
    <s v="1 hr 52 min 13s"/>
    <s v="dua-unee-xss"/>
    <x v="35"/>
    <d v="1899-12-30T01:53:35"/>
    <d v="1899-12-30T01:53:35"/>
    <n v="1"/>
    <n v="0"/>
  </r>
  <r>
    <n v="38"/>
    <x v="39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39"/>
    <x v="9"/>
    <d v="1899-12-30T20:29:31"/>
    <d v="1899-12-30T22:22:10"/>
    <d v="1899-12-30T22:23:06"/>
    <s v="0 min 3s"/>
    <s v="dua-unee-xss"/>
    <x v="35"/>
    <d v="1899-12-30T01:53:35"/>
    <d v="1899-12-30T01:53:35"/>
    <n v="1"/>
    <n v="0"/>
  </r>
  <r>
    <n v="40"/>
    <x v="64"/>
    <d v="1899-12-30T20:29:31"/>
    <d v="1899-12-30T20:58:44"/>
    <d v="1899-12-30T22:23:06"/>
    <s v="1 hr 24 min 14s"/>
    <s v="dua-unee-xss"/>
    <x v="35"/>
    <d v="1899-12-30T01:53:35"/>
    <d v="1899-12-30T01:53:35"/>
    <n v="1"/>
    <n v="0"/>
  </r>
  <r>
    <n v="41"/>
    <x v="60"/>
    <d v="1899-12-30T20:29:31"/>
    <d v="1899-12-30T22:22:10"/>
    <d v="1899-12-30T22:23:06"/>
    <s v="0 min 2s"/>
    <s v="dua-unee-xss"/>
    <x v="35"/>
    <d v="1899-12-30T01:53:35"/>
    <d v="1899-12-30T01:53:35"/>
    <n v="1"/>
    <n v="0"/>
  </r>
  <r>
    <n v="42"/>
    <x v="92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3"/>
    <x v="52"/>
    <d v="1899-12-30T20:29:31"/>
    <d v="1899-12-30T20:34:50"/>
    <d v="1899-12-30T22:23:06"/>
    <s v="1 hr 48 min 0s"/>
    <s v="dua-unee-xss"/>
    <x v="35"/>
    <d v="1899-12-30T01:53:35"/>
    <d v="1899-12-30T01:53:35"/>
    <n v="1"/>
    <n v="0"/>
  </r>
  <r>
    <n v="44"/>
    <x v="22"/>
    <d v="1899-12-30T20:29:31"/>
    <d v="1899-12-30T20:29:34"/>
    <d v="1899-12-30T22:23:06"/>
    <s v="1 hr 52 min 16s"/>
    <s v="dua-unee-xss"/>
    <x v="35"/>
    <d v="1899-12-30T01:53:35"/>
    <d v="1899-12-30T01:53:35"/>
    <n v="1"/>
    <n v="0"/>
  </r>
  <r>
    <n v="45"/>
    <x v="94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6"/>
    <x v="30"/>
    <d v="1899-12-30T20:29:31"/>
    <d v="1899-12-30T20:29:34"/>
    <d v="1899-12-30T22:23:06"/>
    <s v="1 hr 52 min 7s"/>
    <s v="dua-unee-xss"/>
    <x v="35"/>
    <d v="1899-12-30T01:53:35"/>
    <d v="1899-12-30T01:53:35"/>
    <n v="1"/>
    <n v="0"/>
  </r>
  <r>
    <n v="47"/>
    <x v="87"/>
    <d v="1899-12-30T20:29:31"/>
    <d v="1899-12-30T20:34:50"/>
    <d v="1899-12-30T22:23:06"/>
    <s v="1 hr 47 min 4s"/>
    <s v="dua-unee-xss"/>
    <x v="35"/>
    <d v="1899-12-30T01:53:35"/>
    <d v="1899-12-30T01:53:35"/>
    <n v="1"/>
    <n v="0"/>
  </r>
  <r>
    <n v="48"/>
    <x v="23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49"/>
    <x v="34"/>
    <d v="1899-12-30T20:29:31"/>
    <d v="1899-12-30T20:33:15"/>
    <d v="1899-12-30T22:23:06"/>
    <s v="1 hr 49 min 35s"/>
    <s v="dua-unee-xss"/>
    <x v="35"/>
    <d v="1899-12-30T01:53:35"/>
    <d v="1899-12-30T01:53:35"/>
    <n v="1"/>
    <n v="0"/>
  </r>
  <r>
    <n v="50"/>
    <x v="107"/>
    <d v="1899-12-30T20:29:31"/>
    <d v="1899-12-30T20:30:01"/>
    <d v="1899-12-30T22:23:06"/>
    <s v="1 hr 51 min 56s"/>
    <s v="dua-unee-xss"/>
    <x v="35"/>
    <d v="1899-12-30T01:53:35"/>
    <d v="1899-12-30T01:53:35"/>
    <n v="1"/>
    <n v="0"/>
  </r>
  <r>
    <n v="51"/>
    <x v="35"/>
    <d v="1899-12-30T20:29:31"/>
    <d v="1899-12-30T20:29:34"/>
    <d v="1899-12-30T22:23:06"/>
    <s v="1 hr 52 min 59s"/>
    <s v="dua-unee-xss"/>
    <x v="35"/>
    <d v="1899-12-30T01:53:35"/>
    <d v="1899-12-30T01:53:35"/>
    <n v="1"/>
    <n v="0"/>
  </r>
  <r>
    <n v="52"/>
    <x v="24"/>
    <d v="1899-12-30T20:29:31"/>
    <d v="1899-12-30T20:29:34"/>
    <d v="1899-12-30T22:23:06"/>
    <s v="1 hr 52 min 3s"/>
    <s v="dua-unee-xss"/>
    <x v="35"/>
    <d v="1899-12-30T01:53:35"/>
    <d v="1899-12-30T01:53:35"/>
    <n v="1"/>
    <n v="0"/>
  </r>
  <r>
    <n v="53"/>
    <x v="62"/>
    <d v="1899-12-30T20:29:31"/>
    <d v="1899-12-30T20:29:42"/>
    <d v="1899-12-30T22:23:06"/>
    <s v="1 hr 52 min 20s"/>
    <s v="dua-unee-xss"/>
    <x v="35"/>
    <d v="1899-12-30T01:53:35"/>
    <d v="1899-12-30T01:53:35"/>
    <n v="1"/>
    <n v="0"/>
  </r>
  <r>
    <n v="54"/>
    <x v="25"/>
    <d v="1899-12-30T20:29:31"/>
    <d v="1899-12-30T20:30:22"/>
    <d v="1899-12-30T22:23:06"/>
    <s v="1 hr 51 min 17s"/>
    <s v="dua-unee-xss"/>
    <x v="35"/>
    <d v="1899-12-30T01:53:35"/>
    <d v="1899-12-30T01:53:35"/>
    <n v="1"/>
    <n v="0"/>
  </r>
  <r>
    <n v="55"/>
    <x v="81"/>
    <d v="1899-12-30T20:29:31"/>
    <d v="1899-12-30T20:34:53"/>
    <d v="1899-12-30T22:23:06"/>
    <s v="1 hr 47 min 58s"/>
    <s v="dua-unee-xss"/>
    <x v="35"/>
    <d v="1899-12-30T01:53:35"/>
    <d v="1899-12-30T01:53:35"/>
    <n v="1"/>
    <n v="0"/>
  </r>
  <r>
    <n v="56"/>
    <x v="76"/>
    <d v="1899-12-30T20:29:31"/>
    <d v="1899-12-30T20:58:44"/>
    <d v="1899-12-30T22:23:06"/>
    <s v="1 hr 23 min 18s"/>
    <s v="dua-unee-xss"/>
    <x v="35"/>
    <d v="1899-12-30T01:53:35"/>
    <d v="1899-12-30T01:53:35"/>
    <n v="1"/>
    <n v="0"/>
  </r>
  <r>
    <n v="57"/>
    <x v="36"/>
    <d v="1899-12-30T20:29:31"/>
    <d v="1899-12-30T20:58:44"/>
    <d v="1899-12-30T22:23:06"/>
    <s v="1 hr 23 min 24s"/>
    <s v="dua-unee-xss"/>
    <x v="35"/>
    <d v="1899-12-30T01:53:35"/>
    <d v="1899-12-30T01:53:35"/>
    <n v="1"/>
    <n v="0"/>
  </r>
  <r>
    <n v="58"/>
    <x v="69"/>
    <d v="1899-12-30T20:29:31"/>
    <d v="1899-12-30T22:22:10"/>
    <d v="1899-12-30T22:23:06"/>
    <s v="0 min 53s"/>
    <s v="dua-unee-xss"/>
    <x v="35"/>
    <d v="1899-12-30T01:53:35"/>
    <d v="1899-12-30T01:53:35"/>
    <n v="1"/>
    <n v="0"/>
  </r>
  <r>
    <n v="59"/>
    <x v="67"/>
    <d v="1899-12-30T20:29:31"/>
    <d v="1899-12-30T20:33:34"/>
    <d v="1899-12-30T22:23:06"/>
    <s v="25 min 1s"/>
    <s v="dua-unee-xss"/>
    <x v="35"/>
    <d v="1899-12-30T01:53:35"/>
    <d v="1899-12-30T01:53:35"/>
    <n v="1"/>
    <n v="0"/>
  </r>
  <r>
    <n v="60"/>
    <x v="26"/>
    <d v="1899-12-30T20:29:31"/>
    <d v="1899-12-30T20:29:34"/>
    <d v="1899-12-30T22:23:06"/>
    <s v="1 hr 52 min 3s"/>
    <s v="dua-unee-xss"/>
    <x v="35"/>
    <d v="1899-12-30T01:53:35"/>
    <d v="1899-12-30T01:53:35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D5C39-3E98-4F81-B957-87827D8E2ED2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337:E374" firstHeaderRow="1" firstDataRow="1" firstDataCol="1"/>
  <pivotFields count="12">
    <pivotField showAll="0"/>
    <pivotField showAll="0"/>
    <pivotField numFmtId="19" showAll="0"/>
    <pivotField numFmtId="19" showAll="0"/>
    <pivotField numFmtId="19" showAll="0"/>
    <pivotField showAll="0"/>
    <pivotField showAll="0"/>
    <pivotField axis="axisRow" dataField="1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6" showAll="0"/>
    <pivotField numFmtId="46" showAll="0"/>
    <pivotField showAll="0"/>
    <pivotField showAll="0"/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DAYS" fld="7" subtotal="count" baseField="7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14800-267F-4A8F-8B5D-DF600068475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7:B446" firstHeaderRow="1" firstDataRow="1" firstDataCol="1"/>
  <pivotFields count="12">
    <pivotField showAll="0"/>
    <pivotField axis="axisRow" showAll="0">
      <items count="109">
        <item x="12"/>
        <item x="0"/>
        <item x="1"/>
        <item x="2"/>
        <item x="65"/>
        <item x="3"/>
        <item x="13"/>
        <item x="101"/>
        <item x="96"/>
        <item x="71"/>
        <item x="4"/>
        <item x="31"/>
        <item x="75"/>
        <item x="27"/>
        <item x="37"/>
        <item x="72"/>
        <item x="77"/>
        <item x="41"/>
        <item x="49"/>
        <item x="70"/>
        <item x="14"/>
        <item x="88"/>
        <item x="97"/>
        <item x="54"/>
        <item x="56"/>
        <item x="15"/>
        <item x="5"/>
        <item x="16"/>
        <item x="105"/>
        <item x="50"/>
        <item x="89"/>
        <item x="51"/>
        <item x="106"/>
        <item x="100"/>
        <item x="78"/>
        <item x="84"/>
        <item x="90"/>
        <item x="42"/>
        <item x="79"/>
        <item x="103"/>
        <item x="68"/>
        <item x="6"/>
        <item x="17"/>
        <item x="63"/>
        <item x="85"/>
        <item x="43"/>
        <item x="73"/>
        <item x="28"/>
        <item x="58"/>
        <item x="98"/>
        <item x="7"/>
        <item x="91"/>
        <item x="18"/>
        <item x="57"/>
        <item x="44"/>
        <item x="19"/>
        <item x="104"/>
        <item x="38"/>
        <item x="48"/>
        <item x="74"/>
        <item x="59"/>
        <item x="8"/>
        <item x="29"/>
        <item x="80"/>
        <item x="20"/>
        <item x="99"/>
        <item x="39"/>
        <item x="9"/>
        <item x="86"/>
        <item x="21"/>
        <item x="32"/>
        <item x="64"/>
        <item x="60"/>
        <item x="45"/>
        <item x="53"/>
        <item x="10"/>
        <item x="92"/>
        <item x="52"/>
        <item x="55"/>
        <item x="22"/>
        <item x="94"/>
        <item x="30"/>
        <item x="82"/>
        <item x="87"/>
        <item x="66"/>
        <item x="23"/>
        <item x="33"/>
        <item x="34"/>
        <item x="107"/>
        <item x="61"/>
        <item x="93"/>
        <item x="35"/>
        <item x="46"/>
        <item x="40"/>
        <item x="24"/>
        <item x="102"/>
        <item x="62"/>
        <item x="25"/>
        <item x="81"/>
        <item x="76"/>
        <item x="95"/>
        <item x="83"/>
        <item x="36"/>
        <item x="47"/>
        <item x="69"/>
        <item x="67"/>
        <item x="11"/>
        <item x="26"/>
        <item t="default"/>
      </items>
    </pivotField>
    <pivotField numFmtId="19" showAll="0"/>
    <pivotField numFmtId="19" showAll="0"/>
    <pivotField numFmtId="19" showAll="0"/>
    <pivotField showAll="0"/>
    <pivotField showAll="0"/>
    <pivotField dataField="1" showAll="0"/>
    <pivotField numFmtId="46" showAll="0"/>
    <pivotField numFmtId="46" showAll="0"/>
    <pivotField showAll="0"/>
    <pivotField showAll="0"/>
  </pivotFields>
  <rowFields count="1">
    <field x="1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Count of DAYS" fld="7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1AF78-BA29-4577-97C7-45EC8A12B69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N227:O264" firstHeaderRow="1" firstDataRow="1" firstDataCol="1"/>
  <pivotFields count="12">
    <pivotField showAll="0"/>
    <pivotField dataField="1" showAll="0"/>
    <pivotField numFmtId="19" showAll="0"/>
    <pivotField numFmtId="19" showAll="0"/>
    <pivotField numFmtId="19" showAll="0"/>
    <pivotField showAll="0"/>
    <pivotField showAll="0"/>
    <pivotField axis="axisRow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6" showAll="0"/>
    <pivotField numFmtId="46" showAll="0"/>
    <pivotField showAll="0"/>
    <pivotField showAll="0"/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Participant Name" fld="1" subtotal="count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A5B1E-2B94-4276-89CD-16E7BA69B407}" name="Table1" displayName="Table1" ref="A1:K1364" totalsRowShown="0">
  <tableColumns count="11">
    <tableColumn id="1" xr3:uid="{BE34CE8D-2629-4C65-BF21-FA74DFEE6C4D}" name="SNo"/>
    <tableColumn id="2" xr3:uid="{7C7E0091-E6B6-4E15-B035-924D4C8C63AD}" name="Participant Name"/>
    <tableColumn id="3" xr3:uid="{8457A9F1-D5AC-4D76-88CE-FDC062FDB3B0}" name="AttendanceStartedat" dataDxfId="6"/>
    <tableColumn id="4" xr3:uid="{6BE662CB-8116-4E04-9BD7-416758764B52}" name="Joinedat(beta)" dataDxfId="5"/>
    <tableColumn id="5" xr3:uid="{9F9FCFF4-81E2-4B26-BE0B-8425F147320F}" name="Attendance Stoppedat" dataDxfId="4"/>
    <tableColumn id="6" xr3:uid="{EC09D747-DE93-4AE2-983E-D6B3B9F1F832}" name="Attended Duration"/>
    <tableColumn id="7" xr3:uid="{76F165CB-8A57-48FC-A2D8-F2C7E95EEEAD}" name="Meeting code"/>
    <tableColumn id="8" xr3:uid="{F3DFE871-08AA-48C7-8762-889D12417592}" name="DAYS"/>
    <tableColumn id="9" xr3:uid="{382C2BE8-A95F-4BC2-9067-B5BBCF18F16B}" name="DURATION" dataDxfId="3"/>
    <tableColumn id="11" xr3:uid="{A506D55B-8DE4-4536-BA4F-1B6E3318114E}" name="START SESSIONS">
      <calculatedColumnFormula>IF(AND(H2&gt;=1,H2&lt;=7),1,0)</calculatedColumnFormula>
    </tableColumn>
    <tableColumn id="12" xr3:uid="{DB713BC7-B458-4200-AA3B-9EF8AC5B58B5}" name="END SESSIONS">
      <calculatedColumnFormula>IF(AND(H2&gt;=30,H2&lt;=36),1,0)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7"/>
  <sheetViews>
    <sheetView topLeftCell="A2" zoomScale="96" zoomScaleNormal="10" workbookViewId="0">
      <selection activeCell="D10" sqref="A2:K1364"/>
    </sheetView>
  </sheetViews>
  <sheetFormatPr defaultRowHeight="15" x14ac:dyDescent="0.25"/>
  <cols>
    <col min="2" max="2" width="21.7109375" customWidth="1"/>
    <col min="3" max="3" width="22.85546875" customWidth="1"/>
    <col min="4" max="4" width="23.5703125" style="23" customWidth="1"/>
    <col min="5" max="5" width="23.42578125" style="23" customWidth="1"/>
    <col min="6" max="6" width="18.5703125" customWidth="1"/>
    <col min="7" max="7" width="15.140625" customWidth="1"/>
    <col min="9" max="9" width="12.28515625" style="24" customWidth="1"/>
    <col min="10" max="10" width="18" customWidth="1"/>
    <col min="11" max="11" width="16.42578125" customWidth="1"/>
  </cols>
  <sheetData>
    <row r="1" spans="1:11" x14ac:dyDescent="0.25">
      <c r="A1" t="s">
        <v>0</v>
      </c>
      <c r="B1" t="s">
        <v>1</v>
      </c>
      <c r="C1" s="4" t="s">
        <v>798</v>
      </c>
      <c r="D1" s="23" t="s">
        <v>799</v>
      </c>
      <c r="E1" s="23" t="s">
        <v>800</v>
      </c>
      <c r="F1" t="s">
        <v>2</v>
      </c>
      <c r="G1" t="s">
        <v>3</v>
      </c>
      <c r="H1" t="s">
        <v>718</v>
      </c>
      <c r="I1" s="24" t="s">
        <v>4</v>
      </c>
      <c r="J1" t="s">
        <v>744</v>
      </c>
      <c r="K1" t="s">
        <v>743</v>
      </c>
    </row>
    <row r="2" spans="1:11" x14ac:dyDescent="0.25">
      <c r="A2">
        <v>1</v>
      </c>
      <c r="B2" t="s">
        <v>5</v>
      </c>
      <c r="C2" s="4">
        <v>0.85984953703703704</v>
      </c>
      <c r="D2" s="23">
        <v>0.93263888888888891</v>
      </c>
      <c r="E2" s="23">
        <v>0.95210648148148147</v>
      </c>
      <c r="F2" t="s">
        <v>6</v>
      </c>
      <c r="G2" t="s">
        <v>7</v>
      </c>
      <c r="H2">
        <v>36</v>
      </c>
      <c r="I2" s="24">
        <v>9.2256944444444544E-2</v>
      </c>
      <c r="J2">
        <f t="shared" ref="J2:J62" si="0">IF(AND(H2&gt;=1,H2&lt;=7),1,0)</f>
        <v>0</v>
      </c>
      <c r="K2">
        <f t="shared" ref="K2:K62" si="1">IF(AND(H2&gt;=30,H2&lt;=36),1,0)</f>
        <v>1</v>
      </c>
    </row>
    <row r="3" spans="1:11" x14ac:dyDescent="0.25">
      <c r="A3">
        <v>2</v>
      </c>
      <c r="B3" t="s">
        <v>9</v>
      </c>
      <c r="C3" s="4">
        <v>0.85984953703703704</v>
      </c>
      <c r="D3" s="23">
        <v>0.85988425925925926</v>
      </c>
      <c r="E3" s="23">
        <v>0.95210648148148147</v>
      </c>
      <c r="F3" t="s">
        <v>10</v>
      </c>
      <c r="G3" t="s">
        <v>7</v>
      </c>
      <c r="H3">
        <v>36</v>
      </c>
      <c r="I3" s="24">
        <v>9.2256944444444544E-2</v>
      </c>
      <c r="J3">
        <f t="shared" si="0"/>
        <v>0</v>
      </c>
      <c r="K3">
        <f t="shared" si="1"/>
        <v>1</v>
      </c>
    </row>
    <row r="4" spans="1:11" x14ac:dyDescent="0.25">
      <c r="A4">
        <v>3</v>
      </c>
      <c r="B4" t="s">
        <v>11</v>
      </c>
      <c r="C4" s="4">
        <v>0.85984953703703704</v>
      </c>
      <c r="D4" s="23">
        <v>0.85988425925925926</v>
      </c>
      <c r="E4" s="23">
        <v>0.95210648148148147</v>
      </c>
      <c r="F4" t="s">
        <v>12</v>
      </c>
      <c r="G4" t="s">
        <v>7</v>
      </c>
      <c r="H4">
        <v>36</v>
      </c>
      <c r="I4" s="24">
        <v>9.2256944444444544E-2</v>
      </c>
      <c r="J4">
        <f t="shared" si="0"/>
        <v>0</v>
      </c>
      <c r="K4">
        <f t="shared" si="1"/>
        <v>1</v>
      </c>
    </row>
    <row r="5" spans="1:11" x14ac:dyDescent="0.25">
      <c r="A5">
        <v>4</v>
      </c>
      <c r="B5" t="s">
        <v>13</v>
      </c>
      <c r="C5" s="4">
        <v>0.85984953703703704</v>
      </c>
      <c r="D5" s="23">
        <v>0.93263888888888891</v>
      </c>
      <c r="E5" s="23">
        <v>0.95210648148148147</v>
      </c>
      <c r="F5" t="s">
        <v>14</v>
      </c>
      <c r="G5" t="s">
        <v>7</v>
      </c>
      <c r="H5">
        <v>36</v>
      </c>
      <c r="I5" s="24">
        <v>9.2256944444444544E-2</v>
      </c>
      <c r="J5">
        <f t="shared" si="0"/>
        <v>0</v>
      </c>
      <c r="K5">
        <f t="shared" si="1"/>
        <v>1</v>
      </c>
    </row>
    <row r="6" spans="1:11" x14ac:dyDescent="0.25">
      <c r="A6">
        <v>6</v>
      </c>
      <c r="B6" t="s">
        <v>16</v>
      </c>
      <c r="C6" s="4">
        <v>0.85984953703703704</v>
      </c>
      <c r="D6" s="23">
        <v>0.85988425925925926</v>
      </c>
      <c r="E6" s="23">
        <v>0.95210648148148147</v>
      </c>
      <c r="F6" t="s">
        <v>17</v>
      </c>
      <c r="G6" t="s">
        <v>7</v>
      </c>
      <c r="H6">
        <v>36</v>
      </c>
      <c r="I6" s="24">
        <v>9.2256944444444544E-2</v>
      </c>
      <c r="J6">
        <f t="shared" si="0"/>
        <v>0</v>
      </c>
      <c r="K6">
        <f t="shared" si="1"/>
        <v>1</v>
      </c>
    </row>
    <row r="7" spans="1:11" x14ac:dyDescent="0.25">
      <c r="A7">
        <v>7</v>
      </c>
      <c r="B7" t="s">
        <v>18</v>
      </c>
      <c r="C7" s="4">
        <v>0.85984953703703704</v>
      </c>
      <c r="D7" s="23">
        <v>0.85988425925925926</v>
      </c>
      <c r="E7" s="23">
        <v>0.95210648148148147</v>
      </c>
      <c r="F7" t="s">
        <v>19</v>
      </c>
      <c r="G7" t="s">
        <v>7</v>
      </c>
      <c r="H7">
        <v>36</v>
      </c>
      <c r="I7" s="24">
        <v>9.2256944444444544E-2</v>
      </c>
      <c r="J7">
        <f t="shared" si="0"/>
        <v>0</v>
      </c>
      <c r="K7">
        <f t="shared" si="1"/>
        <v>1</v>
      </c>
    </row>
    <row r="8" spans="1:11" x14ac:dyDescent="0.25">
      <c r="A8">
        <v>8</v>
      </c>
      <c r="B8" t="s">
        <v>20</v>
      </c>
      <c r="C8" s="4">
        <v>0.85984953703703704</v>
      </c>
      <c r="D8" s="23">
        <v>0.85988425925925926</v>
      </c>
      <c r="E8" s="23">
        <v>0.95210648148148147</v>
      </c>
      <c r="F8" t="s">
        <v>21</v>
      </c>
      <c r="G8" t="s">
        <v>7</v>
      </c>
      <c r="H8">
        <v>36</v>
      </c>
      <c r="I8" s="24">
        <v>9.2256944444444544E-2</v>
      </c>
      <c r="J8">
        <f t="shared" si="0"/>
        <v>0</v>
      </c>
      <c r="K8">
        <f t="shared" si="1"/>
        <v>1</v>
      </c>
    </row>
    <row r="9" spans="1:11" x14ac:dyDescent="0.25">
      <c r="A9">
        <v>9</v>
      </c>
      <c r="B9" t="s">
        <v>22</v>
      </c>
      <c r="C9" s="4">
        <v>0.85984953703703704</v>
      </c>
      <c r="D9" s="23">
        <v>0.85988425925925926</v>
      </c>
      <c r="E9" s="23">
        <v>0.95210648148148147</v>
      </c>
      <c r="F9" t="s">
        <v>17</v>
      </c>
      <c r="G9" t="s">
        <v>7</v>
      </c>
      <c r="H9">
        <v>36</v>
      </c>
      <c r="I9" s="24">
        <v>9.2256944444444544E-2</v>
      </c>
      <c r="J9">
        <f t="shared" si="0"/>
        <v>0</v>
      </c>
      <c r="K9">
        <f t="shared" si="1"/>
        <v>1</v>
      </c>
    </row>
    <row r="10" spans="1:11" x14ac:dyDescent="0.25">
      <c r="A10">
        <v>10</v>
      </c>
      <c r="B10" t="s">
        <v>23</v>
      </c>
      <c r="C10" s="4">
        <v>0.85984953703703704</v>
      </c>
      <c r="D10" s="23">
        <v>0.85988425925925926</v>
      </c>
      <c r="E10" s="23">
        <v>0.95210648148148147</v>
      </c>
      <c r="F10" t="s">
        <v>24</v>
      </c>
      <c r="G10" t="s">
        <v>7</v>
      </c>
      <c r="H10">
        <v>36</v>
      </c>
      <c r="I10" s="24">
        <v>9.2256944444444544E-2</v>
      </c>
      <c r="J10">
        <f t="shared" si="0"/>
        <v>0</v>
      </c>
      <c r="K10">
        <f t="shared" si="1"/>
        <v>1</v>
      </c>
    </row>
    <row r="11" spans="1:11" x14ac:dyDescent="0.25">
      <c r="A11">
        <v>11</v>
      </c>
      <c r="B11" t="s">
        <v>25</v>
      </c>
      <c r="C11" s="4">
        <v>0.85984953703703704</v>
      </c>
      <c r="D11" s="23">
        <v>0.93263888888888891</v>
      </c>
      <c r="E11" s="23">
        <v>0.95210648148148147</v>
      </c>
      <c r="F11" t="s">
        <v>26</v>
      </c>
      <c r="G11" t="s">
        <v>7</v>
      </c>
      <c r="H11">
        <v>36</v>
      </c>
      <c r="I11" s="24">
        <v>9.2256944444444544E-2</v>
      </c>
      <c r="J11">
        <f t="shared" si="0"/>
        <v>0</v>
      </c>
      <c r="K11">
        <f t="shared" si="1"/>
        <v>1</v>
      </c>
    </row>
    <row r="12" spans="1:11" x14ac:dyDescent="0.25">
      <c r="A12">
        <v>12</v>
      </c>
      <c r="B12" t="s">
        <v>27</v>
      </c>
      <c r="C12" s="4">
        <v>0.85984953703703704</v>
      </c>
      <c r="D12" s="23">
        <v>0.93263888888888891</v>
      </c>
      <c r="E12" s="23">
        <v>0.95210648148148147</v>
      </c>
      <c r="F12" t="s">
        <v>28</v>
      </c>
      <c r="G12" t="s">
        <v>7</v>
      </c>
      <c r="H12">
        <v>36</v>
      </c>
      <c r="I12" s="24">
        <v>9.2256944444444544E-2</v>
      </c>
      <c r="J12">
        <f t="shared" si="0"/>
        <v>0</v>
      </c>
      <c r="K12">
        <f t="shared" si="1"/>
        <v>1</v>
      </c>
    </row>
    <row r="13" spans="1:11" x14ac:dyDescent="0.25">
      <c r="A13">
        <v>1</v>
      </c>
      <c r="B13" t="s">
        <v>29</v>
      </c>
      <c r="C13" s="4">
        <v>0.86208333333333331</v>
      </c>
      <c r="D13" s="23">
        <v>0.86211805555555554</v>
      </c>
      <c r="E13" s="23">
        <v>0.96212962962962967</v>
      </c>
      <c r="F13" t="s">
        <v>30</v>
      </c>
      <c r="G13" t="s">
        <v>31</v>
      </c>
      <c r="H13">
        <v>35</v>
      </c>
      <c r="I13" s="24">
        <v>0.10004629629629624</v>
      </c>
      <c r="J13">
        <f t="shared" si="0"/>
        <v>0</v>
      </c>
      <c r="K13">
        <f t="shared" si="1"/>
        <v>1</v>
      </c>
    </row>
    <row r="14" spans="1:11" x14ac:dyDescent="0.25">
      <c r="A14">
        <v>2</v>
      </c>
      <c r="B14" t="s">
        <v>5</v>
      </c>
      <c r="C14" s="4">
        <v>0.86208333333333331</v>
      </c>
      <c r="D14" s="23">
        <v>0.86211805555555554</v>
      </c>
      <c r="E14" s="23">
        <v>0.96212962962962967</v>
      </c>
      <c r="F14" t="s">
        <v>30</v>
      </c>
      <c r="G14" t="s">
        <v>31</v>
      </c>
      <c r="H14">
        <v>35</v>
      </c>
      <c r="I14" s="24">
        <v>0.10004629629629624</v>
      </c>
      <c r="J14">
        <f t="shared" si="0"/>
        <v>0</v>
      </c>
      <c r="K14">
        <f t="shared" si="1"/>
        <v>1</v>
      </c>
    </row>
    <row r="15" spans="1:11" x14ac:dyDescent="0.25">
      <c r="A15">
        <v>3</v>
      </c>
      <c r="B15" t="s">
        <v>9</v>
      </c>
      <c r="C15" s="4">
        <v>0.86208333333333331</v>
      </c>
      <c r="D15" s="23">
        <v>0.86211805555555554</v>
      </c>
      <c r="E15" s="23">
        <v>0.96212962962962967</v>
      </c>
      <c r="F15" t="s">
        <v>33</v>
      </c>
      <c r="G15" t="s">
        <v>31</v>
      </c>
      <c r="H15">
        <v>35</v>
      </c>
      <c r="I15" s="24">
        <v>0.10004629629629624</v>
      </c>
      <c r="J15">
        <f t="shared" si="0"/>
        <v>0</v>
      </c>
      <c r="K15">
        <f t="shared" si="1"/>
        <v>1</v>
      </c>
    </row>
    <row r="16" spans="1:11" x14ac:dyDescent="0.25">
      <c r="A16">
        <v>4</v>
      </c>
      <c r="B16" t="s">
        <v>11</v>
      </c>
      <c r="C16" s="4">
        <v>0.86208333333333331</v>
      </c>
      <c r="D16" s="23">
        <v>0.86211805555555554</v>
      </c>
      <c r="E16" s="23">
        <v>0.96212962962962967</v>
      </c>
      <c r="F16" t="s">
        <v>33</v>
      </c>
      <c r="G16" t="s">
        <v>31</v>
      </c>
      <c r="H16">
        <v>35</v>
      </c>
      <c r="I16" s="24">
        <v>0.10004629629629624</v>
      </c>
      <c r="J16">
        <f t="shared" si="0"/>
        <v>0</v>
      </c>
      <c r="K16">
        <f t="shared" si="1"/>
        <v>1</v>
      </c>
    </row>
    <row r="17" spans="1:11" x14ac:dyDescent="0.25">
      <c r="A17">
        <v>5</v>
      </c>
      <c r="B17" t="s">
        <v>13</v>
      </c>
      <c r="C17" s="4">
        <v>0.86208333333333331</v>
      </c>
      <c r="D17" s="23">
        <v>0.9556944444444444</v>
      </c>
      <c r="E17" s="23">
        <v>0.96212962962962967</v>
      </c>
      <c r="F17" t="s">
        <v>34</v>
      </c>
      <c r="G17" t="s">
        <v>31</v>
      </c>
      <c r="H17">
        <v>35</v>
      </c>
      <c r="I17" s="24">
        <v>0.10004629629629624</v>
      </c>
      <c r="J17">
        <f t="shared" si="0"/>
        <v>0</v>
      </c>
      <c r="K17">
        <f t="shared" si="1"/>
        <v>1</v>
      </c>
    </row>
    <row r="18" spans="1:11" x14ac:dyDescent="0.25">
      <c r="A18">
        <v>6</v>
      </c>
      <c r="B18" t="s">
        <v>35</v>
      </c>
      <c r="C18" s="4">
        <v>0.86208333333333331</v>
      </c>
      <c r="D18" s="23">
        <v>0.86211805555555554</v>
      </c>
      <c r="E18" s="23">
        <v>0.96212962962962967</v>
      </c>
      <c r="F18" t="s">
        <v>30</v>
      </c>
      <c r="G18" t="s">
        <v>31</v>
      </c>
      <c r="H18">
        <v>35</v>
      </c>
      <c r="I18" s="24">
        <v>0.10004629629629624</v>
      </c>
      <c r="J18">
        <f t="shared" si="0"/>
        <v>0</v>
      </c>
      <c r="K18">
        <f t="shared" si="1"/>
        <v>1</v>
      </c>
    </row>
    <row r="19" spans="1:11" x14ac:dyDescent="0.25">
      <c r="A19">
        <v>8</v>
      </c>
      <c r="B19" t="s">
        <v>36</v>
      </c>
      <c r="C19" s="4">
        <v>0.86208333333333331</v>
      </c>
      <c r="D19" s="23">
        <v>0.86211805555555554</v>
      </c>
      <c r="E19" s="23">
        <v>0.96212962962962967</v>
      </c>
      <c r="F19" t="s">
        <v>30</v>
      </c>
      <c r="G19" t="s">
        <v>31</v>
      </c>
      <c r="H19">
        <v>35</v>
      </c>
      <c r="I19" s="24">
        <v>0.10004629629629624</v>
      </c>
      <c r="J19">
        <f t="shared" si="0"/>
        <v>0</v>
      </c>
      <c r="K19">
        <f t="shared" si="1"/>
        <v>1</v>
      </c>
    </row>
    <row r="20" spans="1:11" x14ac:dyDescent="0.25">
      <c r="A20">
        <v>9</v>
      </c>
      <c r="B20" t="s">
        <v>37</v>
      </c>
      <c r="C20" s="4">
        <v>0.86208333333333331</v>
      </c>
      <c r="D20" s="23">
        <v>0.86211805555555554</v>
      </c>
      <c r="E20" s="23">
        <v>0.96212962962962967</v>
      </c>
      <c r="F20" t="s">
        <v>30</v>
      </c>
      <c r="G20" t="s">
        <v>31</v>
      </c>
      <c r="H20">
        <v>35</v>
      </c>
      <c r="I20" s="24">
        <v>0.10004629629629624</v>
      </c>
      <c r="J20">
        <f t="shared" si="0"/>
        <v>0</v>
      </c>
      <c r="K20">
        <f t="shared" si="1"/>
        <v>1</v>
      </c>
    </row>
    <row r="21" spans="1:11" x14ac:dyDescent="0.25">
      <c r="A21">
        <v>10</v>
      </c>
      <c r="B21" t="s">
        <v>16</v>
      </c>
      <c r="C21" s="4">
        <v>0.86208333333333331</v>
      </c>
      <c r="D21" s="23">
        <v>0.86211805555555554</v>
      </c>
      <c r="E21" s="23">
        <v>0.96212962962962967</v>
      </c>
      <c r="F21" t="s">
        <v>38</v>
      </c>
      <c r="G21" t="s">
        <v>31</v>
      </c>
      <c r="H21">
        <v>35</v>
      </c>
      <c r="I21" s="24">
        <v>0.10004629629629624</v>
      </c>
      <c r="J21">
        <f t="shared" si="0"/>
        <v>0</v>
      </c>
      <c r="K21">
        <f t="shared" si="1"/>
        <v>1</v>
      </c>
    </row>
    <row r="22" spans="1:11" x14ac:dyDescent="0.25">
      <c r="A22">
        <v>11</v>
      </c>
      <c r="B22" t="s">
        <v>39</v>
      </c>
      <c r="C22" s="4">
        <v>0.86208333333333331</v>
      </c>
      <c r="D22" s="23">
        <v>0.86211805555555554</v>
      </c>
      <c r="E22" s="23">
        <v>0.96212962962962967</v>
      </c>
      <c r="F22" t="s">
        <v>30</v>
      </c>
      <c r="G22" t="s">
        <v>31</v>
      </c>
      <c r="H22">
        <v>35</v>
      </c>
      <c r="I22" s="24">
        <v>0.10004629629629624</v>
      </c>
      <c r="J22">
        <f t="shared" si="0"/>
        <v>0</v>
      </c>
      <c r="K22">
        <f t="shared" si="1"/>
        <v>1</v>
      </c>
    </row>
    <row r="23" spans="1:11" x14ac:dyDescent="0.25">
      <c r="A23">
        <v>12</v>
      </c>
      <c r="B23" t="s">
        <v>18</v>
      </c>
      <c r="C23" s="4">
        <v>0.86208333333333331</v>
      </c>
      <c r="D23" s="23">
        <v>0.86211805555555554</v>
      </c>
      <c r="E23" s="23">
        <v>0.96212962962962967</v>
      </c>
      <c r="F23" t="s">
        <v>40</v>
      </c>
      <c r="G23" t="s">
        <v>31</v>
      </c>
      <c r="H23">
        <v>35</v>
      </c>
      <c r="I23" s="24">
        <v>0.10004629629629624</v>
      </c>
      <c r="J23">
        <f t="shared" si="0"/>
        <v>0</v>
      </c>
      <c r="K23">
        <f t="shared" si="1"/>
        <v>1</v>
      </c>
    </row>
    <row r="24" spans="1:11" x14ac:dyDescent="0.25">
      <c r="A24">
        <v>13</v>
      </c>
      <c r="B24" t="s">
        <v>41</v>
      </c>
      <c r="C24" s="4">
        <v>0.86208333333333331</v>
      </c>
      <c r="D24" s="23">
        <v>0.86211805555555554</v>
      </c>
      <c r="E24" s="23">
        <v>0.96212962962962967</v>
      </c>
      <c r="F24" t="s">
        <v>30</v>
      </c>
      <c r="G24" t="s">
        <v>31</v>
      </c>
      <c r="H24">
        <v>35</v>
      </c>
      <c r="I24" s="24">
        <v>0.10004629629629624</v>
      </c>
      <c r="J24">
        <f t="shared" si="0"/>
        <v>0</v>
      </c>
      <c r="K24">
        <f t="shared" si="1"/>
        <v>1</v>
      </c>
    </row>
    <row r="25" spans="1:11" x14ac:dyDescent="0.25">
      <c r="A25">
        <v>14</v>
      </c>
      <c r="B25" t="s">
        <v>20</v>
      </c>
      <c r="C25" s="4">
        <v>0.86208333333333331</v>
      </c>
      <c r="D25" s="23">
        <v>0.86211805555555554</v>
      </c>
      <c r="E25" s="23">
        <v>0.96212962962962967</v>
      </c>
      <c r="F25" t="s">
        <v>42</v>
      </c>
      <c r="G25" t="s">
        <v>31</v>
      </c>
      <c r="H25">
        <v>35</v>
      </c>
      <c r="I25" s="24">
        <v>0.10004629629629624</v>
      </c>
      <c r="J25">
        <f t="shared" si="0"/>
        <v>0</v>
      </c>
      <c r="K25">
        <f t="shared" si="1"/>
        <v>1</v>
      </c>
    </row>
    <row r="26" spans="1:11" x14ac:dyDescent="0.25">
      <c r="A26">
        <v>15</v>
      </c>
      <c r="B26" t="s">
        <v>43</v>
      </c>
      <c r="C26" s="4">
        <v>0.86208333333333331</v>
      </c>
      <c r="D26" s="23">
        <v>0.86211805555555554</v>
      </c>
      <c r="E26" s="23">
        <v>0.96212962962962967</v>
      </c>
      <c r="F26" t="s">
        <v>30</v>
      </c>
      <c r="G26" t="s">
        <v>31</v>
      </c>
      <c r="H26">
        <v>35</v>
      </c>
      <c r="I26" s="24">
        <v>0.10004629629629624</v>
      </c>
      <c r="J26">
        <f t="shared" si="0"/>
        <v>0</v>
      </c>
      <c r="K26">
        <f t="shared" si="1"/>
        <v>1</v>
      </c>
    </row>
    <row r="27" spans="1:11" x14ac:dyDescent="0.25">
      <c r="A27">
        <v>16</v>
      </c>
      <c r="B27" t="s">
        <v>44</v>
      </c>
      <c r="C27" s="4">
        <v>0.86208333333333331</v>
      </c>
      <c r="D27" s="23">
        <v>0.86211805555555554</v>
      </c>
      <c r="E27" s="23">
        <v>0.96212962962962967</v>
      </c>
      <c r="F27" t="s">
        <v>38</v>
      </c>
      <c r="G27" t="s">
        <v>31</v>
      </c>
      <c r="H27">
        <v>35</v>
      </c>
      <c r="I27" s="24">
        <v>0.10004629629629624</v>
      </c>
      <c r="J27">
        <f t="shared" si="0"/>
        <v>0</v>
      </c>
      <c r="K27">
        <f t="shared" si="1"/>
        <v>1</v>
      </c>
    </row>
    <row r="28" spans="1:11" x14ac:dyDescent="0.25">
      <c r="A28">
        <v>17</v>
      </c>
      <c r="B28" t="s">
        <v>22</v>
      </c>
      <c r="C28" s="4">
        <v>0.86208333333333331</v>
      </c>
      <c r="D28" s="23">
        <v>0.86211805555555554</v>
      </c>
      <c r="E28" s="23">
        <v>0.96212962962962967</v>
      </c>
      <c r="F28" t="s">
        <v>45</v>
      </c>
      <c r="G28" t="s">
        <v>31</v>
      </c>
      <c r="H28">
        <v>35</v>
      </c>
      <c r="I28" s="24">
        <v>0.10004629629629624</v>
      </c>
      <c r="J28">
        <f t="shared" si="0"/>
        <v>0</v>
      </c>
      <c r="K28">
        <f t="shared" si="1"/>
        <v>1</v>
      </c>
    </row>
    <row r="29" spans="1:11" x14ac:dyDescent="0.25">
      <c r="A29">
        <v>18</v>
      </c>
      <c r="B29" t="s">
        <v>46</v>
      </c>
      <c r="C29" s="4">
        <v>0.86208333333333331</v>
      </c>
      <c r="D29" s="23">
        <v>0.9556944444444444</v>
      </c>
      <c r="E29" s="23">
        <v>0.96212962962962967</v>
      </c>
      <c r="F29" t="s">
        <v>47</v>
      </c>
      <c r="G29" t="s">
        <v>31</v>
      </c>
      <c r="H29">
        <v>35</v>
      </c>
      <c r="I29" s="24">
        <v>0.10004629629629624</v>
      </c>
      <c r="J29">
        <f t="shared" si="0"/>
        <v>0</v>
      </c>
      <c r="K29">
        <f t="shared" si="1"/>
        <v>1</v>
      </c>
    </row>
    <row r="30" spans="1:11" x14ac:dyDescent="0.25">
      <c r="A30">
        <v>19</v>
      </c>
      <c r="B30" t="s">
        <v>23</v>
      </c>
      <c r="C30" s="4">
        <v>0.86208333333333331</v>
      </c>
      <c r="D30" s="23">
        <v>0.86211805555555554</v>
      </c>
      <c r="E30" s="23">
        <v>0.96212962962962967</v>
      </c>
      <c r="F30" t="s">
        <v>48</v>
      </c>
      <c r="G30" t="s">
        <v>31</v>
      </c>
      <c r="H30">
        <v>35</v>
      </c>
      <c r="I30" s="24">
        <v>0.10004629629629624</v>
      </c>
      <c r="J30">
        <f t="shared" si="0"/>
        <v>0</v>
      </c>
      <c r="K30">
        <f t="shared" si="1"/>
        <v>1</v>
      </c>
    </row>
    <row r="31" spans="1:11" x14ac:dyDescent="0.25">
      <c r="A31">
        <v>20</v>
      </c>
      <c r="B31" t="s">
        <v>49</v>
      </c>
      <c r="C31" s="4">
        <v>0.86208333333333331</v>
      </c>
      <c r="D31" s="23">
        <v>0.86211805555555554</v>
      </c>
      <c r="E31" s="23">
        <v>0.96212962962962967</v>
      </c>
      <c r="F31" t="s">
        <v>30</v>
      </c>
      <c r="G31" t="s">
        <v>31</v>
      </c>
      <c r="H31">
        <v>35</v>
      </c>
      <c r="I31" s="24">
        <v>0.10004629629629624</v>
      </c>
      <c r="J31">
        <f t="shared" si="0"/>
        <v>0</v>
      </c>
      <c r="K31">
        <f t="shared" si="1"/>
        <v>1</v>
      </c>
    </row>
    <row r="32" spans="1:11" x14ac:dyDescent="0.25">
      <c r="A32">
        <v>21</v>
      </c>
      <c r="B32" t="s">
        <v>25</v>
      </c>
      <c r="C32" s="4">
        <v>0.86208333333333331</v>
      </c>
      <c r="D32" s="23">
        <v>0.86211805555555554</v>
      </c>
      <c r="E32" s="23">
        <v>0.96212962962962967</v>
      </c>
      <c r="F32" t="s">
        <v>40</v>
      </c>
      <c r="G32" t="s">
        <v>31</v>
      </c>
      <c r="H32">
        <v>35</v>
      </c>
      <c r="I32" s="24">
        <v>0.10004629629629624</v>
      </c>
      <c r="J32">
        <f t="shared" si="0"/>
        <v>0</v>
      </c>
      <c r="K32">
        <f t="shared" si="1"/>
        <v>1</v>
      </c>
    </row>
    <row r="33" spans="1:11" x14ac:dyDescent="0.25">
      <c r="A33">
        <v>22</v>
      </c>
      <c r="B33" t="s">
        <v>50</v>
      </c>
      <c r="C33" s="4">
        <v>0.86208333333333331</v>
      </c>
      <c r="D33" s="23">
        <v>0.86211805555555554</v>
      </c>
      <c r="E33" s="23">
        <v>0.96212962962962967</v>
      </c>
      <c r="F33" t="s">
        <v>30</v>
      </c>
      <c r="G33" t="s">
        <v>31</v>
      </c>
      <c r="H33">
        <v>35</v>
      </c>
      <c r="I33" s="24">
        <v>0.10004629629629624</v>
      </c>
      <c r="J33">
        <f t="shared" si="0"/>
        <v>0</v>
      </c>
      <c r="K33">
        <f t="shared" si="1"/>
        <v>1</v>
      </c>
    </row>
    <row r="34" spans="1:11" x14ac:dyDescent="0.25">
      <c r="A34">
        <v>23</v>
      </c>
      <c r="B34" t="s">
        <v>51</v>
      </c>
      <c r="C34" s="4">
        <v>0.86208333333333331</v>
      </c>
      <c r="D34" s="23">
        <v>0.86211805555555554</v>
      </c>
      <c r="E34" s="23">
        <v>0.96212962962962967</v>
      </c>
      <c r="F34" t="s">
        <v>52</v>
      </c>
      <c r="G34" t="s">
        <v>31</v>
      </c>
      <c r="H34">
        <v>35</v>
      </c>
      <c r="I34" s="24">
        <v>0.10004629629629624</v>
      </c>
      <c r="J34">
        <f t="shared" si="0"/>
        <v>0</v>
      </c>
      <c r="K34">
        <f t="shared" si="1"/>
        <v>1</v>
      </c>
    </row>
    <row r="35" spans="1:11" x14ac:dyDescent="0.25">
      <c r="A35">
        <v>24</v>
      </c>
      <c r="B35" t="s">
        <v>53</v>
      </c>
      <c r="C35" s="4">
        <v>0.86208333333333331</v>
      </c>
      <c r="D35" s="23">
        <v>0.86211805555555554</v>
      </c>
      <c r="E35" s="23">
        <v>0.96212962962962967</v>
      </c>
      <c r="F35" t="s">
        <v>30</v>
      </c>
      <c r="G35" t="s">
        <v>31</v>
      </c>
      <c r="H35">
        <v>35</v>
      </c>
      <c r="I35" s="24">
        <v>0.10004629629629624</v>
      </c>
      <c r="J35">
        <f t="shared" si="0"/>
        <v>0</v>
      </c>
      <c r="K35">
        <f t="shared" si="1"/>
        <v>1</v>
      </c>
    </row>
    <row r="36" spans="1:11" x14ac:dyDescent="0.25">
      <c r="A36">
        <v>25</v>
      </c>
      <c r="B36" t="s">
        <v>54</v>
      </c>
      <c r="C36" s="4">
        <v>0.86208333333333331</v>
      </c>
      <c r="D36" s="23">
        <v>0.86211805555555554</v>
      </c>
      <c r="E36" s="23">
        <v>0.96212962962962967</v>
      </c>
      <c r="F36" t="s">
        <v>30</v>
      </c>
      <c r="G36" t="s">
        <v>31</v>
      </c>
      <c r="H36">
        <v>35</v>
      </c>
      <c r="I36" s="24">
        <v>0.10004629629629624</v>
      </c>
      <c r="J36">
        <f t="shared" si="0"/>
        <v>0</v>
      </c>
      <c r="K36">
        <f t="shared" si="1"/>
        <v>1</v>
      </c>
    </row>
    <row r="37" spans="1:11" x14ac:dyDescent="0.25">
      <c r="A37">
        <v>26</v>
      </c>
      <c r="B37" t="s">
        <v>27</v>
      </c>
      <c r="C37" s="4">
        <v>0.86208333333333331</v>
      </c>
      <c r="D37" s="23">
        <v>0.86211805555555554</v>
      </c>
      <c r="E37" s="23">
        <v>0.96212962962962967</v>
      </c>
      <c r="F37" t="s">
        <v>30</v>
      </c>
      <c r="G37" t="s">
        <v>31</v>
      </c>
      <c r="H37">
        <v>35</v>
      </c>
      <c r="I37" s="24">
        <v>0.10004629629629624</v>
      </c>
      <c r="J37">
        <f t="shared" si="0"/>
        <v>0</v>
      </c>
      <c r="K37">
        <f t="shared" si="1"/>
        <v>1</v>
      </c>
    </row>
    <row r="38" spans="1:11" x14ac:dyDescent="0.25">
      <c r="A38">
        <v>27</v>
      </c>
      <c r="B38" t="s">
        <v>55</v>
      </c>
      <c r="C38" s="4">
        <v>0.86208333333333331</v>
      </c>
      <c r="D38" s="23">
        <v>0.86211805555555554</v>
      </c>
      <c r="E38" s="23">
        <v>0.96212962962962967</v>
      </c>
      <c r="F38" t="s">
        <v>30</v>
      </c>
      <c r="G38" t="s">
        <v>31</v>
      </c>
      <c r="H38">
        <v>35</v>
      </c>
      <c r="I38" s="24">
        <v>0.10004629629629624</v>
      </c>
      <c r="J38">
        <f t="shared" si="0"/>
        <v>0</v>
      </c>
      <c r="K38">
        <f t="shared" si="1"/>
        <v>1</v>
      </c>
    </row>
    <row r="39" spans="1:11" x14ac:dyDescent="0.25">
      <c r="A39">
        <v>1</v>
      </c>
      <c r="B39" t="s">
        <v>5</v>
      </c>
      <c r="C39" s="4">
        <v>0.86211805555555554</v>
      </c>
      <c r="D39" s="23">
        <v>0.86215277777777777</v>
      </c>
      <c r="E39" s="23">
        <v>0.92004629629629631</v>
      </c>
      <c r="F39" t="s">
        <v>56</v>
      </c>
      <c r="G39" t="s">
        <v>57</v>
      </c>
      <c r="H39">
        <v>34</v>
      </c>
      <c r="I39" s="24">
        <v>5.7928240740740655E-2</v>
      </c>
      <c r="J39">
        <f t="shared" si="0"/>
        <v>0</v>
      </c>
      <c r="K39">
        <f t="shared" si="1"/>
        <v>1</v>
      </c>
    </row>
    <row r="40" spans="1:11" x14ac:dyDescent="0.25">
      <c r="A40">
        <v>2</v>
      </c>
      <c r="B40" t="s">
        <v>11</v>
      </c>
      <c r="C40" s="4">
        <v>0.86211805555555554</v>
      </c>
      <c r="D40" s="23">
        <v>0.86215277777777777</v>
      </c>
      <c r="E40" s="23">
        <v>0.92004629629629631</v>
      </c>
      <c r="F40" t="s">
        <v>56</v>
      </c>
      <c r="G40" t="s">
        <v>57</v>
      </c>
      <c r="H40">
        <v>34</v>
      </c>
      <c r="I40" s="24">
        <v>5.7928240740740655E-2</v>
      </c>
      <c r="J40">
        <f t="shared" si="0"/>
        <v>0</v>
      </c>
      <c r="K40">
        <f t="shared" si="1"/>
        <v>1</v>
      </c>
    </row>
    <row r="41" spans="1:11" x14ac:dyDescent="0.25">
      <c r="A41">
        <v>3</v>
      </c>
      <c r="B41" t="s">
        <v>35</v>
      </c>
      <c r="C41" s="4">
        <v>0.86211805555555554</v>
      </c>
      <c r="D41" s="23">
        <v>0.86215277777777777</v>
      </c>
      <c r="E41" s="23">
        <v>0.92004629629629631</v>
      </c>
      <c r="F41" t="s">
        <v>56</v>
      </c>
      <c r="G41" t="s">
        <v>57</v>
      </c>
      <c r="H41">
        <v>34</v>
      </c>
      <c r="I41" s="24">
        <v>5.7928240740740655E-2</v>
      </c>
      <c r="J41">
        <f t="shared" si="0"/>
        <v>0</v>
      </c>
      <c r="K41">
        <f t="shared" si="1"/>
        <v>1</v>
      </c>
    </row>
    <row r="42" spans="1:11" x14ac:dyDescent="0.25">
      <c r="A42">
        <v>4</v>
      </c>
      <c r="B42" t="s">
        <v>59</v>
      </c>
      <c r="C42" s="4">
        <v>0.86211805555555554</v>
      </c>
      <c r="D42" s="23">
        <v>0.86215277777777777</v>
      </c>
      <c r="E42" s="23">
        <v>0.92004629629629631</v>
      </c>
      <c r="F42" t="s">
        <v>56</v>
      </c>
      <c r="G42" t="s">
        <v>57</v>
      </c>
      <c r="H42">
        <v>34</v>
      </c>
      <c r="I42" s="24">
        <v>5.7928240740740655E-2</v>
      </c>
      <c r="J42">
        <f t="shared" si="0"/>
        <v>0</v>
      </c>
      <c r="K42">
        <f t="shared" si="1"/>
        <v>1</v>
      </c>
    </row>
    <row r="43" spans="1:11" x14ac:dyDescent="0.25">
      <c r="A43">
        <v>5</v>
      </c>
      <c r="B43" t="s">
        <v>36</v>
      </c>
      <c r="C43" s="4">
        <v>0.86211805555555554</v>
      </c>
      <c r="D43" s="23">
        <v>0.86215277777777777</v>
      </c>
      <c r="E43" s="23">
        <v>0.92004629629629631</v>
      </c>
      <c r="F43" t="s">
        <v>56</v>
      </c>
      <c r="G43" t="s">
        <v>57</v>
      </c>
      <c r="H43">
        <v>34</v>
      </c>
      <c r="I43" s="24">
        <v>5.7928240740740655E-2</v>
      </c>
      <c r="J43">
        <f t="shared" si="0"/>
        <v>0</v>
      </c>
      <c r="K43">
        <f t="shared" si="1"/>
        <v>1</v>
      </c>
    </row>
    <row r="44" spans="1:11" x14ac:dyDescent="0.25">
      <c r="A44">
        <v>6</v>
      </c>
      <c r="B44" t="s">
        <v>16</v>
      </c>
      <c r="C44" s="4">
        <v>0.86211805555555554</v>
      </c>
      <c r="D44" s="23">
        <v>0.86215277777777777</v>
      </c>
      <c r="E44" s="23">
        <v>0.92004629629629631</v>
      </c>
      <c r="F44" t="s">
        <v>56</v>
      </c>
      <c r="G44" t="s">
        <v>57</v>
      </c>
      <c r="H44">
        <v>34</v>
      </c>
      <c r="I44" s="24">
        <v>5.7928240740740655E-2</v>
      </c>
      <c r="J44">
        <f t="shared" si="0"/>
        <v>0</v>
      </c>
      <c r="K44">
        <f t="shared" si="1"/>
        <v>1</v>
      </c>
    </row>
    <row r="45" spans="1:11" x14ac:dyDescent="0.25">
      <c r="A45">
        <v>7</v>
      </c>
      <c r="B45" t="s">
        <v>39</v>
      </c>
      <c r="C45" s="4">
        <v>0.86211805555555554</v>
      </c>
      <c r="D45" s="23">
        <v>0.86215277777777777</v>
      </c>
      <c r="E45" s="23">
        <v>0.92004629629629631</v>
      </c>
      <c r="F45" t="s">
        <v>56</v>
      </c>
      <c r="G45" t="s">
        <v>57</v>
      </c>
      <c r="H45">
        <v>34</v>
      </c>
      <c r="I45" s="24">
        <v>5.7928240740740655E-2</v>
      </c>
      <c r="J45">
        <f t="shared" si="0"/>
        <v>0</v>
      </c>
      <c r="K45">
        <f t="shared" si="1"/>
        <v>1</v>
      </c>
    </row>
    <row r="46" spans="1:11" x14ac:dyDescent="0.25">
      <c r="A46">
        <v>8</v>
      </c>
      <c r="B46" t="s">
        <v>18</v>
      </c>
      <c r="C46" s="4">
        <v>0.86211805555555554</v>
      </c>
      <c r="D46" s="23">
        <v>0.86215277777777777</v>
      </c>
      <c r="E46" s="23">
        <v>0.92004629629629631</v>
      </c>
      <c r="F46" t="s">
        <v>56</v>
      </c>
      <c r="G46" t="s">
        <v>57</v>
      </c>
      <c r="H46">
        <v>34</v>
      </c>
      <c r="I46" s="24">
        <v>5.7928240740740655E-2</v>
      </c>
      <c r="J46">
        <f t="shared" si="0"/>
        <v>0</v>
      </c>
      <c r="K46">
        <f t="shared" si="1"/>
        <v>1</v>
      </c>
    </row>
    <row r="47" spans="1:11" x14ac:dyDescent="0.25">
      <c r="A47">
        <v>9</v>
      </c>
      <c r="B47" t="s">
        <v>60</v>
      </c>
      <c r="C47" s="4">
        <v>0.86211805555555554</v>
      </c>
      <c r="D47" s="23">
        <v>0.86215277777777777</v>
      </c>
      <c r="E47" s="23">
        <v>0.92004629629629631</v>
      </c>
      <c r="F47" t="s">
        <v>56</v>
      </c>
      <c r="G47" t="s">
        <v>57</v>
      </c>
      <c r="H47">
        <v>34</v>
      </c>
      <c r="I47" s="24">
        <v>5.7928240740740655E-2</v>
      </c>
      <c r="J47">
        <f t="shared" si="0"/>
        <v>0</v>
      </c>
      <c r="K47">
        <f t="shared" si="1"/>
        <v>1</v>
      </c>
    </row>
    <row r="48" spans="1:11" x14ac:dyDescent="0.25">
      <c r="A48">
        <v>10</v>
      </c>
      <c r="B48" t="s">
        <v>43</v>
      </c>
      <c r="C48" s="4">
        <v>0.86211805555555554</v>
      </c>
      <c r="D48" s="23">
        <v>0.86215277777777777</v>
      </c>
      <c r="E48" s="23">
        <v>0.92004629629629631</v>
      </c>
      <c r="F48" t="s">
        <v>56</v>
      </c>
      <c r="G48" t="s">
        <v>57</v>
      </c>
      <c r="H48">
        <v>34</v>
      </c>
      <c r="I48" s="24">
        <v>5.7928240740740655E-2</v>
      </c>
      <c r="J48">
        <f t="shared" si="0"/>
        <v>0</v>
      </c>
      <c r="K48">
        <f t="shared" si="1"/>
        <v>1</v>
      </c>
    </row>
    <row r="49" spans="1:11" x14ac:dyDescent="0.25">
      <c r="A49">
        <v>11</v>
      </c>
      <c r="B49" t="s">
        <v>44</v>
      </c>
      <c r="C49" s="4">
        <v>0.86211805555555554</v>
      </c>
      <c r="D49" s="23">
        <v>0.86215277777777777</v>
      </c>
      <c r="E49" s="23">
        <v>0.92004629629629631</v>
      </c>
      <c r="F49" t="s">
        <v>56</v>
      </c>
      <c r="G49" t="s">
        <v>57</v>
      </c>
      <c r="H49">
        <v>34</v>
      </c>
      <c r="I49" s="24">
        <v>5.7928240740740655E-2</v>
      </c>
      <c r="J49">
        <f t="shared" si="0"/>
        <v>0</v>
      </c>
      <c r="K49">
        <f t="shared" si="1"/>
        <v>1</v>
      </c>
    </row>
    <row r="50" spans="1:11" x14ac:dyDescent="0.25">
      <c r="A50">
        <v>12</v>
      </c>
      <c r="B50" t="s">
        <v>22</v>
      </c>
      <c r="C50" s="4">
        <v>0.86211805555555554</v>
      </c>
      <c r="D50" s="23">
        <v>0.86215277777777777</v>
      </c>
      <c r="E50" s="23">
        <v>0.92004629629629631</v>
      </c>
      <c r="F50" t="s">
        <v>56</v>
      </c>
      <c r="G50" t="s">
        <v>57</v>
      </c>
      <c r="H50">
        <v>34</v>
      </c>
      <c r="I50" s="24">
        <v>5.7928240740740655E-2</v>
      </c>
      <c r="J50">
        <f t="shared" si="0"/>
        <v>0</v>
      </c>
      <c r="K50">
        <f t="shared" si="1"/>
        <v>1</v>
      </c>
    </row>
    <row r="51" spans="1:11" x14ac:dyDescent="0.25">
      <c r="A51">
        <v>13</v>
      </c>
      <c r="B51" t="s">
        <v>61</v>
      </c>
      <c r="C51" s="4">
        <v>0.86211805555555554</v>
      </c>
      <c r="D51" s="23">
        <v>0.86215277777777777</v>
      </c>
      <c r="E51" s="23">
        <v>0.92004629629629631</v>
      </c>
      <c r="F51" t="s">
        <v>56</v>
      </c>
      <c r="G51" t="s">
        <v>57</v>
      </c>
      <c r="H51">
        <v>34</v>
      </c>
      <c r="I51" s="24">
        <v>5.7928240740740655E-2</v>
      </c>
      <c r="J51">
        <f t="shared" si="0"/>
        <v>0</v>
      </c>
      <c r="K51">
        <f t="shared" si="1"/>
        <v>1</v>
      </c>
    </row>
    <row r="52" spans="1:11" x14ac:dyDescent="0.25">
      <c r="A52">
        <v>14</v>
      </c>
      <c r="B52" t="s">
        <v>46</v>
      </c>
      <c r="C52" s="4">
        <v>0.86211805555555554</v>
      </c>
      <c r="D52" s="23">
        <v>0.86215277777777777</v>
      </c>
      <c r="E52" s="23">
        <v>0.92004629629629631</v>
      </c>
      <c r="F52" t="s">
        <v>56</v>
      </c>
      <c r="G52" t="s">
        <v>57</v>
      </c>
      <c r="H52">
        <v>34</v>
      </c>
      <c r="I52" s="24">
        <v>5.7928240740740655E-2</v>
      </c>
      <c r="J52">
        <f t="shared" si="0"/>
        <v>0</v>
      </c>
      <c r="K52">
        <f t="shared" si="1"/>
        <v>1</v>
      </c>
    </row>
    <row r="53" spans="1:11" x14ac:dyDescent="0.25">
      <c r="A53">
        <v>15</v>
      </c>
      <c r="B53" t="s">
        <v>25</v>
      </c>
      <c r="C53" s="4">
        <v>0.86211805555555554</v>
      </c>
      <c r="D53" s="23">
        <v>0.86215277777777777</v>
      </c>
      <c r="E53" s="23">
        <v>0.92004629629629631</v>
      </c>
      <c r="F53" t="s">
        <v>56</v>
      </c>
      <c r="G53" t="s">
        <v>57</v>
      </c>
      <c r="H53">
        <v>34</v>
      </c>
      <c r="I53" s="24">
        <v>5.7928240740740655E-2</v>
      </c>
      <c r="J53">
        <f t="shared" si="0"/>
        <v>0</v>
      </c>
      <c r="K53">
        <f t="shared" si="1"/>
        <v>1</v>
      </c>
    </row>
    <row r="54" spans="1:11" x14ac:dyDescent="0.25">
      <c r="A54">
        <v>16</v>
      </c>
      <c r="B54" t="s">
        <v>50</v>
      </c>
      <c r="C54" s="4">
        <v>0.86211805555555554</v>
      </c>
      <c r="D54" s="23">
        <v>0.86215277777777777</v>
      </c>
      <c r="E54" s="23">
        <v>0.92004629629629631</v>
      </c>
      <c r="F54" t="s">
        <v>56</v>
      </c>
      <c r="G54" t="s">
        <v>57</v>
      </c>
      <c r="H54">
        <v>34</v>
      </c>
      <c r="I54" s="24">
        <v>5.7928240740740655E-2</v>
      </c>
      <c r="J54">
        <f t="shared" si="0"/>
        <v>0</v>
      </c>
      <c r="K54">
        <f t="shared" si="1"/>
        <v>1</v>
      </c>
    </row>
    <row r="55" spans="1:11" x14ac:dyDescent="0.25">
      <c r="A55">
        <v>17</v>
      </c>
      <c r="B55" t="s">
        <v>62</v>
      </c>
      <c r="C55" s="4">
        <v>0.86211805555555554</v>
      </c>
      <c r="D55" s="23">
        <v>0.86215277777777777</v>
      </c>
      <c r="E55" s="23">
        <v>0.92004629629629631</v>
      </c>
      <c r="F55" t="s">
        <v>56</v>
      </c>
      <c r="G55" t="s">
        <v>57</v>
      </c>
      <c r="H55">
        <v>34</v>
      </c>
      <c r="I55" s="24">
        <v>5.7928240740740655E-2</v>
      </c>
      <c r="J55">
        <f t="shared" si="0"/>
        <v>0</v>
      </c>
      <c r="K55">
        <f t="shared" si="1"/>
        <v>1</v>
      </c>
    </row>
    <row r="56" spans="1:11" x14ac:dyDescent="0.25">
      <c r="A56">
        <v>18</v>
      </c>
      <c r="B56" t="s">
        <v>51</v>
      </c>
      <c r="C56" s="4">
        <v>0.86211805555555554</v>
      </c>
      <c r="D56" s="23">
        <v>0.86215277777777777</v>
      </c>
      <c r="E56" s="23">
        <v>0.92004629629629631</v>
      </c>
      <c r="F56" t="s">
        <v>56</v>
      </c>
      <c r="G56" t="s">
        <v>57</v>
      </c>
      <c r="H56">
        <v>34</v>
      </c>
      <c r="I56" s="24">
        <v>5.7928240740740655E-2</v>
      </c>
      <c r="J56">
        <f t="shared" si="0"/>
        <v>0</v>
      </c>
      <c r="K56">
        <f t="shared" si="1"/>
        <v>1</v>
      </c>
    </row>
    <row r="57" spans="1:11" x14ac:dyDescent="0.25">
      <c r="A57">
        <v>1</v>
      </c>
      <c r="B57" t="s">
        <v>5</v>
      </c>
      <c r="C57" s="4">
        <v>0.85812500000000003</v>
      </c>
      <c r="D57" s="23">
        <v>0.90012731481481478</v>
      </c>
      <c r="E57" s="23">
        <v>0.95412037037037034</v>
      </c>
      <c r="F57" t="s">
        <v>63</v>
      </c>
      <c r="G57" t="s">
        <v>64</v>
      </c>
      <c r="H57">
        <v>33</v>
      </c>
      <c r="I57" s="24">
        <v>9.5995370370370425E-2</v>
      </c>
      <c r="J57">
        <f t="shared" si="0"/>
        <v>0</v>
      </c>
      <c r="K57">
        <f t="shared" si="1"/>
        <v>1</v>
      </c>
    </row>
    <row r="58" spans="1:11" x14ac:dyDescent="0.25">
      <c r="A58">
        <v>2</v>
      </c>
      <c r="B58" t="s">
        <v>9</v>
      </c>
      <c r="C58" s="4">
        <v>0.85812500000000003</v>
      </c>
      <c r="D58" s="23">
        <v>0.90012731481481478</v>
      </c>
      <c r="E58" s="23">
        <v>0.95412037037037034</v>
      </c>
      <c r="F58" t="s">
        <v>66</v>
      </c>
      <c r="G58" t="s">
        <v>64</v>
      </c>
      <c r="H58">
        <v>33</v>
      </c>
      <c r="I58" s="24">
        <v>9.5995370370370425E-2</v>
      </c>
      <c r="J58">
        <f t="shared" si="0"/>
        <v>0</v>
      </c>
      <c r="K58">
        <f t="shared" si="1"/>
        <v>1</v>
      </c>
    </row>
    <row r="59" spans="1:11" x14ac:dyDescent="0.25">
      <c r="A59">
        <v>3</v>
      </c>
      <c r="B59" t="s">
        <v>11</v>
      </c>
      <c r="C59" s="4">
        <v>0.85812500000000003</v>
      </c>
      <c r="D59" s="23">
        <v>0.90012731481481478</v>
      </c>
      <c r="E59" s="23">
        <v>0.95412037037037034</v>
      </c>
      <c r="F59" t="s">
        <v>67</v>
      </c>
      <c r="G59" t="s">
        <v>64</v>
      </c>
      <c r="H59">
        <v>33</v>
      </c>
      <c r="I59" s="24">
        <v>9.5995370370370425E-2</v>
      </c>
      <c r="J59">
        <f t="shared" si="0"/>
        <v>0</v>
      </c>
      <c r="K59">
        <f t="shared" si="1"/>
        <v>1</v>
      </c>
    </row>
    <row r="60" spans="1:11" x14ac:dyDescent="0.25">
      <c r="A60">
        <v>4</v>
      </c>
      <c r="B60" t="s">
        <v>13</v>
      </c>
      <c r="C60" s="4">
        <v>0.85812500000000003</v>
      </c>
      <c r="D60" s="23">
        <v>0.90012731481481478</v>
      </c>
      <c r="E60" s="23">
        <v>0.95412037037037034</v>
      </c>
      <c r="F60" t="s">
        <v>68</v>
      </c>
      <c r="G60" t="s">
        <v>64</v>
      </c>
      <c r="H60">
        <v>33</v>
      </c>
      <c r="I60" s="24">
        <v>9.5995370370370425E-2</v>
      </c>
      <c r="J60">
        <f t="shared" si="0"/>
        <v>0</v>
      </c>
      <c r="K60">
        <f t="shared" si="1"/>
        <v>1</v>
      </c>
    </row>
    <row r="61" spans="1:11" x14ac:dyDescent="0.25">
      <c r="A61">
        <v>5</v>
      </c>
      <c r="B61" t="s">
        <v>35</v>
      </c>
      <c r="C61" s="4">
        <v>0.85812500000000003</v>
      </c>
      <c r="D61" s="23">
        <v>0.90012731481481478</v>
      </c>
      <c r="E61" s="23">
        <v>0.95412037037037034</v>
      </c>
      <c r="F61" t="s">
        <v>69</v>
      </c>
      <c r="G61" t="s">
        <v>64</v>
      </c>
      <c r="H61">
        <v>33</v>
      </c>
      <c r="I61" s="24">
        <v>9.5995370370370425E-2</v>
      </c>
      <c r="J61">
        <f t="shared" si="0"/>
        <v>0</v>
      </c>
      <c r="K61">
        <f t="shared" si="1"/>
        <v>1</v>
      </c>
    </row>
    <row r="62" spans="1:11" x14ac:dyDescent="0.25">
      <c r="A62">
        <v>7</v>
      </c>
      <c r="B62" t="s">
        <v>70</v>
      </c>
      <c r="C62" s="4">
        <v>0.85812500000000003</v>
      </c>
      <c r="D62" s="23">
        <v>0.85815972222222225</v>
      </c>
      <c r="E62" s="23">
        <v>0.95412037037037034</v>
      </c>
      <c r="F62" t="s">
        <v>71</v>
      </c>
      <c r="G62" t="s">
        <v>64</v>
      </c>
      <c r="H62">
        <v>33</v>
      </c>
      <c r="I62" s="24">
        <v>9.5995370370370425E-2</v>
      </c>
      <c r="J62">
        <f t="shared" si="0"/>
        <v>0</v>
      </c>
      <c r="K62">
        <f t="shared" si="1"/>
        <v>1</v>
      </c>
    </row>
    <row r="63" spans="1:11" x14ac:dyDescent="0.25">
      <c r="A63">
        <v>8</v>
      </c>
      <c r="B63" t="s">
        <v>36</v>
      </c>
      <c r="C63" s="4">
        <v>0.85812500000000003</v>
      </c>
      <c r="D63" s="23">
        <v>0.85815972222222225</v>
      </c>
      <c r="E63" s="23">
        <v>0.95412037037037034</v>
      </c>
      <c r="F63" t="s">
        <v>72</v>
      </c>
      <c r="G63" t="s">
        <v>64</v>
      </c>
      <c r="H63">
        <v>33</v>
      </c>
      <c r="I63" s="24">
        <v>9.5995370370370425E-2</v>
      </c>
      <c r="J63">
        <f t="shared" ref="J63:J123" si="2">IF(AND(H63&gt;=1,H63&lt;=7),1,0)</f>
        <v>0</v>
      </c>
      <c r="K63">
        <f t="shared" ref="K63:K123" si="3">IF(AND(H63&gt;=30,H63&lt;=36),1,0)</f>
        <v>1</v>
      </c>
    </row>
    <row r="64" spans="1:11" x14ac:dyDescent="0.25">
      <c r="A64">
        <v>9</v>
      </c>
      <c r="B64" t="s">
        <v>37</v>
      </c>
      <c r="C64" s="4">
        <v>0.85812500000000003</v>
      </c>
      <c r="D64" s="23">
        <v>0.90012731481481478</v>
      </c>
      <c r="E64" s="23">
        <v>0.95412037037037034</v>
      </c>
      <c r="F64" t="s">
        <v>66</v>
      </c>
      <c r="G64" t="s">
        <v>64</v>
      </c>
      <c r="H64">
        <v>33</v>
      </c>
      <c r="I64" s="24">
        <v>9.5995370370370425E-2</v>
      </c>
      <c r="J64">
        <f t="shared" si="2"/>
        <v>0</v>
      </c>
      <c r="K64">
        <f t="shared" si="3"/>
        <v>1</v>
      </c>
    </row>
    <row r="65" spans="1:11" x14ac:dyDescent="0.25">
      <c r="A65">
        <v>10</v>
      </c>
      <c r="B65" t="s">
        <v>16</v>
      </c>
      <c r="C65" s="4">
        <v>0.85812500000000003</v>
      </c>
      <c r="D65" s="23">
        <v>0.85815972222222225</v>
      </c>
      <c r="E65" s="23">
        <v>0.95412037037037034</v>
      </c>
      <c r="F65" t="s">
        <v>73</v>
      </c>
      <c r="G65" t="s">
        <v>64</v>
      </c>
      <c r="H65">
        <v>33</v>
      </c>
      <c r="I65" s="24">
        <v>9.5995370370370425E-2</v>
      </c>
      <c r="J65">
        <f t="shared" si="2"/>
        <v>0</v>
      </c>
      <c r="K65">
        <f t="shared" si="3"/>
        <v>1</v>
      </c>
    </row>
    <row r="66" spans="1:11" x14ac:dyDescent="0.25">
      <c r="A66">
        <v>11</v>
      </c>
      <c r="B66" t="s">
        <v>39</v>
      </c>
      <c r="C66" s="4">
        <v>0.85812500000000003</v>
      </c>
      <c r="D66" s="23">
        <v>0.85815972222222225</v>
      </c>
      <c r="E66" s="23">
        <v>0.95412037037037034</v>
      </c>
      <c r="F66" t="s">
        <v>71</v>
      </c>
      <c r="G66" t="s">
        <v>64</v>
      </c>
      <c r="H66">
        <v>33</v>
      </c>
      <c r="I66" s="24">
        <v>9.5995370370370425E-2</v>
      </c>
      <c r="J66">
        <f t="shared" si="2"/>
        <v>0</v>
      </c>
      <c r="K66">
        <f t="shared" si="3"/>
        <v>1</v>
      </c>
    </row>
    <row r="67" spans="1:11" x14ac:dyDescent="0.25">
      <c r="A67">
        <v>12</v>
      </c>
      <c r="B67" t="s">
        <v>18</v>
      </c>
      <c r="C67" s="4">
        <v>0.85812500000000003</v>
      </c>
      <c r="D67" s="23">
        <v>0.85815972222222225</v>
      </c>
      <c r="E67" s="23">
        <v>0.95412037037037034</v>
      </c>
      <c r="F67" t="s">
        <v>73</v>
      </c>
      <c r="G67" t="s">
        <v>64</v>
      </c>
      <c r="H67">
        <v>33</v>
      </c>
      <c r="I67" s="24">
        <v>9.5995370370370425E-2</v>
      </c>
      <c r="J67">
        <f t="shared" si="2"/>
        <v>0</v>
      </c>
      <c r="K67">
        <f t="shared" si="3"/>
        <v>1</v>
      </c>
    </row>
    <row r="68" spans="1:11" x14ac:dyDescent="0.25">
      <c r="A68">
        <v>13</v>
      </c>
      <c r="B68" t="s">
        <v>41</v>
      </c>
      <c r="C68" s="4">
        <v>0.85812500000000003</v>
      </c>
      <c r="D68" s="23">
        <v>0.90012731481481478</v>
      </c>
      <c r="E68" s="23">
        <v>0.95412037037037034</v>
      </c>
      <c r="F68" t="s">
        <v>74</v>
      </c>
      <c r="G68" t="s">
        <v>64</v>
      </c>
      <c r="H68">
        <v>33</v>
      </c>
      <c r="I68" s="24">
        <v>9.5995370370370425E-2</v>
      </c>
      <c r="J68">
        <f t="shared" si="2"/>
        <v>0</v>
      </c>
      <c r="K68">
        <f t="shared" si="3"/>
        <v>1</v>
      </c>
    </row>
    <row r="69" spans="1:11" x14ac:dyDescent="0.25">
      <c r="A69">
        <v>14</v>
      </c>
      <c r="B69" t="s">
        <v>20</v>
      </c>
      <c r="C69" s="4">
        <v>0.85812500000000003</v>
      </c>
      <c r="D69" s="23">
        <v>0.85815972222222225</v>
      </c>
      <c r="E69" s="23">
        <v>0.95412037037037034</v>
      </c>
      <c r="F69" t="s">
        <v>75</v>
      </c>
      <c r="G69" t="s">
        <v>64</v>
      </c>
      <c r="H69">
        <v>33</v>
      </c>
      <c r="I69" s="24">
        <v>9.5995370370370425E-2</v>
      </c>
      <c r="J69">
        <f t="shared" si="2"/>
        <v>0</v>
      </c>
      <c r="K69">
        <f t="shared" si="3"/>
        <v>1</v>
      </c>
    </row>
    <row r="70" spans="1:11" x14ac:dyDescent="0.25">
      <c r="A70">
        <v>15</v>
      </c>
      <c r="B70" t="s">
        <v>44</v>
      </c>
      <c r="C70" s="4">
        <v>0.85812500000000003</v>
      </c>
      <c r="D70" s="23">
        <v>0.90012731481481478</v>
      </c>
      <c r="E70" s="23">
        <v>0.95412037037037034</v>
      </c>
      <c r="F70" t="s">
        <v>76</v>
      </c>
      <c r="G70" t="s">
        <v>64</v>
      </c>
      <c r="H70">
        <v>33</v>
      </c>
      <c r="I70" s="24">
        <v>9.5995370370370425E-2</v>
      </c>
      <c r="J70">
        <f t="shared" si="2"/>
        <v>0</v>
      </c>
      <c r="K70">
        <f t="shared" si="3"/>
        <v>1</v>
      </c>
    </row>
    <row r="71" spans="1:11" x14ac:dyDescent="0.25">
      <c r="A71">
        <v>16</v>
      </c>
      <c r="B71" t="s">
        <v>22</v>
      </c>
      <c r="C71" s="4">
        <v>0.85812500000000003</v>
      </c>
      <c r="D71" s="23">
        <v>0.90012731481481478</v>
      </c>
      <c r="E71" s="23">
        <v>0.95412037037037034</v>
      </c>
      <c r="F71" t="s">
        <v>77</v>
      </c>
      <c r="G71" t="s">
        <v>64</v>
      </c>
      <c r="H71">
        <v>33</v>
      </c>
      <c r="I71" s="24">
        <v>9.5995370370370425E-2</v>
      </c>
      <c r="J71">
        <f t="shared" si="2"/>
        <v>0</v>
      </c>
      <c r="K71">
        <f t="shared" si="3"/>
        <v>1</v>
      </c>
    </row>
    <row r="72" spans="1:11" x14ac:dyDescent="0.25">
      <c r="A72">
        <v>17</v>
      </c>
      <c r="B72" t="s">
        <v>61</v>
      </c>
      <c r="C72" s="4">
        <v>0.85812500000000003</v>
      </c>
      <c r="D72" s="23">
        <v>0.85815972222222225</v>
      </c>
      <c r="E72" s="23">
        <v>0.95412037037037034</v>
      </c>
      <c r="F72" t="s">
        <v>71</v>
      </c>
      <c r="G72" t="s">
        <v>64</v>
      </c>
      <c r="H72">
        <v>33</v>
      </c>
      <c r="I72" s="24">
        <v>9.5995370370370425E-2</v>
      </c>
      <c r="J72">
        <f t="shared" si="2"/>
        <v>0</v>
      </c>
      <c r="K72">
        <f t="shared" si="3"/>
        <v>1</v>
      </c>
    </row>
    <row r="73" spans="1:11" x14ac:dyDescent="0.25">
      <c r="A73">
        <v>18</v>
      </c>
      <c r="B73" t="s">
        <v>46</v>
      </c>
      <c r="C73" s="4">
        <v>0.85812500000000003</v>
      </c>
      <c r="D73" s="23">
        <v>0.90012731481481478</v>
      </c>
      <c r="E73" s="23">
        <v>0.95412037037037034</v>
      </c>
      <c r="F73" t="s">
        <v>66</v>
      </c>
      <c r="G73" t="s">
        <v>64</v>
      </c>
      <c r="H73">
        <v>33</v>
      </c>
      <c r="I73" s="24">
        <v>9.5995370370370425E-2</v>
      </c>
      <c r="J73">
        <f t="shared" si="2"/>
        <v>0</v>
      </c>
      <c r="K73">
        <f t="shared" si="3"/>
        <v>1</v>
      </c>
    </row>
    <row r="74" spans="1:11" x14ac:dyDescent="0.25">
      <c r="A74">
        <v>19</v>
      </c>
      <c r="B74" t="s">
        <v>78</v>
      </c>
      <c r="C74" s="4">
        <v>0.85812500000000003</v>
      </c>
      <c r="D74" s="23">
        <v>0.85815972222222225</v>
      </c>
      <c r="E74" s="23">
        <v>0.95412037037037034</v>
      </c>
      <c r="F74" t="s">
        <v>71</v>
      </c>
      <c r="G74" t="s">
        <v>64</v>
      </c>
      <c r="H74">
        <v>33</v>
      </c>
      <c r="I74" s="24">
        <v>9.5995370370370425E-2</v>
      </c>
      <c r="J74">
        <f t="shared" si="2"/>
        <v>0</v>
      </c>
      <c r="K74">
        <f t="shared" si="3"/>
        <v>1</v>
      </c>
    </row>
    <row r="75" spans="1:11" x14ac:dyDescent="0.25">
      <c r="A75">
        <v>20</v>
      </c>
      <c r="B75" t="s">
        <v>25</v>
      </c>
      <c r="C75" s="4">
        <v>0.85812500000000003</v>
      </c>
      <c r="D75" s="23">
        <v>0.85815972222222225</v>
      </c>
      <c r="E75" s="23">
        <v>0.95412037037037034</v>
      </c>
      <c r="F75" t="s">
        <v>79</v>
      </c>
      <c r="G75" t="s">
        <v>64</v>
      </c>
      <c r="H75">
        <v>33</v>
      </c>
      <c r="I75" s="24">
        <v>9.5995370370370425E-2</v>
      </c>
      <c r="J75">
        <f t="shared" si="2"/>
        <v>0</v>
      </c>
      <c r="K75">
        <f t="shared" si="3"/>
        <v>1</v>
      </c>
    </row>
    <row r="76" spans="1:11" x14ac:dyDescent="0.25">
      <c r="A76">
        <v>21</v>
      </c>
      <c r="B76" t="s">
        <v>50</v>
      </c>
      <c r="C76" s="4">
        <v>0.85812500000000003</v>
      </c>
      <c r="D76" s="23">
        <v>0.90012731481481478</v>
      </c>
      <c r="E76" s="23">
        <v>0.95412037037037034</v>
      </c>
      <c r="F76" t="s">
        <v>80</v>
      </c>
      <c r="G76" t="s">
        <v>64</v>
      </c>
      <c r="H76">
        <v>33</v>
      </c>
      <c r="I76" s="24">
        <v>9.5995370370370425E-2</v>
      </c>
      <c r="J76">
        <f t="shared" si="2"/>
        <v>0</v>
      </c>
      <c r="K76">
        <f t="shared" si="3"/>
        <v>1</v>
      </c>
    </row>
    <row r="77" spans="1:11" x14ac:dyDescent="0.25">
      <c r="A77">
        <v>22</v>
      </c>
      <c r="B77" t="s">
        <v>62</v>
      </c>
      <c r="C77" s="4">
        <v>0.85812500000000003</v>
      </c>
      <c r="D77" s="23">
        <v>0.85815972222222225</v>
      </c>
      <c r="E77" s="23">
        <v>0.95412037037037034</v>
      </c>
      <c r="F77" t="s">
        <v>81</v>
      </c>
      <c r="G77" t="s">
        <v>64</v>
      </c>
      <c r="H77">
        <v>33</v>
      </c>
      <c r="I77" s="24">
        <v>9.5995370370370425E-2</v>
      </c>
      <c r="J77">
        <f t="shared" si="2"/>
        <v>0</v>
      </c>
      <c r="K77">
        <f t="shared" si="3"/>
        <v>1</v>
      </c>
    </row>
    <row r="78" spans="1:11" x14ac:dyDescent="0.25">
      <c r="A78">
        <v>24</v>
      </c>
      <c r="B78" t="s">
        <v>83</v>
      </c>
      <c r="C78" s="4">
        <v>0.85812500000000003</v>
      </c>
      <c r="D78" s="23">
        <v>0.90012731481481478</v>
      </c>
      <c r="E78" s="23">
        <v>0.95412037037037034</v>
      </c>
      <c r="F78" t="s">
        <v>84</v>
      </c>
      <c r="G78" t="s">
        <v>64</v>
      </c>
      <c r="H78">
        <v>33</v>
      </c>
      <c r="I78" s="24">
        <v>9.5995370370370425E-2</v>
      </c>
      <c r="J78">
        <f t="shared" si="2"/>
        <v>0</v>
      </c>
      <c r="K78">
        <f t="shared" si="3"/>
        <v>1</v>
      </c>
    </row>
    <row r="79" spans="1:11" x14ac:dyDescent="0.25">
      <c r="A79">
        <v>25</v>
      </c>
      <c r="B79" t="s">
        <v>85</v>
      </c>
      <c r="C79" s="4">
        <v>0.85812500000000003</v>
      </c>
      <c r="D79" s="23">
        <v>0.90012731481481478</v>
      </c>
      <c r="E79" s="23">
        <v>0.95412037037037034</v>
      </c>
      <c r="F79" t="s">
        <v>86</v>
      </c>
      <c r="G79" t="s">
        <v>64</v>
      </c>
      <c r="H79">
        <v>33</v>
      </c>
      <c r="I79" s="24">
        <v>9.5995370370370425E-2</v>
      </c>
      <c r="J79">
        <f t="shared" si="2"/>
        <v>0</v>
      </c>
      <c r="K79">
        <f t="shared" si="3"/>
        <v>1</v>
      </c>
    </row>
    <row r="80" spans="1:11" x14ac:dyDescent="0.25">
      <c r="A80">
        <v>26</v>
      </c>
      <c r="B80" t="s">
        <v>53</v>
      </c>
      <c r="C80" s="4">
        <v>0.85812500000000003</v>
      </c>
      <c r="D80" s="23">
        <v>0.85815972222222225</v>
      </c>
      <c r="E80" s="23">
        <v>0.95412037037037034</v>
      </c>
      <c r="F80" t="s">
        <v>87</v>
      </c>
      <c r="G80" t="s">
        <v>64</v>
      </c>
      <c r="H80">
        <v>33</v>
      </c>
      <c r="I80" s="24">
        <v>9.5995370370370425E-2</v>
      </c>
      <c r="J80">
        <f t="shared" si="2"/>
        <v>0</v>
      </c>
      <c r="K80">
        <f t="shared" si="3"/>
        <v>1</v>
      </c>
    </row>
    <row r="81" spans="1:11" x14ac:dyDescent="0.25">
      <c r="A81">
        <v>27</v>
      </c>
      <c r="B81" t="s">
        <v>54</v>
      </c>
      <c r="C81" s="4">
        <v>0.85812500000000003</v>
      </c>
      <c r="D81" s="23">
        <v>0.85815972222222225</v>
      </c>
      <c r="E81" s="23">
        <v>0.95412037037037034</v>
      </c>
      <c r="F81" t="s">
        <v>88</v>
      </c>
      <c r="G81" t="s">
        <v>64</v>
      </c>
      <c r="H81">
        <v>33</v>
      </c>
      <c r="I81" s="24">
        <v>9.5995370370370425E-2</v>
      </c>
      <c r="J81">
        <f t="shared" si="2"/>
        <v>0</v>
      </c>
      <c r="K81">
        <f t="shared" si="3"/>
        <v>1</v>
      </c>
    </row>
    <row r="82" spans="1:11" x14ac:dyDescent="0.25">
      <c r="A82">
        <v>28</v>
      </c>
      <c r="B82" t="s">
        <v>89</v>
      </c>
      <c r="C82" s="4">
        <v>0.85812500000000003</v>
      </c>
      <c r="D82" s="23">
        <v>0.90012731481481478</v>
      </c>
      <c r="E82" s="23">
        <v>0.95412037037037034</v>
      </c>
      <c r="F82" t="s">
        <v>66</v>
      </c>
      <c r="G82" t="s">
        <v>64</v>
      </c>
      <c r="H82">
        <v>33</v>
      </c>
      <c r="I82" s="24">
        <v>9.5995370370370425E-2</v>
      </c>
      <c r="J82">
        <f t="shared" si="2"/>
        <v>0</v>
      </c>
      <c r="K82">
        <f t="shared" si="3"/>
        <v>1</v>
      </c>
    </row>
    <row r="83" spans="1:11" x14ac:dyDescent="0.25">
      <c r="A83">
        <v>29</v>
      </c>
      <c r="B83" t="s">
        <v>27</v>
      </c>
      <c r="C83" s="4">
        <v>0.85812500000000003</v>
      </c>
      <c r="D83" s="23">
        <v>0.90012731481481478</v>
      </c>
      <c r="E83" s="23">
        <v>0.95412037037037034</v>
      </c>
      <c r="F83" t="s">
        <v>90</v>
      </c>
      <c r="G83" t="s">
        <v>64</v>
      </c>
      <c r="H83">
        <v>33</v>
      </c>
      <c r="I83" s="24">
        <v>9.5995370370370425E-2</v>
      </c>
      <c r="J83">
        <f t="shared" si="2"/>
        <v>0</v>
      </c>
      <c r="K83">
        <f t="shared" si="3"/>
        <v>1</v>
      </c>
    </row>
    <row r="84" spans="1:11" x14ac:dyDescent="0.25">
      <c r="A84">
        <v>1</v>
      </c>
      <c r="B84" t="s">
        <v>5</v>
      </c>
      <c r="C84" s="4">
        <v>0.86310185185185184</v>
      </c>
      <c r="D84" s="23">
        <v>0.86314814814814811</v>
      </c>
      <c r="E84" s="23">
        <v>0.94920138888888894</v>
      </c>
      <c r="F84" t="s">
        <v>91</v>
      </c>
      <c r="G84" t="s">
        <v>92</v>
      </c>
      <c r="H84">
        <v>32</v>
      </c>
      <c r="I84" s="24">
        <v>8.6099537037036988E-2</v>
      </c>
      <c r="J84">
        <f t="shared" si="2"/>
        <v>0</v>
      </c>
      <c r="K84">
        <f t="shared" si="3"/>
        <v>1</v>
      </c>
    </row>
    <row r="85" spans="1:11" x14ac:dyDescent="0.25">
      <c r="A85">
        <v>2</v>
      </c>
      <c r="B85" t="s">
        <v>9</v>
      </c>
      <c r="C85" s="4">
        <v>0.86310185185185184</v>
      </c>
      <c r="D85" s="23">
        <v>0.94907407407407407</v>
      </c>
      <c r="E85" s="23">
        <v>0.94920138888888894</v>
      </c>
      <c r="F85" t="s">
        <v>94</v>
      </c>
      <c r="G85" t="s">
        <v>92</v>
      </c>
      <c r="H85">
        <v>32</v>
      </c>
      <c r="I85" s="24">
        <v>8.6099537037036988E-2</v>
      </c>
      <c r="J85">
        <f t="shared" si="2"/>
        <v>0</v>
      </c>
      <c r="K85">
        <f t="shared" si="3"/>
        <v>1</v>
      </c>
    </row>
    <row r="86" spans="1:11" x14ac:dyDescent="0.25">
      <c r="A86">
        <v>3</v>
      </c>
      <c r="B86" t="s">
        <v>11</v>
      </c>
      <c r="C86" s="4">
        <v>0.86310185185185184</v>
      </c>
      <c r="D86" s="23">
        <v>0.86314814814814811</v>
      </c>
      <c r="E86" s="23">
        <v>0.94920138888888894</v>
      </c>
      <c r="F86" t="s">
        <v>95</v>
      </c>
      <c r="G86" t="s">
        <v>92</v>
      </c>
      <c r="H86">
        <v>32</v>
      </c>
      <c r="I86" s="24">
        <v>8.6099537037036988E-2</v>
      </c>
      <c r="J86">
        <f t="shared" si="2"/>
        <v>0</v>
      </c>
      <c r="K86">
        <f t="shared" si="3"/>
        <v>1</v>
      </c>
    </row>
    <row r="87" spans="1:11" x14ac:dyDescent="0.25">
      <c r="A87">
        <v>4</v>
      </c>
      <c r="B87" t="s">
        <v>35</v>
      </c>
      <c r="C87" s="4">
        <v>0.86310185185185184</v>
      </c>
      <c r="D87" s="23">
        <v>0.86314814814814811</v>
      </c>
      <c r="E87" s="23">
        <v>0.94920138888888894</v>
      </c>
      <c r="F87" t="s">
        <v>91</v>
      </c>
      <c r="G87" t="s">
        <v>92</v>
      </c>
      <c r="H87">
        <v>32</v>
      </c>
      <c r="I87" s="24">
        <v>8.6099537037036988E-2</v>
      </c>
      <c r="J87">
        <f t="shared" si="2"/>
        <v>0</v>
      </c>
      <c r="K87">
        <f t="shared" si="3"/>
        <v>1</v>
      </c>
    </row>
    <row r="88" spans="1:11" x14ac:dyDescent="0.25">
      <c r="A88">
        <v>6</v>
      </c>
      <c r="B88" t="s">
        <v>70</v>
      </c>
      <c r="C88" s="4">
        <v>0.86310185185185184</v>
      </c>
      <c r="D88" s="23">
        <v>0.86314814814814811</v>
      </c>
      <c r="E88" s="23">
        <v>0.94920138888888894</v>
      </c>
      <c r="F88" t="s">
        <v>91</v>
      </c>
      <c r="G88" t="s">
        <v>92</v>
      </c>
      <c r="H88">
        <v>32</v>
      </c>
      <c r="I88" s="24">
        <v>8.6099537037036988E-2</v>
      </c>
      <c r="J88">
        <f t="shared" si="2"/>
        <v>0</v>
      </c>
      <c r="K88">
        <f t="shared" si="3"/>
        <v>1</v>
      </c>
    </row>
    <row r="89" spans="1:11" x14ac:dyDescent="0.25">
      <c r="A89">
        <v>7</v>
      </c>
      <c r="B89" t="s">
        <v>97</v>
      </c>
      <c r="C89" s="4">
        <v>0.86310185185185184</v>
      </c>
      <c r="D89" s="23">
        <v>0.94907407407407407</v>
      </c>
      <c r="E89" s="23">
        <v>0.94920138888888894</v>
      </c>
      <c r="F89" t="s">
        <v>96</v>
      </c>
      <c r="G89" t="s">
        <v>92</v>
      </c>
      <c r="H89">
        <v>32</v>
      </c>
      <c r="I89" s="24">
        <v>8.6099537037036988E-2</v>
      </c>
      <c r="J89">
        <f t="shared" si="2"/>
        <v>0</v>
      </c>
      <c r="K89">
        <f t="shared" si="3"/>
        <v>1</v>
      </c>
    </row>
    <row r="90" spans="1:11" x14ac:dyDescent="0.25">
      <c r="A90">
        <v>8</v>
      </c>
      <c r="B90" t="s">
        <v>16</v>
      </c>
      <c r="C90" s="4">
        <v>0.86310185185185184</v>
      </c>
      <c r="D90" s="23">
        <v>0.86314814814814811</v>
      </c>
      <c r="E90" s="23">
        <v>0.94920138888888894</v>
      </c>
      <c r="F90" t="s">
        <v>95</v>
      </c>
      <c r="G90" t="s">
        <v>92</v>
      </c>
      <c r="H90">
        <v>32</v>
      </c>
      <c r="I90" s="24">
        <v>8.6099537037036988E-2</v>
      </c>
      <c r="J90">
        <f t="shared" si="2"/>
        <v>0</v>
      </c>
      <c r="K90">
        <f t="shared" si="3"/>
        <v>1</v>
      </c>
    </row>
    <row r="91" spans="1:11" x14ac:dyDescent="0.25">
      <c r="A91">
        <v>9</v>
      </c>
      <c r="B91" t="s">
        <v>39</v>
      </c>
      <c r="C91" s="4">
        <v>0.86310185185185184</v>
      </c>
      <c r="D91" s="23">
        <v>0.86314814814814811</v>
      </c>
      <c r="E91" s="23">
        <v>0.94920138888888894</v>
      </c>
      <c r="F91" t="s">
        <v>91</v>
      </c>
      <c r="G91" t="s">
        <v>92</v>
      </c>
      <c r="H91">
        <v>32</v>
      </c>
      <c r="I91" s="24">
        <v>8.6099537037036988E-2</v>
      </c>
      <c r="J91">
        <f t="shared" si="2"/>
        <v>0</v>
      </c>
      <c r="K91">
        <f t="shared" si="3"/>
        <v>1</v>
      </c>
    </row>
    <row r="92" spans="1:11" x14ac:dyDescent="0.25">
      <c r="A92">
        <v>10</v>
      </c>
      <c r="B92" t="s">
        <v>18</v>
      </c>
      <c r="C92" s="4">
        <v>0.86310185185185184</v>
      </c>
      <c r="D92" s="23">
        <v>0.86314814814814811</v>
      </c>
      <c r="E92" s="23">
        <v>0.94920138888888894</v>
      </c>
      <c r="F92" t="s">
        <v>98</v>
      </c>
      <c r="G92" t="s">
        <v>92</v>
      </c>
      <c r="H92">
        <v>32</v>
      </c>
      <c r="I92" s="24">
        <v>8.6099537037036988E-2</v>
      </c>
      <c r="J92">
        <f t="shared" si="2"/>
        <v>0</v>
      </c>
      <c r="K92">
        <f t="shared" si="3"/>
        <v>1</v>
      </c>
    </row>
    <row r="93" spans="1:11" x14ac:dyDescent="0.25">
      <c r="A93">
        <v>11</v>
      </c>
      <c r="B93" t="s">
        <v>41</v>
      </c>
      <c r="C93" s="4">
        <v>0.86310185185185184</v>
      </c>
      <c r="D93" s="23">
        <v>0.86314814814814811</v>
      </c>
      <c r="E93" s="23">
        <v>0.94920138888888894</v>
      </c>
      <c r="F93" t="s">
        <v>95</v>
      </c>
      <c r="G93" t="s">
        <v>92</v>
      </c>
      <c r="H93">
        <v>32</v>
      </c>
      <c r="I93" s="24">
        <v>8.6099537037036988E-2</v>
      </c>
      <c r="J93">
        <f t="shared" si="2"/>
        <v>0</v>
      </c>
      <c r="K93">
        <f t="shared" si="3"/>
        <v>1</v>
      </c>
    </row>
    <row r="94" spans="1:11" x14ac:dyDescent="0.25">
      <c r="A94">
        <v>12</v>
      </c>
      <c r="B94" t="s">
        <v>20</v>
      </c>
      <c r="C94" s="4">
        <v>0.86310185185185184</v>
      </c>
      <c r="D94" s="23">
        <v>0.86314814814814811</v>
      </c>
      <c r="E94" s="23">
        <v>0.94920138888888894</v>
      </c>
      <c r="F94" t="s">
        <v>91</v>
      </c>
      <c r="G94" t="s">
        <v>92</v>
      </c>
      <c r="H94">
        <v>32</v>
      </c>
      <c r="I94" s="24">
        <v>8.6099537037036988E-2</v>
      </c>
      <c r="J94">
        <f t="shared" si="2"/>
        <v>0</v>
      </c>
      <c r="K94">
        <f t="shared" si="3"/>
        <v>1</v>
      </c>
    </row>
    <row r="95" spans="1:11" x14ac:dyDescent="0.25">
      <c r="A95">
        <v>13</v>
      </c>
      <c r="B95" t="s">
        <v>44</v>
      </c>
      <c r="C95" s="4">
        <v>0.86310185185185184</v>
      </c>
      <c r="D95" s="23">
        <v>0.86314814814814811</v>
      </c>
      <c r="E95" s="23">
        <v>0.94920138888888894</v>
      </c>
      <c r="F95" t="s">
        <v>91</v>
      </c>
      <c r="G95" t="s">
        <v>92</v>
      </c>
      <c r="H95">
        <v>32</v>
      </c>
      <c r="I95" s="24">
        <v>8.6099537037036988E-2</v>
      </c>
      <c r="J95">
        <f t="shared" si="2"/>
        <v>0</v>
      </c>
      <c r="K95">
        <f t="shared" si="3"/>
        <v>1</v>
      </c>
    </row>
    <row r="96" spans="1:11" x14ac:dyDescent="0.25">
      <c r="A96">
        <v>14</v>
      </c>
      <c r="B96" t="s">
        <v>99</v>
      </c>
      <c r="C96" s="4">
        <v>0.86310185185185184</v>
      </c>
      <c r="D96" s="23">
        <v>0.86314814814814811</v>
      </c>
      <c r="E96" s="23">
        <v>0.94920138888888894</v>
      </c>
      <c r="F96" t="s">
        <v>91</v>
      </c>
      <c r="G96" t="s">
        <v>92</v>
      </c>
      <c r="H96">
        <v>32</v>
      </c>
      <c r="I96" s="24">
        <v>8.6099537037036988E-2</v>
      </c>
      <c r="J96">
        <f t="shared" si="2"/>
        <v>0</v>
      </c>
      <c r="K96">
        <f t="shared" si="3"/>
        <v>1</v>
      </c>
    </row>
    <row r="97" spans="1:11" x14ac:dyDescent="0.25">
      <c r="A97">
        <v>15</v>
      </c>
      <c r="B97" t="s">
        <v>22</v>
      </c>
      <c r="C97" s="4">
        <v>0.86310185185185184</v>
      </c>
      <c r="D97" s="23">
        <v>0.86314814814814811</v>
      </c>
      <c r="E97" s="23">
        <v>0.94920138888888894</v>
      </c>
      <c r="F97" t="s">
        <v>95</v>
      </c>
      <c r="G97" t="s">
        <v>92</v>
      </c>
      <c r="H97">
        <v>32</v>
      </c>
      <c r="I97" s="24">
        <v>8.6099537037036988E-2</v>
      </c>
      <c r="J97">
        <f t="shared" si="2"/>
        <v>0</v>
      </c>
      <c r="K97">
        <f t="shared" si="3"/>
        <v>1</v>
      </c>
    </row>
    <row r="98" spans="1:11" x14ac:dyDescent="0.25">
      <c r="A98">
        <v>16</v>
      </c>
      <c r="B98" t="s">
        <v>46</v>
      </c>
      <c r="C98" s="4">
        <v>0.86310185185185184</v>
      </c>
      <c r="D98" s="23">
        <v>0.86314814814814811</v>
      </c>
      <c r="E98" s="23">
        <v>0.94920138888888894</v>
      </c>
      <c r="F98" t="s">
        <v>91</v>
      </c>
      <c r="G98" t="s">
        <v>92</v>
      </c>
      <c r="H98">
        <v>32</v>
      </c>
      <c r="I98" s="24">
        <v>8.6099537037036988E-2</v>
      </c>
      <c r="J98">
        <f t="shared" si="2"/>
        <v>0</v>
      </c>
      <c r="K98">
        <f t="shared" si="3"/>
        <v>1</v>
      </c>
    </row>
    <row r="99" spans="1:11" x14ac:dyDescent="0.25">
      <c r="A99">
        <v>17</v>
      </c>
      <c r="B99" t="s">
        <v>100</v>
      </c>
      <c r="C99" s="4">
        <v>0.86310185185185184</v>
      </c>
      <c r="D99" s="23">
        <v>0.86314814814814811</v>
      </c>
      <c r="E99" s="23">
        <v>0.94920138888888894</v>
      </c>
      <c r="F99" t="s">
        <v>91</v>
      </c>
      <c r="G99" t="s">
        <v>92</v>
      </c>
      <c r="H99">
        <v>32</v>
      </c>
      <c r="I99" s="24">
        <v>8.6099537037036988E-2</v>
      </c>
      <c r="J99">
        <f t="shared" si="2"/>
        <v>0</v>
      </c>
      <c r="K99">
        <f t="shared" si="3"/>
        <v>1</v>
      </c>
    </row>
    <row r="100" spans="1:11" x14ac:dyDescent="0.25">
      <c r="A100">
        <v>18</v>
      </c>
      <c r="B100" t="s">
        <v>25</v>
      </c>
      <c r="C100" s="4">
        <v>0.86310185185185184</v>
      </c>
      <c r="D100" s="23">
        <v>0.86314814814814811</v>
      </c>
      <c r="E100" s="23">
        <v>0.94920138888888894</v>
      </c>
      <c r="F100" t="s">
        <v>91</v>
      </c>
      <c r="G100" t="s">
        <v>92</v>
      </c>
      <c r="H100">
        <v>32</v>
      </c>
      <c r="I100" s="24">
        <v>8.6099537037036988E-2</v>
      </c>
      <c r="J100">
        <f t="shared" si="2"/>
        <v>0</v>
      </c>
      <c r="K100">
        <f t="shared" si="3"/>
        <v>1</v>
      </c>
    </row>
    <row r="101" spans="1:11" x14ac:dyDescent="0.25">
      <c r="A101">
        <v>19</v>
      </c>
      <c r="B101" t="s">
        <v>50</v>
      </c>
      <c r="C101" s="4">
        <v>0.86310185185185184</v>
      </c>
      <c r="D101" s="23">
        <v>0.86314814814814811</v>
      </c>
      <c r="E101" s="23">
        <v>0.94920138888888894</v>
      </c>
      <c r="F101" t="s">
        <v>91</v>
      </c>
      <c r="G101" t="s">
        <v>92</v>
      </c>
      <c r="H101">
        <v>32</v>
      </c>
      <c r="I101" s="24">
        <v>8.6099537037036988E-2</v>
      </c>
      <c r="J101">
        <f t="shared" si="2"/>
        <v>0</v>
      </c>
      <c r="K101">
        <f t="shared" si="3"/>
        <v>1</v>
      </c>
    </row>
    <row r="102" spans="1:11" x14ac:dyDescent="0.25">
      <c r="A102">
        <v>20</v>
      </c>
      <c r="B102" t="s">
        <v>51</v>
      </c>
      <c r="C102" s="4">
        <v>0.86310185185185184</v>
      </c>
      <c r="D102" s="23">
        <v>0.86314814814814811</v>
      </c>
      <c r="E102" s="23">
        <v>0.94920138888888894</v>
      </c>
      <c r="F102" t="s">
        <v>91</v>
      </c>
      <c r="G102" t="s">
        <v>92</v>
      </c>
      <c r="H102">
        <v>32</v>
      </c>
      <c r="I102" s="24">
        <v>8.6099537037036988E-2</v>
      </c>
      <c r="J102">
        <f t="shared" si="2"/>
        <v>0</v>
      </c>
      <c r="K102">
        <f t="shared" si="3"/>
        <v>1</v>
      </c>
    </row>
    <row r="103" spans="1:11" x14ac:dyDescent="0.25">
      <c r="A103">
        <v>21</v>
      </c>
      <c r="B103" t="s">
        <v>83</v>
      </c>
      <c r="C103" s="4">
        <v>0.86310185185185184</v>
      </c>
      <c r="D103" s="23">
        <v>0.86314814814814811</v>
      </c>
      <c r="E103" s="23">
        <v>0.94920138888888894</v>
      </c>
      <c r="F103" t="s">
        <v>91</v>
      </c>
      <c r="G103" t="s">
        <v>92</v>
      </c>
      <c r="H103">
        <v>32</v>
      </c>
      <c r="I103" s="24">
        <v>8.6099537037036988E-2</v>
      </c>
      <c r="J103">
        <f t="shared" si="2"/>
        <v>0</v>
      </c>
      <c r="K103">
        <f t="shared" si="3"/>
        <v>1</v>
      </c>
    </row>
    <row r="104" spans="1:11" x14ac:dyDescent="0.25">
      <c r="A104">
        <v>22</v>
      </c>
      <c r="B104" t="s">
        <v>101</v>
      </c>
      <c r="C104" s="4">
        <v>0.86310185185185184</v>
      </c>
      <c r="D104" s="23">
        <v>0.86314814814814811</v>
      </c>
      <c r="E104" s="23">
        <v>0.94920138888888894</v>
      </c>
      <c r="F104" t="s">
        <v>91</v>
      </c>
      <c r="G104" t="s">
        <v>92</v>
      </c>
      <c r="H104">
        <v>32</v>
      </c>
      <c r="I104" s="24">
        <v>8.6099537037036988E-2</v>
      </c>
      <c r="J104">
        <f t="shared" si="2"/>
        <v>0</v>
      </c>
      <c r="K104">
        <f t="shared" si="3"/>
        <v>1</v>
      </c>
    </row>
    <row r="105" spans="1:11" x14ac:dyDescent="0.25">
      <c r="A105">
        <v>23</v>
      </c>
      <c r="B105" t="s">
        <v>53</v>
      </c>
      <c r="C105" s="4">
        <v>0.86310185185185184</v>
      </c>
      <c r="D105" s="23">
        <v>0.86314814814814811</v>
      </c>
      <c r="E105" s="23">
        <v>0.94920138888888894</v>
      </c>
      <c r="F105" t="s">
        <v>102</v>
      </c>
      <c r="G105" t="s">
        <v>92</v>
      </c>
      <c r="H105">
        <v>32</v>
      </c>
      <c r="I105" s="24">
        <v>8.6099537037036988E-2</v>
      </c>
      <c r="J105">
        <f t="shared" si="2"/>
        <v>0</v>
      </c>
      <c r="K105">
        <f t="shared" si="3"/>
        <v>1</v>
      </c>
    </row>
    <row r="106" spans="1:11" x14ac:dyDescent="0.25">
      <c r="A106">
        <v>24</v>
      </c>
      <c r="B106" t="s">
        <v>54</v>
      </c>
      <c r="C106" s="4">
        <v>0.86310185185185184</v>
      </c>
      <c r="D106" s="23">
        <v>0.86314814814814811</v>
      </c>
      <c r="E106" s="23">
        <v>0.94920138888888894</v>
      </c>
      <c r="F106" t="s">
        <v>91</v>
      </c>
      <c r="G106" t="s">
        <v>92</v>
      </c>
      <c r="H106">
        <v>32</v>
      </c>
      <c r="I106" s="24">
        <v>8.6099537037036988E-2</v>
      </c>
      <c r="J106">
        <f t="shared" si="2"/>
        <v>0</v>
      </c>
      <c r="K106">
        <f t="shared" si="3"/>
        <v>1</v>
      </c>
    </row>
    <row r="107" spans="1:11" x14ac:dyDescent="0.25">
      <c r="A107">
        <v>1</v>
      </c>
      <c r="B107" t="s">
        <v>5</v>
      </c>
      <c r="C107" s="4">
        <v>0.8586921296296296</v>
      </c>
      <c r="D107" s="23">
        <v>0.85872685185185182</v>
      </c>
      <c r="E107" s="23">
        <v>0.92413194444444446</v>
      </c>
      <c r="F107" t="s">
        <v>103</v>
      </c>
      <c r="G107" t="s">
        <v>104</v>
      </c>
      <c r="H107">
        <v>31</v>
      </c>
      <c r="I107" s="24">
        <v>6.5439814814814756E-2</v>
      </c>
      <c r="J107">
        <f t="shared" si="2"/>
        <v>0</v>
      </c>
      <c r="K107">
        <f t="shared" si="3"/>
        <v>1</v>
      </c>
    </row>
    <row r="108" spans="1:11" x14ac:dyDescent="0.25">
      <c r="A108">
        <v>2</v>
      </c>
      <c r="B108" t="s">
        <v>9</v>
      </c>
      <c r="C108" s="4">
        <v>0.8586921296296296</v>
      </c>
      <c r="D108" s="23">
        <v>0.85872685185185182</v>
      </c>
      <c r="E108" s="23">
        <v>0.92413194444444446</v>
      </c>
      <c r="F108" t="s">
        <v>106</v>
      </c>
      <c r="G108" t="s">
        <v>104</v>
      </c>
      <c r="H108">
        <v>31</v>
      </c>
      <c r="I108" s="24">
        <v>6.5439814814814756E-2</v>
      </c>
      <c r="J108">
        <f t="shared" si="2"/>
        <v>0</v>
      </c>
      <c r="K108">
        <f t="shared" si="3"/>
        <v>1</v>
      </c>
    </row>
    <row r="109" spans="1:11" x14ac:dyDescent="0.25">
      <c r="A109">
        <v>3</v>
      </c>
      <c r="B109" t="s">
        <v>11</v>
      </c>
      <c r="C109" s="4">
        <v>0.8586921296296296</v>
      </c>
      <c r="D109" s="23">
        <v>0.86487268518518523</v>
      </c>
      <c r="E109" s="23">
        <v>0.92413194444444446</v>
      </c>
      <c r="F109" t="s">
        <v>107</v>
      </c>
      <c r="G109" t="s">
        <v>104</v>
      </c>
      <c r="H109">
        <v>31</v>
      </c>
      <c r="I109" s="24">
        <v>6.5439814814814756E-2</v>
      </c>
      <c r="J109">
        <f t="shared" si="2"/>
        <v>0</v>
      </c>
      <c r="K109">
        <f t="shared" si="3"/>
        <v>1</v>
      </c>
    </row>
    <row r="110" spans="1:11" x14ac:dyDescent="0.25">
      <c r="A110">
        <v>4</v>
      </c>
      <c r="B110" t="s">
        <v>13</v>
      </c>
      <c r="C110" s="4">
        <v>0.8586921296296296</v>
      </c>
      <c r="D110" s="23">
        <v>0.86438657407407404</v>
      </c>
      <c r="E110" s="23">
        <v>0.92413194444444446</v>
      </c>
      <c r="F110" t="s">
        <v>108</v>
      </c>
      <c r="G110" t="s">
        <v>104</v>
      </c>
      <c r="H110">
        <v>31</v>
      </c>
      <c r="I110" s="24">
        <v>6.5439814814814756E-2</v>
      </c>
      <c r="J110">
        <f t="shared" si="2"/>
        <v>0</v>
      </c>
      <c r="K110">
        <f t="shared" si="3"/>
        <v>1</v>
      </c>
    </row>
    <row r="111" spans="1:11" x14ac:dyDescent="0.25">
      <c r="A111">
        <v>6</v>
      </c>
      <c r="B111" t="s">
        <v>70</v>
      </c>
      <c r="C111" s="4">
        <v>0.8586921296296296</v>
      </c>
      <c r="D111" s="23">
        <v>0.85872685185185182</v>
      </c>
      <c r="E111" s="23">
        <v>0.92413194444444446</v>
      </c>
      <c r="F111" t="s">
        <v>109</v>
      </c>
      <c r="G111" t="s">
        <v>104</v>
      </c>
      <c r="H111">
        <v>31</v>
      </c>
      <c r="I111" s="24">
        <v>6.5439814814814756E-2</v>
      </c>
      <c r="J111">
        <f t="shared" si="2"/>
        <v>0</v>
      </c>
      <c r="K111">
        <f t="shared" si="3"/>
        <v>1</v>
      </c>
    </row>
    <row r="112" spans="1:11" x14ac:dyDescent="0.25">
      <c r="A112">
        <v>7</v>
      </c>
      <c r="B112" t="s">
        <v>59</v>
      </c>
      <c r="C112" s="4">
        <v>0.8586921296296296</v>
      </c>
      <c r="D112" s="23">
        <v>0.85872685185185182</v>
      </c>
      <c r="E112" s="23">
        <v>0.92413194444444446</v>
      </c>
      <c r="F112" t="s">
        <v>110</v>
      </c>
      <c r="G112" t="s">
        <v>104</v>
      </c>
      <c r="H112">
        <v>31</v>
      </c>
      <c r="I112" s="24">
        <v>6.5439814814814756E-2</v>
      </c>
      <c r="J112">
        <f t="shared" si="2"/>
        <v>0</v>
      </c>
      <c r="K112">
        <f t="shared" si="3"/>
        <v>1</v>
      </c>
    </row>
    <row r="113" spans="1:11" x14ac:dyDescent="0.25">
      <c r="A113">
        <v>8</v>
      </c>
      <c r="B113" t="s">
        <v>97</v>
      </c>
      <c r="C113" s="4">
        <v>0.8586921296296296</v>
      </c>
      <c r="D113" s="23">
        <v>0.85872685185185182</v>
      </c>
      <c r="E113" s="23">
        <v>0.92413194444444446</v>
      </c>
      <c r="F113" t="s">
        <v>111</v>
      </c>
      <c r="G113" t="s">
        <v>104</v>
      </c>
      <c r="H113">
        <v>31</v>
      </c>
      <c r="I113" s="24">
        <v>6.5439814814814756E-2</v>
      </c>
      <c r="J113">
        <f t="shared" si="2"/>
        <v>0</v>
      </c>
      <c r="K113">
        <f t="shared" si="3"/>
        <v>1</v>
      </c>
    </row>
    <row r="114" spans="1:11" x14ac:dyDescent="0.25">
      <c r="A114">
        <v>9</v>
      </c>
      <c r="B114" t="s">
        <v>112</v>
      </c>
      <c r="C114" s="4">
        <v>0.8586921296296296</v>
      </c>
      <c r="D114" s="23">
        <v>0.86438657407407404</v>
      </c>
      <c r="E114" s="23">
        <v>0.92413194444444446</v>
      </c>
      <c r="F114" t="s">
        <v>113</v>
      </c>
      <c r="G114" t="s">
        <v>104</v>
      </c>
      <c r="H114">
        <v>31</v>
      </c>
      <c r="I114" s="24">
        <v>6.5439814814814756E-2</v>
      </c>
      <c r="J114">
        <f t="shared" si="2"/>
        <v>0</v>
      </c>
      <c r="K114">
        <f t="shared" si="3"/>
        <v>1</v>
      </c>
    </row>
    <row r="115" spans="1:11" x14ac:dyDescent="0.25">
      <c r="A115">
        <v>10</v>
      </c>
      <c r="B115" t="s">
        <v>37</v>
      </c>
      <c r="C115" s="4">
        <v>0.8586921296296296</v>
      </c>
      <c r="D115" s="23">
        <v>0.85872685185185182</v>
      </c>
      <c r="E115" s="23">
        <v>0.92413194444444446</v>
      </c>
      <c r="F115" t="s">
        <v>106</v>
      </c>
      <c r="G115" t="s">
        <v>104</v>
      </c>
      <c r="H115">
        <v>31</v>
      </c>
      <c r="I115" s="24">
        <v>6.5439814814814756E-2</v>
      </c>
      <c r="J115">
        <f t="shared" si="2"/>
        <v>0</v>
      </c>
      <c r="K115">
        <f t="shared" si="3"/>
        <v>1</v>
      </c>
    </row>
    <row r="116" spans="1:11" x14ac:dyDescent="0.25">
      <c r="A116">
        <v>11</v>
      </c>
      <c r="B116" t="s">
        <v>16</v>
      </c>
      <c r="C116" s="4">
        <v>0.8586921296296296</v>
      </c>
      <c r="D116" s="23">
        <v>0.85872685185185182</v>
      </c>
      <c r="E116" s="23">
        <v>0.92413194444444446</v>
      </c>
      <c r="F116" t="s">
        <v>106</v>
      </c>
      <c r="G116" t="s">
        <v>104</v>
      </c>
      <c r="H116">
        <v>31</v>
      </c>
      <c r="I116" s="24">
        <v>6.5439814814814756E-2</v>
      </c>
      <c r="J116">
        <f t="shared" si="2"/>
        <v>0</v>
      </c>
      <c r="K116">
        <f t="shared" si="3"/>
        <v>1</v>
      </c>
    </row>
    <row r="117" spans="1:11" x14ac:dyDescent="0.25">
      <c r="A117">
        <v>12</v>
      </c>
      <c r="B117" t="s">
        <v>114</v>
      </c>
      <c r="C117" s="4">
        <v>0.8586921296296296</v>
      </c>
      <c r="D117" s="23">
        <v>0.85872685185185182</v>
      </c>
      <c r="E117" s="23">
        <v>0.92413194444444446</v>
      </c>
      <c r="F117" t="s">
        <v>115</v>
      </c>
      <c r="G117" t="s">
        <v>104</v>
      </c>
      <c r="H117">
        <v>31</v>
      </c>
      <c r="I117" s="24">
        <v>6.5439814814814756E-2</v>
      </c>
      <c r="J117">
        <f t="shared" si="2"/>
        <v>0</v>
      </c>
      <c r="K117">
        <f t="shared" si="3"/>
        <v>1</v>
      </c>
    </row>
    <row r="118" spans="1:11" x14ac:dyDescent="0.25">
      <c r="A118">
        <v>13</v>
      </c>
      <c r="B118" t="s">
        <v>18</v>
      </c>
      <c r="C118" s="4">
        <v>0.8586921296296296</v>
      </c>
      <c r="D118" s="23">
        <v>0.85872685185185182</v>
      </c>
      <c r="E118" s="23">
        <v>0.92413194444444446</v>
      </c>
      <c r="F118" t="s">
        <v>116</v>
      </c>
      <c r="G118" t="s">
        <v>104</v>
      </c>
      <c r="H118">
        <v>31</v>
      </c>
      <c r="I118" s="24">
        <v>6.5439814814814756E-2</v>
      </c>
      <c r="J118">
        <f t="shared" si="2"/>
        <v>0</v>
      </c>
      <c r="K118">
        <f t="shared" si="3"/>
        <v>1</v>
      </c>
    </row>
    <row r="119" spans="1:11" x14ac:dyDescent="0.25">
      <c r="A119">
        <v>14</v>
      </c>
      <c r="B119" t="s">
        <v>41</v>
      </c>
      <c r="C119" s="4">
        <v>0.8586921296296296</v>
      </c>
      <c r="D119" s="23">
        <v>0.8654398148148148</v>
      </c>
      <c r="E119" s="23">
        <v>0.92413194444444446</v>
      </c>
      <c r="F119" t="s">
        <v>117</v>
      </c>
      <c r="G119" t="s">
        <v>104</v>
      </c>
      <c r="H119">
        <v>31</v>
      </c>
      <c r="I119" s="24">
        <v>6.5439814814814756E-2</v>
      </c>
      <c r="J119">
        <f t="shared" si="2"/>
        <v>0</v>
      </c>
      <c r="K119">
        <f t="shared" si="3"/>
        <v>1</v>
      </c>
    </row>
    <row r="120" spans="1:11" x14ac:dyDescent="0.25">
      <c r="A120">
        <v>15</v>
      </c>
      <c r="B120" t="s">
        <v>118</v>
      </c>
      <c r="C120" s="4">
        <v>0.8586921296296296</v>
      </c>
      <c r="D120" s="23">
        <v>0.86438657407407404</v>
      </c>
      <c r="E120" s="23">
        <v>0.92413194444444446</v>
      </c>
      <c r="F120" t="s">
        <v>119</v>
      </c>
      <c r="G120" t="s">
        <v>104</v>
      </c>
      <c r="H120">
        <v>31</v>
      </c>
      <c r="I120" s="24">
        <v>6.5439814814814756E-2</v>
      </c>
      <c r="J120">
        <f t="shared" si="2"/>
        <v>0</v>
      </c>
      <c r="K120">
        <f t="shared" si="3"/>
        <v>1</v>
      </c>
    </row>
    <row r="121" spans="1:11" x14ac:dyDescent="0.25">
      <c r="A121">
        <v>16</v>
      </c>
      <c r="B121" t="s">
        <v>60</v>
      </c>
      <c r="C121" s="4">
        <v>0.8586921296296296</v>
      </c>
      <c r="D121" s="23">
        <v>0.85872685185185182</v>
      </c>
      <c r="E121" s="23">
        <v>0.92413194444444446</v>
      </c>
      <c r="F121" t="s">
        <v>120</v>
      </c>
      <c r="G121" t="s">
        <v>104</v>
      </c>
      <c r="H121">
        <v>31</v>
      </c>
      <c r="I121" s="24">
        <v>6.5439814814814756E-2</v>
      </c>
      <c r="J121">
        <f t="shared" si="2"/>
        <v>0</v>
      </c>
      <c r="K121">
        <f t="shared" si="3"/>
        <v>1</v>
      </c>
    </row>
    <row r="122" spans="1:11" x14ac:dyDescent="0.25">
      <c r="A122">
        <v>17</v>
      </c>
      <c r="B122" t="s">
        <v>20</v>
      </c>
      <c r="C122" s="4">
        <v>0.8586921296296296</v>
      </c>
      <c r="D122" s="23">
        <v>0.85872685185185182</v>
      </c>
      <c r="E122" s="23">
        <v>0.92413194444444446</v>
      </c>
      <c r="F122" t="s">
        <v>121</v>
      </c>
      <c r="G122" t="s">
        <v>104</v>
      </c>
      <c r="H122">
        <v>31</v>
      </c>
      <c r="I122" s="24">
        <v>6.5439814814814756E-2</v>
      </c>
      <c r="J122">
        <f t="shared" si="2"/>
        <v>0</v>
      </c>
      <c r="K122">
        <f t="shared" si="3"/>
        <v>1</v>
      </c>
    </row>
    <row r="123" spans="1:11" x14ac:dyDescent="0.25">
      <c r="A123">
        <v>18</v>
      </c>
      <c r="B123" t="s">
        <v>43</v>
      </c>
      <c r="C123" s="4">
        <v>0.8586921296296296</v>
      </c>
      <c r="D123" s="23">
        <v>0.85872685185185182</v>
      </c>
      <c r="E123" s="23">
        <v>0.92413194444444446</v>
      </c>
      <c r="F123" t="s">
        <v>110</v>
      </c>
      <c r="G123" t="s">
        <v>104</v>
      </c>
      <c r="H123">
        <v>31</v>
      </c>
      <c r="I123" s="24">
        <v>6.5439814814814756E-2</v>
      </c>
      <c r="J123">
        <f t="shared" si="2"/>
        <v>0</v>
      </c>
      <c r="K123">
        <f t="shared" si="3"/>
        <v>1</v>
      </c>
    </row>
    <row r="124" spans="1:11" x14ac:dyDescent="0.25">
      <c r="A124">
        <v>19</v>
      </c>
      <c r="B124" t="s">
        <v>122</v>
      </c>
      <c r="C124" s="4">
        <v>0.8586921296296296</v>
      </c>
      <c r="D124" s="23">
        <v>0.85872685185185182</v>
      </c>
      <c r="E124" s="23">
        <v>0.92413194444444446</v>
      </c>
      <c r="F124" t="s">
        <v>123</v>
      </c>
      <c r="G124" t="s">
        <v>104</v>
      </c>
      <c r="H124">
        <v>31</v>
      </c>
      <c r="I124" s="24">
        <v>6.5439814814814756E-2</v>
      </c>
      <c r="J124">
        <f t="shared" ref="J124:J186" si="4">IF(AND(H124&gt;=1,H124&lt;=7),1,0)</f>
        <v>0</v>
      </c>
      <c r="K124">
        <f t="shared" ref="K124:K186" si="5">IF(AND(H124&gt;=30,H124&lt;=36),1,0)</f>
        <v>1</v>
      </c>
    </row>
    <row r="125" spans="1:11" x14ac:dyDescent="0.25">
      <c r="A125">
        <v>20</v>
      </c>
      <c r="B125" t="s">
        <v>44</v>
      </c>
      <c r="C125" s="4">
        <v>0.8586921296296296</v>
      </c>
      <c r="D125" s="23">
        <v>0.85872685185185182</v>
      </c>
      <c r="E125" s="23">
        <v>0.92413194444444446</v>
      </c>
      <c r="F125" t="s">
        <v>124</v>
      </c>
      <c r="G125" t="s">
        <v>104</v>
      </c>
      <c r="H125">
        <v>31</v>
      </c>
      <c r="I125" s="24">
        <v>6.5439814814814756E-2</v>
      </c>
      <c r="J125">
        <f t="shared" si="4"/>
        <v>0</v>
      </c>
      <c r="K125">
        <f t="shared" si="5"/>
        <v>1</v>
      </c>
    </row>
    <row r="126" spans="1:11" x14ac:dyDescent="0.25">
      <c r="A126">
        <v>21</v>
      </c>
      <c r="B126" t="s">
        <v>22</v>
      </c>
      <c r="C126" s="4">
        <v>0.8586921296296296</v>
      </c>
      <c r="D126" s="23">
        <v>0.87900462962962966</v>
      </c>
      <c r="E126" s="23">
        <v>0.92413194444444446</v>
      </c>
      <c r="F126" t="s">
        <v>125</v>
      </c>
      <c r="G126" t="s">
        <v>104</v>
      </c>
      <c r="H126">
        <v>31</v>
      </c>
      <c r="I126" s="24">
        <v>6.5439814814814756E-2</v>
      </c>
      <c r="J126">
        <f t="shared" si="4"/>
        <v>0</v>
      </c>
      <c r="K126">
        <f t="shared" si="5"/>
        <v>1</v>
      </c>
    </row>
    <row r="127" spans="1:11" x14ac:dyDescent="0.25">
      <c r="A127">
        <v>22</v>
      </c>
      <c r="B127" t="s">
        <v>61</v>
      </c>
      <c r="C127" s="4">
        <v>0.8586921296296296</v>
      </c>
      <c r="D127" s="23">
        <v>0.85872685185185182</v>
      </c>
      <c r="E127" s="23">
        <v>0.92413194444444446</v>
      </c>
      <c r="F127" t="s">
        <v>126</v>
      </c>
      <c r="G127" t="s">
        <v>104</v>
      </c>
      <c r="H127">
        <v>31</v>
      </c>
      <c r="I127" s="24">
        <v>6.5439814814814756E-2</v>
      </c>
      <c r="J127">
        <f t="shared" si="4"/>
        <v>0</v>
      </c>
      <c r="K127">
        <f t="shared" si="5"/>
        <v>1</v>
      </c>
    </row>
    <row r="128" spans="1:11" x14ac:dyDescent="0.25">
      <c r="A128">
        <v>23</v>
      </c>
      <c r="B128" t="s">
        <v>46</v>
      </c>
      <c r="C128" s="4">
        <v>0.8586921296296296</v>
      </c>
      <c r="D128" s="23">
        <v>0.86438657407407404</v>
      </c>
      <c r="E128" s="23">
        <v>0.92413194444444446</v>
      </c>
      <c r="F128" t="s">
        <v>127</v>
      </c>
      <c r="G128" t="s">
        <v>104</v>
      </c>
      <c r="H128">
        <v>31</v>
      </c>
      <c r="I128" s="24">
        <v>6.5439814814814756E-2</v>
      </c>
      <c r="J128">
        <f t="shared" si="4"/>
        <v>0</v>
      </c>
      <c r="K128">
        <f t="shared" si="5"/>
        <v>1</v>
      </c>
    </row>
    <row r="129" spans="1:11" x14ac:dyDescent="0.25">
      <c r="A129">
        <v>24</v>
      </c>
      <c r="B129" t="s">
        <v>23</v>
      </c>
      <c r="C129" s="4">
        <v>0.8586921296296296</v>
      </c>
      <c r="D129" s="23">
        <v>0.85872685185185182</v>
      </c>
      <c r="E129" s="23">
        <v>0.92413194444444446</v>
      </c>
      <c r="F129" t="s">
        <v>103</v>
      </c>
      <c r="G129" t="s">
        <v>104</v>
      </c>
      <c r="H129">
        <v>31</v>
      </c>
      <c r="I129" s="24">
        <v>6.5439814814814756E-2</v>
      </c>
      <c r="J129">
        <f t="shared" si="4"/>
        <v>0</v>
      </c>
      <c r="K129">
        <f t="shared" si="5"/>
        <v>1</v>
      </c>
    </row>
    <row r="130" spans="1:11" x14ac:dyDescent="0.25">
      <c r="A130">
        <v>25</v>
      </c>
      <c r="B130" t="s">
        <v>78</v>
      </c>
      <c r="C130" s="4">
        <v>0.8586921296296296</v>
      </c>
      <c r="D130" s="23">
        <v>0.90650462962962963</v>
      </c>
      <c r="E130" s="23">
        <v>0.92413194444444446</v>
      </c>
      <c r="F130" t="s">
        <v>128</v>
      </c>
      <c r="G130" t="s">
        <v>104</v>
      </c>
      <c r="H130">
        <v>31</v>
      </c>
      <c r="I130" s="24">
        <v>6.5439814814814756E-2</v>
      </c>
      <c r="J130">
        <f t="shared" si="4"/>
        <v>0</v>
      </c>
      <c r="K130">
        <f t="shared" si="5"/>
        <v>1</v>
      </c>
    </row>
    <row r="131" spans="1:11" x14ac:dyDescent="0.25">
      <c r="A131">
        <v>26</v>
      </c>
      <c r="B131" t="s">
        <v>129</v>
      </c>
      <c r="C131" s="4">
        <v>0.8586921296296296</v>
      </c>
      <c r="D131" s="23">
        <v>0.85872685185185182</v>
      </c>
      <c r="E131" s="23">
        <v>0.92413194444444446</v>
      </c>
      <c r="F131" t="s">
        <v>106</v>
      </c>
      <c r="G131" t="s">
        <v>104</v>
      </c>
      <c r="H131">
        <v>31</v>
      </c>
      <c r="I131" s="24">
        <v>6.5439814814814756E-2</v>
      </c>
      <c r="J131">
        <f t="shared" si="4"/>
        <v>0</v>
      </c>
      <c r="K131">
        <f t="shared" si="5"/>
        <v>1</v>
      </c>
    </row>
    <row r="132" spans="1:11" x14ac:dyDescent="0.25">
      <c r="A132">
        <v>27</v>
      </c>
      <c r="B132" t="s">
        <v>25</v>
      </c>
      <c r="C132" s="4">
        <v>0.8586921296296296</v>
      </c>
      <c r="D132" s="23">
        <v>0.86438657407407404</v>
      </c>
      <c r="E132" s="23">
        <v>0.92413194444444446</v>
      </c>
      <c r="F132" t="s">
        <v>130</v>
      </c>
      <c r="G132" t="s">
        <v>104</v>
      </c>
      <c r="H132">
        <v>31</v>
      </c>
      <c r="I132" s="24">
        <v>6.5439814814814756E-2</v>
      </c>
      <c r="J132">
        <f t="shared" si="4"/>
        <v>0</v>
      </c>
      <c r="K132">
        <f t="shared" si="5"/>
        <v>1</v>
      </c>
    </row>
    <row r="133" spans="1:11" x14ac:dyDescent="0.25">
      <c r="A133">
        <v>28</v>
      </c>
      <c r="B133" t="s">
        <v>50</v>
      </c>
      <c r="C133" s="4">
        <v>0.8586921296296296</v>
      </c>
      <c r="D133" s="23">
        <v>0.86438657407407404</v>
      </c>
      <c r="E133" s="23">
        <v>0.92413194444444446</v>
      </c>
      <c r="F133" t="s">
        <v>131</v>
      </c>
      <c r="G133" t="s">
        <v>104</v>
      </c>
      <c r="H133">
        <v>31</v>
      </c>
      <c r="I133" s="24">
        <v>6.5439814814814756E-2</v>
      </c>
      <c r="J133">
        <f t="shared" si="4"/>
        <v>0</v>
      </c>
      <c r="K133">
        <f t="shared" si="5"/>
        <v>1</v>
      </c>
    </row>
    <row r="134" spans="1:11" x14ac:dyDescent="0.25">
      <c r="A134">
        <v>29</v>
      </c>
      <c r="B134" t="s">
        <v>51</v>
      </c>
      <c r="C134" s="4">
        <v>0.8586921296296296</v>
      </c>
      <c r="D134" s="23">
        <v>0.85892361111111115</v>
      </c>
      <c r="E134" s="23">
        <v>0.92413194444444446</v>
      </c>
      <c r="F134" t="s">
        <v>132</v>
      </c>
      <c r="G134" t="s">
        <v>104</v>
      </c>
      <c r="H134">
        <v>31</v>
      </c>
      <c r="I134" s="24">
        <v>6.5439814814814756E-2</v>
      </c>
      <c r="J134">
        <f t="shared" si="4"/>
        <v>0</v>
      </c>
      <c r="K134">
        <f t="shared" si="5"/>
        <v>1</v>
      </c>
    </row>
    <row r="135" spans="1:11" x14ac:dyDescent="0.25">
      <c r="A135">
        <v>30</v>
      </c>
      <c r="B135" t="s">
        <v>83</v>
      </c>
      <c r="C135" s="4">
        <v>0.8586921296296296</v>
      </c>
      <c r="D135" s="23">
        <v>0.85872685185185182</v>
      </c>
      <c r="E135" s="23">
        <v>0.92413194444444446</v>
      </c>
      <c r="F135" t="s">
        <v>123</v>
      </c>
      <c r="G135" t="s">
        <v>104</v>
      </c>
      <c r="H135">
        <v>31</v>
      </c>
      <c r="I135" s="24">
        <v>6.5439814814814756E-2</v>
      </c>
      <c r="J135">
        <f t="shared" si="4"/>
        <v>0</v>
      </c>
      <c r="K135">
        <f t="shared" si="5"/>
        <v>1</v>
      </c>
    </row>
    <row r="136" spans="1:11" x14ac:dyDescent="0.25">
      <c r="A136">
        <v>31</v>
      </c>
      <c r="B136" t="s">
        <v>85</v>
      </c>
      <c r="C136" s="4">
        <v>0.8586921296296296</v>
      </c>
      <c r="D136" s="23">
        <v>0.8969907407407407</v>
      </c>
      <c r="E136" s="23">
        <v>0.92413194444444446</v>
      </c>
      <c r="F136" t="s">
        <v>133</v>
      </c>
      <c r="G136" t="s">
        <v>104</v>
      </c>
      <c r="H136">
        <v>31</v>
      </c>
      <c r="I136" s="24">
        <v>6.5439814814814756E-2</v>
      </c>
      <c r="J136">
        <f t="shared" si="4"/>
        <v>0</v>
      </c>
      <c r="K136">
        <f t="shared" si="5"/>
        <v>1</v>
      </c>
    </row>
    <row r="137" spans="1:11" x14ac:dyDescent="0.25">
      <c r="A137">
        <v>32</v>
      </c>
      <c r="B137" t="s">
        <v>134</v>
      </c>
      <c r="C137" s="4">
        <v>0.8586921296296296</v>
      </c>
      <c r="D137" s="23">
        <v>0.85872685185185182</v>
      </c>
      <c r="E137" s="23">
        <v>0.92413194444444446</v>
      </c>
      <c r="F137" t="s">
        <v>135</v>
      </c>
      <c r="G137" t="s">
        <v>104</v>
      </c>
      <c r="H137">
        <v>31</v>
      </c>
      <c r="I137" s="24">
        <v>6.5439814814814756E-2</v>
      </c>
      <c r="J137">
        <f t="shared" si="4"/>
        <v>0</v>
      </c>
      <c r="K137">
        <f t="shared" si="5"/>
        <v>1</v>
      </c>
    </row>
    <row r="138" spans="1:11" x14ac:dyDescent="0.25">
      <c r="A138">
        <v>33</v>
      </c>
      <c r="B138" t="s">
        <v>53</v>
      </c>
      <c r="C138" s="4">
        <v>0.8586921296296296</v>
      </c>
      <c r="D138" s="23">
        <v>0.86438657407407404</v>
      </c>
      <c r="E138" s="23">
        <v>0.92413194444444446</v>
      </c>
      <c r="F138" t="s">
        <v>136</v>
      </c>
      <c r="G138" t="s">
        <v>104</v>
      </c>
      <c r="H138">
        <v>31</v>
      </c>
      <c r="I138" s="24">
        <v>6.5439814814814756E-2</v>
      </c>
      <c r="J138">
        <f t="shared" si="4"/>
        <v>0</v>
      </c>
      <c r="K138">
        <f t="shared" si="5"/>
        <v>1</v>
      </c>
    </row>
    <row r="139" spans="1:11" x14ac:dyDescent="0.25">
      <c r="A139">
        <v>34</v>
      </c>
      <c r="B139" t="s">
        <v>89</v>
      </c>
      <c r="C139" s="4">
        <v>0.8586921296296296</v>
      </c>
      <c r="D139" s="23">
        <v>0.86438657407407404</v>
      </c>
      <c r="E139" s="23">
        <v>0.92413194444444446</v>
      </c>
      <c r="F139" t="s">
        <v>137</v>
      </c>
      <c r="G139" t="s">
        <v>104</v>
      </c>
      <c r="H139">
        <v>31</v>
      </c>
      <c r="I139" s="24">
        <v>6.5439814814814756E-2</v>
      </c>
      <c r="J139">
        <f t="shared" si="4"/>
        <v>0</v>
      </c>
      <c r="K139">
        <f t="shared" si="5"/>
        <v>1</v>
      </c>
    </row>
    <row r="140" spans="1:11" x14ac:dyDescent="0.25">
      <c r="A140">
        <v>35</v>
      </c>
      <c r="B140" t="s">
        <v>138</v>
      </c>
      <c r="C140" s="4">
        <v>0.8586921296296296</v>
      </c>
      <c r="D140" s="23">
        <v>0.85872685185185182</v>
      </c>
      <c r="E140" s="23">
        <v>0.92413194444444446</v>
      </c>
      <c r="F140" t="s">
        <v>139</v>
      </c>
      <c r="G140" t="s">
        <v>104</v>
      </c>
      <c r="H140">
        <v>31</v>
      </c>
      <c r="I140" s="24">
        <v>6.5439814814814756E-2</v>
      </c>
      <c r="J140">
        <f t="shared" si="4"/>
        <v>0</v>
      </c>
      <c r="K140">
        <f t="shared" si="5"/>
        <v>1</v>
      </c>
    </row>
    <row r="141" spans="1:11" x14ac:dyDescent="0.25">
      <c r="A141">
        <v>36</v>
      </c>
      <c r="B141" t="s">
        <v>27</v>
      </c>
      <c r="C141" s="4">
        <v>0.8586921296296296</v>
      </c>
      <c r="D141" s="23">
        <v>0.85872685185185182</v>
      </c>
      <c r="E141" s="23">
        <v>0.92413194444444446</v>
      </c>
      <c r="F141" t="s">
        <v>140</v>
      </c>
      <c r="G141" t="s">
        <v>104</v>
      </c>
      <c r="H141">
        <v>31</v>
      </c>
      <c r="I141" s="24">
        <v>6.5439814814814756E-2</v>
      </c>
      <c r="J141">
        <f t="shared" si="4"/>
        <v>0</v>
      </c>
      <c r="K141">
        <f t="shared" si="5"/>
        <v>1</v>
      </c>
    </row>
    <row r="142" spans="1:11" x14ac:dyDescent="0.25">
      <c r="A142">
        <v>1</v>
      </c>
      <c r="B142" t="s">
        <v>29</v>
      </c>
      <c r="C142" s="4">
        <v>0.85925925925925928</v>
      </c>
      <c r="D142" s="23">
        <v>0.87787037037037041</v>
      </c>
      <c r="E142" s="23">
        <v>0.94172453703703707</v>
      </c>
      <c r="F142" t="s">
        <v>141</v>
      </c>
      <c r="G142" t="s">
        <v>142</v>
      </c>
      <c r="H142">
        <v>30</v>
      </c>
      <c r="I142" s="24">
        <v>8.2465277777777679E-2</v>
      </c>
      <c r="J142">
        <f t="shared" si="4"/>
        <v>0</v>
      </c>
      <c r="K142">
        <f t="shared" si="5"/>
        <v>1</v>
      </c>
    </row>
    <row r="143" spans="1:11" x14ac:dyDescent="0.25">
      <c r="A143">
        <v>2</v>
      </c>
      <c r="B143" t="s">
        <v>11</v>
      </c>
      <c r="C143" s="4">
        <v>0.85925925925925928</v>
      </c>
      <c r="D143" s="23">
        <v>0.90407407407407403</v>
      </c>
      <c r="E143" s="23">
        <v>0.94172453703703707</v>
      </c>
      <c r="F143" t="s">
        <v>144</v>
      </c>
      <c r="G143" t="s">
        <v>142</v>
      </c>
      <c r="H143">
        <v>30</v>
      </c>
      <c r="I143" s="24">
        <v>8.2465277777777679E-2</v>
      </c>
      <c r="J143">
        <f t="shared" si="4"/>
        <v>0</v>
      </c>
      <c r="K143">
        <f t="shared" si="5"/>
        <v>1</v>
      </c>
    </row>
    <row r="144" spans="1:11" x14ac:dyDescent="0.25">
      <c r="A144">
        <v>3</v>
      </c>
      <c r="B144" t="s">
        <v>70</v>
      </c>
      <c r="C144" s="4">
        <v>0.85925925925925928</v>
      </c>
      <c r="D144" s="23">
        <v>0.85929398148148151</v>
      </c>
      <c r="E144" s="23">
        <v>0.94172453703703707</v>
      </c>
      <c r="F144" t="s">
        <v>145</v>
      </c>
      <c r="G144" t="s">
        <v>142</v>
      </c>
      <c r="H144">
        <v>30</v>
      </c>
      <c r="I144" s="24">
        <v>8.2465277777777679E-2</v>
      </c>
      <c r="J144">
        <f t="shared" si="4"/>
        <v>0</v>
      </c>
      <c r="K144">
        <f t="shared" si="5"/>
        <v>1</v>
      </c>
    </row>
    <row r="145" spans="1:11" x14ac:dyDescent="0.25">
      <c r="A145">
        <v>4</v>
      </c>
      <c r="B145" t="s">
        <v>59</v>
      </c>
      <c r="C145" s="4">
        <v>0.85925925925925928</v>
      </c>
      <c r="D145" s="23">
        <v>0.85929398148148151</v>
      </c>
      <c r="E145" s="23">
        <v>0.94172453703703707</v>
      </c>
      <c r="F145" t="s">
        <v>146</v>
      </c>
      <c r="G145" t="s">
        <v>142</v>
      </c>
      <c r="H145">
        <v>30</v>
      </c>
      <c r="I145" s="24">
        <v>8.2465277777777679E-2</v>
      </c>
      <c r="J145">
        <f t="shared" si="4"/>
        <v>0</v>
      </c>
      <c r="K145">
        <f t="shared" si="5"/>
        <v>1</v>
      </c>
    </row>
    <row r="146" spans="1:11" x14ac:dyDescent="0.25">
      <c r="A146">
        <v>5</v>
      </c>
      <c r="B146" t="s">
        <v>97</v>
      </c>
      <c r="C146" s="4">
        <v>0.85925925925925928</v>
      </c>
      <c r="D146" s="23">
        <v>0.85929398148148151</v>
      </c>
      <c r="E146" s="23">
        <v>0.94172453703703707</v>
      </c>
      <c r="F146" t="s">
        <v>147</v>
      </c>
      <c r="G146" t="s">
        <v>142</v>
      </c>
      <c r="H146">
        <v>30</v>
      </c>
      <c r="I146" s="24">
        <v>8.2465277777777679E-2</v>
      </c>
      <c r="J146">
        <f t="shared" si="4"/>
        <v>0</v>
      </c>
      <c r="K146">
        <f t="shared" si="5"/>
        <v>1</v>
      </c>
    </row>
    <row r="147" spans="1:11" x14ac:dyDescent="0.25">
      <c r="A147">
        <v>6</v>
      </c>
      <c r="B147" t="s">
        <v>37</v>
      </c>
      <c r="C147" s="4">
        <v>0.85925925925925928</v>
      </c>
      <c r="D147" s="23">
        <v>0.86599537037037033</v>
      </c>
      <c r="E147" s="23">
        <v>0.94172453703703707</v>
      </c>
      <c r="F147" t="s">
        <v>148</v>
      </c>
      <c r="G147" t="s">
        <v>142</v>
      </c>
      <c r="H147">
        <v>30</v>
      </c>
      <c r="I147" s="24">
        <v>8.2465277777777679E-2</v>
      </c>
      <c r="J147">
        <f t="shared" si="4"/>
        <v>0</v>
      </c>
      <c r="K147">
        <f t="shared" si="5"/>
        <v>1</v>
      </c>
    </row>
    <row r="148" spans="1:11" x14ac:dyDescent="0.25">
      <c r="A148">
        <v>7</v>
      </c>
      <c r="B148" t="s">
        <v>16</v>
      </c>
      <c r="C148" s="4">
        <v>0.85925925925925928</v>
      </c>
      <c r="D148" s="23">
        <v>0.85929398148148151</v>
      </c>
      <c r="E148" s="23">
        <v>0.94172453703703707</v>
      </c>
      <c r="F148" t="s">
        <v>149</v>
      </c>
      <c r="G148" t="s">
        <v>142</v>
      </c>
      <c r="H148">
        <v>30</v>
      </c>
      <c r="I148" s="24">
        <v>8.2465277777777679E-2</v>
      </c>
      <c r="J148">
        <f t="shared" si="4"/>
        <v>0</v>
      </c>
      <c r="K148">
        <f t="shared" si="5"/>
        <v>1</v>
      </c>
    </row>
    <row r="149" spans="1:11" x14ac:dyDescent="0.25">
      <c r="A149">
        <v>8</v>
      </c>
      <c r="B149" t="s">
        <v>18</v>
      </c>
      <c r="C149" s="4">
        <v>0.85925925925925928</v>
      </c>
      <c r="D149" s="23">
        <v>0.85929398148148151</v>
      </c>
      <c r="E149" s="23">
        <v>0.94172453703703707</v>
      </c>
      <c r="F149" t="s">
        <v>150</v>
      </c>
      <c r="G149" t="s">
        <v>142</v>
      </c>
      <c r="H149">
        <v>30</v>
      </c>
      <c r="I149" s="24">
        <v>8.2465277777777679E-2</v>
      </c>
      <c r="J149">
        <f t="shared" si="4"/>
        <v>0</v>
      </c>
      <c r="K149">
        <f t="shared" si="5"/>
        <v>1</v>
      </c>
    </row>
    <row r="150" spans="1:11" x14ac:dyDescent="0.25">
      <c r="A150">
        <v>9</v>
      </c>
      <c r="B150" t="s">
        <v>41</v>
      </c>
      <c r="C150" s="4">
        <v>0.85925925925925928</v>
      </c>
      <c r="D150" s="23">
        <v>0.85929398148148151</v>
      </c>
      <c r="E150" s="23">
        <v>0.94172453703703707</v>
      </c>
      <c r="F150" t="s">
        <v>151</v>
      </c>
      <c r="G150" t="s">
        <v>142</v>
      </c>
      <c r="H150">
        <v>30</v>
      </c>
      <c r="I150" s="24">
        <v>8.2465277777777679E-2</v>
      </c>
      <c r="J150">
        <f t="shared" si="4"/>
        <v>0</v>
      </c>
      <c r="K150">
        <f t="shared" si="5"/>
        <v>1</v>
      </c>
    </row>
    <row r="151" spans="1:11" x14ac:dyDescent="0.25">
      <c r="A151">
        <v>10</v>
      </c>
      <c r="B151" t="s">
        <v>20</v>
      </c>
      <c r="C151" s="4">
        <v>0.85925925925925928</v>
      </c>
      <c r="D151" s="23">
        <v>0.86712962962962958</v>
      </c>
      <c r="E151" s="23">
        <v>0.94172453703703707</v>
      </c>
      <c r="F151" t="s">
        <v>152</v>
      </c>
      <c r="G151" t="s">
        <v>142</v>
      </c>
      <c r="H151">
        <v>30</v>
      </c>
      <c r="I151" s="24">
        <v>8.2465277777777679E-2</v>
      </c>
      <c r="J151">
        <f t="shared" si="4"/>
        <v>0</v>
      </c>
      <c r="K151">
        <f t="shared" si="5"/>
        <v>1</v>
      </c>
    </row>
    <row r="152" spans="1:11" x14ac:dyDescent="0.25">
      <c r="A152">
        <v>11</v>
      </c>
      <c r="B152" t="s">
        <v>43</v>
      </c>
      <c r="C152" s="4">
        <v>0.85925925925925928</v>
      </c>
      <c r="D152" s="23">
        <v>0.85929398148148151</v>
      </c>
      <c r="E152" s="23">
        <v>0.94172453703703707</v>
      </c>
      <c r="F152" t="s">
        <v>153</v>
      </c>
      <c r="G152" t="s">
        <v>142</v>
      </c>
      <c r="H152">
        <v>30</v>
      </c>
      <c r="I152" s="24">
        <v>8.2465277777777679E-2</v>
      </c>
      <c r="J152">
        <f t="shared" si="4"/>
        <v>0</v>
      </c>
      <c r="K152">
        <f t="shared" si="5"/>
        <v>1</v>
      </c>
    </row>
    <row r="153" spans="1:11" x14ac:dyDescent="0.25">
      <c r="A153">
        <v>12</v>
      </c>
      <c r="B153" t="s">
        <v>44</v>
      </c>
      <c r="C153" s="4">
        <v>0.85925925925925928</v>
      </c>
      <c r="D153" s="23">
        <v>0.85982638888888885</v>
      </c>
      <c r="E153" s="23">
        <v>0.94172453703703707</v>
      </c>
      <c r="F153" t="s">
        <v>154</v>
      </c>
      <c r="G153" t="s">
        <v>142</v>
      </c>
      <c r="H153">
        <v>30</v>
      </c>
      <c r="I153" s="24">
        <v>8.2465277777777679E-2</v>
      </c>
      <c r="J153">
        <f t="shared" si="4"/>
        <v>0</v>
      </c>
      <c r="K153">
        <f t="shared" si="5"/>
        <v>1</v>
      </c>
    </row>
    <row r="154" spans="1:11" x14ac:dyDescent="0.25">
      <c r="A154">
        <v>13</v>
      </c>
      <c r="B154" t="s">
        <v>99</v>
      </c>
      <c r="C154" s="4">
        <v>0.85925925925925928</v>
      </c>
      <c r="D154" s="23">
        <v>0.85929398148148151</v>
      </c>
      <c r="E154" s="23">
        <v>0.94172453703703707</v>
      </c>
      <c r="F154" t="s">
        <v>155</v>
      </c>
      <c r="G154" t="s">
        <v>142</v>
      </c>
      <c r="H154">
        <v>30</v>
      </c>
      <c r="I154" s="24">
        <v>8.2465277777777679E-2</v>
      </c>
      <c r="J154">
        <f t="shared" si="4"/>
        <v>0</v>
      </c>
      <c r="K154">
        <f t="shared" si="5"/>
        <v>1</v>
      </c>
    </row>
    <row r="155" spans="1:11" x14ac:dyDescent="0.25">
      <c r="A155">
        <v>14</v>
      </c>
      <c r="B155" t="s">
        <v>156</v>
      </c>
      <c r="C155" s="4">
        <v>0.85925925925925928</v>
      </c>
      <c r="D155" s="23">
        <v>0.85929398148148151</v>
      </c>
      <c r="E155" s="23">
        <v>0.94172453703703707</v>
      </c>
      <c r="F155" t="s">
        <v>157</v>
      </c>
      <c r="G155" t="s">
        <v>142</v>
      </c>
      <c r="H155">
        <v>30</v>
      </c>
      <c r="I155" s="24">
        <v>8.2465277777777679E-2</v>
      </c>
      <c r="J155">
        <f t="shared" si="4"/>
        <v>0</v>
      </c>
      <c r="K155">
        <f t="shared" si="5"/>
        <v>1</v>
      </c>
    </row>
    <row r="156" spans="1:11" x14ac:dyDescent="0.25">
      <c r="A156">
        <v>15</v>
      </c>
      <c r="B156" t="s">
        <v>22</v>
      </c>
      <c r="C156" s="4">
        <v>0.85925925925925928</v>
      </c>
      <c r="D156" s="23">
        <v>0.85929398148148151</v>
      </c>
      <c r="E156" s="23">
        <v>0.94172453703703707</v>
      </c>
      <c r="F156" t="s">
        <v>158</v>
      </c>
      <c r="G156" t="s">
        <v>142</v>
      </c>
      <c r="H156">
        <v>30</v>
      </c>
      <c r="I156" s="24">
        <v>8.2465277777777679E-2</v>
      </c>
      <c r="J156">
        <f t="shared" si="4"/>
        <v>0</v>
      </c>
      <c r="K156">
        <f t="shared" si="5"/>
        <v>1</v>
      </c>
    </row>
    <row r="157" spans="1:11" x14ac:dyDescent="0.25">
      <c r="A157">
        <v>16</v>
      </c>
      <c r="B157" t="s">
        <v>61</v>
      </c>
      <c r="C157" s="4">
        <v>0.85925925925925928</v>
      </c>
      <c r="D157" s="23">
        <v>0.86950231481481477</v>
      </c>
      <c r="E157" s="23">
        <v>0.94172453703703707</v>
      </c>
      <c r="F157" t="s">
        <v>159</v>
      </c>
      <c r="G157" t="s">
        <v>142</v>
      </c>
      <c r="H157">
        <v>30</v>
      </c>
      <c r="I157" s="24">
        <v>8.2465277777777679E-2</v>
      </c>
      <c r="J157">
        <f t="shared" si="4"/>
        <v>0</v>
      </c>
      <c r="K157">
        <f t="shared" si="5"/>
        <v>1</v>
      </c>
    </row>
    <row r="158" spans="1:11" x14ac:dyDescent="0.25">
      <c r="A158">
        <v>17</v>
      </c>
      <c r="B158" t="s">
        <v>46</v>
      </c>
      <c r="C158" s="4">
        <v>0.85925925925925928</v>
      </c>
      <c r="D158" s="23">
        <v>0.85929398148148151</v>
      </c>
      <c r="E158" s="23">
        <v>0.94172453703703707</v>
      </c>
      <c r="F158" t="s">
        <v>151</v>
      </c>
      <c r="G158" t="s">
        <v>142</v>
      </c>
      <c r="H158">
        <v>30</v>
      </c>
      <c r="I158" s="24">
        <v>8.2465277777777679E-2</v>
      </c>
      <c r="J158">
        <f t="shared" si="4"/>
        <v>0</v>
      </c>
      <c r="K158">
        <f t="shared" si="5"/>
        <v>1</v>
      </c>
    </row>
    <row r="159" spans="1:11" x14ac:dyDescent="0.25">
      <c r="A159">
        <v>18</v>
      </c>
      <c r="B159" t="s">
        <v>100</v>
      </c>
      <c r="C159" s="4">
        <v>0.85925925925925928</v>
      </c>
      <c r="D159" s="23">
        <v>0.85929398148148151</v>
      </c>
      <c r="E159" s="23">
        <v>0.94172453703703707</v>
      </c>
      <c r="F159" t="s">
        <v>160</v>
      </c>
      <c r="G159" t="s">
        <v>142</v>
      </c>
      <c r="H159">
        <v>30</v>
      </c>
      <c r="I159" s="24">
        <v>8.2465277777777679E-2</v>
      </c>
      <c r="J159">
        <f t="shared" si="4"/>
        <v>0</v>
      </c>
      <c r="K159">
        <f t="shared" si="5"/>
        <v>1</v>
      </c>
    </row>
    <row r="160" spans="1:11" x14ac:dyDescent="0.25">
      <c r="A160">
        <v>19</v>
      </c>
      <c r="B160" t="s">
        <v>23</v>
      </c>
      <c r="C160" s="4">
        <v>0.85925925925925928</v>
      </c>
      <c r="D160" s="23">
        <v>0.85929398148148151</v>
      </c>
      <c r="E160" s="23">
        <v>0.94172453703703707</v>
      </c>
      <c r="F160" t="s">
        <v>161</v>
      </c>
      <c r="G160" t="s">
        <v>142</v>
      </c>
      <c r="H160">
        <v>30</v>
      </c>
      <c r="I160" s="24">
        <v>8.2465277777777679E-2</v>
      </c>
      <c r="J160">
        <f t="shared" si="4"/>
        <v>0</v>
      </c>
      <c r="K160">
        <f t="shared" si="5"/>
        <v>1</v>
      </c>
    </row>
    <row r="161" spans="1:11" x14ac:dyDescent="0.25">
      <c r="A161">
        <v>20</v>
      </c>
      <c r="B161" t="s">
        <v>49</v>
      </c>
      <c r="C161" s="4">
        <v>0.85925925925925928</v>
      </c>
      <c r="D161" s="23">
        <v>0.85929398148148151</v>
      </c>
      <c r="E161" s="23">
        <v>0.94172453703703707</v>
      </c>
      <c r="F161" t="s">
        <v>162</v>
      </c>
      <c r="G161" t="s">
        <v>142</v>
      </c>
      <c r="H161">
        <v>30</v>
      </c>
      <c r="I161" s="24">
        <v>8.2465277777777679E-2</v>
      </c>
      <c r="J161">
        <f t="shared" si="4"/>
        <v>0</v>
      </c>
      <c r="K161">
        <f t="shared" si="5"/>
        <v>1</v>
      </c>
    </row>
    <row r="162" spans="1:11" x14ac:dyDescent="0.25">
      <c r="A162">
        <v>21</v>
      </c>
      <c r="B162" t="s">
        <v>78</v>
      </c>
      <c r="C162" s="4">
        <v>0.85925925925925928</v>
      </c>
      <c r="D162" s="23">
        <v>0.87224537037037042</v>
      </c>
      <c r="E162" s="23">
        <v>0.94172453703703707</v>
      </c>
      <c r="F162" t="s">
        <v>163</v>
      </c>
      <c r="G162" t="s">
        <v>142</v>
      </c>
      <c r="H162">
        <v>30</v>
      </c>
      <c r="I162" s="24">
        <v>8.2465277777777679E-2</v>
      </c>
      <c r="J162">
        <f t="shared" si="4"/>
        <v>0</v>
      </c>
      <c r="K162">
        <f t="shared" si="5"/>
        <v>1</v>
      </c>
    </row>
    <row r="163" spans="1:11" x14ac:dyDescent="0.25">
      <c r="A163">
        <v>22</v>
      </c>
      <c r="B163" t="s">
        <v>25</v>
      </c>
      <c r="C163" s="4">
        <v>0.85925925925925928</v>
      </c>
      <c r="D163" s="23">
        <v>0.85929398148148151</v>
      </c>
      <c r="E163" s="23">
        <v>0.94172453703703707</v>
      </c>
      <c r="F163" t="s">
        <v>164</v>
      </c>
      <c r="G163" t="s">
        <v>142</v>
      </c>
      <c r="H163">
        <v>30</v>
      </c>
      <c r="I163" s="24">
        <v>8.2465277777777679E-2</v>
      </c>
      <c r="J163">
        <f t="shared" si="4"/>
        <v>0</v>
      </c>
      <c r="K163">
        <f t="shared" si="5"/>
        <v>1</v>
      </c>
    </row>
    <row r="164" spans="1:11" x14ac:dyDescent="0.25">
      <c r="A164">
        <v>23</v>
      </c>
      <c r="B164" t="s">
        <v>50</v>
      </c>
      <c r="C164" s="4">
        <v>0.85925925925925928</v>
      </c>
      <c r="D164" s="23">
        <v>0.8598958333333333</v>
      </c>
      <c r="E164" s="23">
        <v>0.94172453703703707</v>
      </c>
      <c r="F164" t="s">
        <v>165</v>
      </c>
      <c r="G164" t="s">
        <v>142</v>
      </c>
      <c r="H164">
        <v>30</v>
      </c>
      <c r="I164" s="24">
        <v>8.2465277777777679E-2</v>
      </c>
      <c r="J164">
        <f t="shared" si="4"/>
        <v>0</v>
      </c>
      <c r="K164">
        <f t="shared" si="5"/>
        <v>1</v>
      </c>
    </row>
    <row r="165" spans="1:11" x14ac:dyDescent="0.25">
      <c r="A165">
        <v>24</v>
      </c>
      <c r="B165" t="s">
        <v>62</v>
      </c>
      <c r="C165" s="4">
        <v>0.85925925925925928</v>
      </c>
      <c r="D165" s="23">
        <v>0.85929398148148151</v>
      </c>
      <c r="E165" s="23">
        <v>0.94172453703703707</v>
      </c>
      <c r="F165" t="s">
        <v>166</v>
      </c>
      <c r="G165" t="s">
        <v>142</v>
      </c>
      <c r="H165">
        <v>30</v>
      </c>
      <c r="I165" s="24">
        <v>8.2465277777777679E-2</v>
      </c>
      <c r="J165">
        <f t="shared" si="4"/>
        <v>0</v>
      </c>
      <c r="K165">
        <f t="shared" si="5"/>
        <v>1</v>
      </c>
    </row>
    <row r="166" spans="1:11" x14ac:dyDescent="0.25">
      <c r="A166">
        <v>25</v>
      </c>
      <c r="B166" t="s">
        <v>51</v>
      </c>
      <c r="C166" s="4">
        <v>0.85925925925925928</v>
      </c>
      <c r="D166" s="23">
        <v>0.85929398148148151</v>
      </c>
      <c r="E166" s="23">
        <v>0.94172453703703707</v>
      </c>
      <c r="F166" t="s">
        <v>167</v>
      </c>
      <c r="G166" t="s">
        <v>142</v>
      </c>
      <c r="H166">
        <v>30</v>
      </c>
      <c r="I166" s="24">
        <v>8.2465277777777679E-2</v>
      </c>
      <c r="J166">
        <f t="shared" si="4"/>
        <v>0</v>
      </c>
      <c r="K166">
        <f t="shared" si="5"/>
        <v>1</v>
      </c>
    </row>
    <row r="167" spans="1:11" x14ac:dyDescent="0.25">
      <c r="A167">
        <v>26</v>
      </c>
      <c r="B167" t="s">
        <v>83</v>
      </c>
      <c r="C167" s="4">
        <v>0.85925925925925928</v>
      </c>
      <c r="D167" s="23">
        <v>0.86599537037037033</v>
      </c>
      <c r="E167" s="23">
        <v>0.94172453703703707</v>
      </c>
      <c r="F167" t="s">
        <v>168</v>
      </c>
      <c r="G167" t="s">
        <v>142</v>
      </c>
      <c r="H167">
        <v>30</v>
      </c>
      <c r="I167" s="24">
        <v>8.2465277777777679E-2</v>
      </c>
      <c r="J167">
        <f t="shared" si="4"/>
        <v>0</v>
      </c>
      <c r="K167">
        <f t="shared" si="5"/>
        <v>1</v>
      </c>
    </row>
    <row r="168" spans="1:11" x14ac:dyDescent="0.25">
      <c r="A168">
        <v>27</v>
      </c>
      <c r="B168" t="s">
        <v>85</v>
      </c>
      <c r="C168" s="4">
        <v>0.85925925925925928</v>
      </c>
      <c r="D168" s="23">
        <v>0.85929398148148151</v>
      </c>
      <c r="E168" s="23">
        <v>0.94172453703703707</v>
      </c>
      <c r="F168" t="s">
        <v>169</v>
      </c>
      <c r="G168" t="s">
        <v>142</v>
      </c>
      <c r="H168">
        <v>30</v>
      </c>
      <c r="I168" s="24">
        <v>8.2465277777777679E-2</v>
      </c>
      <c r="J168">
        <f t="shared" si="4"/>
        <v>0</v>
      </c>
      <c r="K168">
        <f t="shared" si="5"/>
        <v>1</v>
      </c>
    </row>
    <row r="169" spans="1:11" x14ac:dyDescent="0.25">
      <c r="A169">
        <v>28</v>
      </c>
      <c r="B169" t="s">
        <v>101</v>
      </c>
      <c r="C169" s="4">
        <v>0.85925925925925928</v>
      </c>
      <c r="D169" s="23">
        <v>0.86599537037037033</v>
      </c>
      <c r="E169" s="23">
        <v>0.94172453703703707</v>
      </c>
      <c r="F169" t="s">
        <v>170</v>
      </c>
      <c r="G169" t="s">
        <v>142</v>
      </c>
      <c r="H169">
        <v>30</v>
      </c>
      <c r="I169" s="24">
        <v>8.2465277777777679E-2</v>
      </c>
      <c r="J169">
        <f t="shared" si="4"/>
        <v>0</v>
      </c>
      <c r="K169">
        <f t="shared" si="5"/>
        <v>1</v>
      </c>
    </row>
    <row r="170" spans="1:11" x14ac:dyDescent="0.25">
      <c r="A170">
        <v>29</v>
      </c>
      <c r="B170" t="s">
        <v>53</v>
      </c>
      <c r="C170" s="4">
        <v>0.85925925925925928</v>
      </c>
      <c r="D170" s="23">
        <v>0.85929398148148151</v>
      </c>
      <c r="E170" s="23">
        <v>0.94172453703703707</v>
      </c>
      <c r="F170" t="s">
        <v>171</v>
      </c>
      <c r="G170" t="s">
        <v>142</v>
      </c>
      <c r="H170">
        <v>30</v>
      </c>
      <c r="I170" s="24">
        <v>8.2465277777777679E-2</v>
      </c>
      <c r="J170">
        <f t="shared" si="4"/>
        <v>0</v>
      </c>
      <c r="K170">
        <f t="shared" si="5"/>
        <v>1</v>
      </c>
    </row>
    <row r="171" spans="1:11" x14ac:dyDescent="0.25">
      <c r="A171">
        <v>30</v>
      </c>
      <c r="B171" t="s">
        <v>54</v>
      </c>
      <c r="C171" s="4">
        <v>0.85925925925925928</v>
      </c>
      <c r="D171" s="23">
        <v>0.86599537037037033</v>
      </c>
      <c r="E171" s="23">
        <v>0.94172453703703707</v>
      </c>
      <c r="F171" t="s">
        <v>172</v>
      </c>
      <c r="G171" t="s">
        <v>142</v>
      </c>
      <c r="H171">
        <v>30</v>
      </c>
      <c r="I171" s="24">
        <v>8.2465277777777679E-2</v>
      </c>
      <c r="J171">
        <f t="shared" si="4"/>
        <v>0</v>
      </c>
      <c r="K171">
        <f t="shared" si="5"/>
        <v>1</v>
      </c>
    </row>
    <row r="172" spans="1:11" x14ac:dyDescent="0.25">
      <c r="A172">
        <v>31</v>
      </c>
      <c r="B172" t="s">
        <v>55</v>
      </c>
      <c r="C172" s="4">
        <v>0.85925925925925928</v>
      </c>
      <c r="D172" s="23">
        <v>0.8682523148148148</v>
      </c>
      <c r="E172" s="23">
        <v>0.94172453703703707</v>
      </c>
      <c r="F172" t="s">
        <v>173</v>
      </c>
      <c r="G172" t="s">
        <v>142</v>
      </c>
      <c r="H172">
        <v>30</v>
      </c>
      <c r="I172" s="24">
        <v>8.2465277777777679E-2</v>
      </c>
      <c r="J172">
        <f t="shared" si="4"/>
        <v>0</v>
      </c>
      <c r="K172">
        <f t="shared" si="5"/>
        <v>1</v>
      </c>
    </row>
    <row r="173" spans="1:11" x14ac:dyDescent="0.25">
      <c r="A173">
        <v>1</v>
      </c>
      <c r="B173" t="s">
        <v>5</v>
      </c>
      <c r="C173" s="4">
        <v>0.86128472222222219</v>
      </c>
      <c r="D173" s="23">
        <v>0.86133101851851857</v>
      </c>
      <c r="E173" s="23">
        <v>0.94739583333333333</v>
      </c>
      <c r="F173" t="s">
        <v>174</v>
      </c>
      <c r="G173" t="s">
        <v>175</v>
      </c>
      <c r="H173">
        <v>29</v>
      </c>
      <c r="I173" s="24">
        <v>8.6111111111111027E-2</v>
      </c>
      <c r="J173">
        <f t="shared" si="4"/>
        <v>0</v>
      </c>
      <c r="K173">
        <f t="shared" si="5"/>
        <v>0</v>
      </c>
    </row>
    <row r="174" spans="1:11" x14ac:dyDescent="0.25">
      <c r="A174">
        <v>2</v>
      </c>
      <c r="B174" t="s">
        <v>9</v>
      </c>
      <c r="C174" s="4">
        <v>0.86128472222222219</v>
      </c>
      <c r="D174" s="23">
        <v>0.86133101851851857</v>
      </c>
      <c r="E174" s="23">
        <v>0.94739583333333333</v>
      </c>
      <c r="F174" t="s">
        <v>177</v>
      </c>
      <c r="G174" t="s">
        <v>175</v>
      </c>
      <c r="H174">
        <v>29</v>
      </c>
      <c r="I174" s="24">
        <v>8.6111111111111027E-2</v>
      </c>
      <c r="J174">
        <f t="shared" si="4"/>
        <v>0</v>
      </c>
      <c r="K174">
        <f t="shared" si="5"/>
        <v>0</v>
      </c>
    </row>
    <row r="175" spans="1:11" x14ac:dyDescent="0.25">
      <c r="A175">
        <v>3</v>
      </c>
      <c r="B175" t="s">
        <v>11</v>
      </c>
      <c r="C175" s="4">
        <v>0.86128472222222219</v>
      </c>
      <c r="D175" s="23">
        <v>0.86133101851851857</v>
      </c>
      <c r="E175" s="23">
        <v>0.94739583333333333</v>
      </c>
      <c r="F175" t="s">
        <v>178</v>
      </c>
      <c r="G175" t="s">
        <v>175</v>
      </c>
      <c r="H175">
        <v>29</v>
      </c>
      <c r="I175" s="24">
        <v>8.6111111111111027E-2</v>
      </c>
      <c r="J175">
        <f t="shared" si="4"/>
        <v>0</v>
      </c>
      <c r="K175">
        <f t="shared" si="5"/>
        <v>0</v>
      </c>
    </row>
    <row r="176" spans="1:11" x14ac:dyDescent="0.25">
      <c r="A176">
        <v>4</v>
      </c>
      <c r="B176" t="s">
        <v>13</v>
      </c>
      <c r="C176" s="4">
        <v>0.86128472222222219</v>
      </c>
      <c r="D176" s="23">
        <v>0.91336805555555556</v>
      </c>
      <c r="E176" s="23">
        <v>0.94739583333333333</v>
      </c>
      <c r="F176" t="s">
        <v>179</v>
      </c>
      <c r="G176" t="s">
        <v>175</v>
      </c>
      <c r="H176">
        <v>29</v>
      </c>
      <c r="I176" s="24">
        <v>8.6111111111111027E-2</v>
      </c>
      <c r="J176">
        <f t="shared" si="4"/>
        <v>0</v>
      </c>
      <c r="K176">
        <f t="shared" si="5"/>
        <v>0</v>
      </c>
    </row>
    <row r="177" spans="1:11" x14ac:dyDescent="0.25">
      <c r="A177">
        <v>6</v>
      </c>
      <c r="B177" t="s">
        <v>70</v>
      </c>
      <c r="C177" s="4">
        <v>0.86128472222222219</v>
      </c>
      <c r="D177" s="23">
        <v>0.86133101851851857</v>
      </c>
      <c r="E177" s="23">
        <v>0.94739583333333333</v>
      </c>
      <c r="F177" t="s">
        <v>180</v>
      </c>
      <c r="G177" t="s">
        <v>175</v>
      </c>
      <c r="H177">
        <v>29</v>
      </c>
      <c r="I177" s="24">
        <v>8.6111111111111027E-2</v>
      </c>
      <c r="J177">
        <f t="shared" si="4"/>
        <v>0</v>
      </c>
      <c r="K177">
        <f t="shared" si="5"/>
        <v>0</v>
      </c>
    </row>
    <row r="178" spans="1:11" x14ac:dyDescent="0.25">
      <c r="A178">
        <v>7</v>
      </c>
      <c r="B178" t="s">
        <v>181</v>
      </c>
      <c r="C178" s="4">
        <v>0.86128472222222219</v>
      </c>
      <c r="D178" s="23">
        <v>0.86133101851851857</v>
      </c>
      <c r="E178" s="23">
        <v>0.94739583333333333</v>
      </c>
      <c r="F178" t="s">
        <v>180</v>
      </c>
      <c r="G178" t="s">
        <v>175</v>
      </c>
      <c r="H178">
        <v>29</v>
      </c>
      <c r="I178" s="24">
        <v>8.6111111111111027E-2</v>
      </c>
      <c r="J178">
        <f t="shared" si="4"/>
        <v>0</v>
      </c>
      <c r="K178">
        <f t="shared" si="5"/>
        <v>0</v>
      </c>
    </row>
    <row r="179" spans="1:11" x14ac:dyDescent="0.25">
      <c r="A179">
        <v>8</v>
      </c>
      <c r="B179" t="s">
        <v>36</v>
      </c>
      <c r="C179" s="4">
        <v>0.86128472222222219</v>
      </c>
      <c r="D179" s="23">
        <v>0.91559027777777779</v>
      </c>
      <c r="E179" s="23">
        <v>0.94739583333333333</v>
      </c>
      <c r="F179" t="s">
        <v>182</v>
      </c>
      <c r="G179" t="s">
        <v>175</v>
      </c>
      <c r="H179">
        <v>29</v>
      </c>
      <c r="I179" s="24">
        <v>8.6111111111111027E-2</v>
      </c>
      <c r="J179">
        <f t="shared" si="4"/>
        <v>0</v>
      </c>
      <c r="K179">
        <f t="shared" si="5"/>
        <v>0</v>
      </c>
    </row>
    <row r="180" spans="1:11" x14ac:dyDescent="0.25">
      <c r="A180">
        <v>9</v>
      </c>
      <c r="B180" t="s">
        <v>16</v>
      </c>
      <c r="C180" s="4">
        <v>0.86128472222222219</v>
      </c>
      <c r="D180" s="23">
        <v>0.86133101851851857</v>
      </c>
      <c r="E180" s="23">
        <v>0.94739583333333333</v>
      </c>
      <c r="F180" t="s">
        <v>183</v>
      </c>
      <c r="G180" t="s">
        <v>175</v>
      </c>
      <c r="H180">
        <v>29</v>
      </c>
      <c r="I180" s="24">
        <v>8.6111111111111027E-2</v>
      </c>
      <c r="J180">
        <f t="shared" si="4"/>
        <v>0</v>
      </c>
      <c r="K180">
        <f t="shared" si="5"/>
        <v>0</v>
      </c>
    </row>
    <row r="181" spans="1:11" x14ac:dyDescent="0.25">
      <c r="A181">
        <v>10</v>
      </c>
      <c r="B181" t="s">
        <v>184</v>
      </c>
      <c r="C181" s="4">
        <v>0.86128472222222219</v>
      </c>
      <c r="D181" s="23">
        <v>0.86133101851851857</v>
      </c>
      <c r="E181" s="23">
        <v>0.94739583333333333</v>
      </c>
      <c r="F181" t="s">
        <v>185</v>
      </c>
      <c r="G181" t="s">
        <v>175</v>
      </c>
      <c r="H181">
        <v>29</v>
      </c>
      <c r="I181" s="24">
        <v>8.6111111111111027E-2</v>
      </c>
      <c r="J181">
        <f t="shared" si="4"/>
        <v>0</v>
      </c>
      <c r="K181">
        <f t="shared" si="5"/>
        <v>0</v>
      </c>
    </row>
    <row r="182" spans="1:11" x14ac:dyDescent="0.25">
      <c r="A182">
        <v>11</v>
      </c>
      <c r="B182" t="s">
        <v>186</v>
      </c>
      <c r="C182" s="4">
        <v>0.86128472222222219</v>
      </c>
      <c r="D182" s="23">
        <v>0.86133101851851857</v>
      </c>
      <c r="E182" s="23">
        <v>0.94739583333333333</v>
      </c>
      <c r="F182" t="s">
        <v>180</v>
      </c>
      <c r="G182" t="s">
        <v>175</v>
      </c>
      <c r="H182">
        <v>29</v>
      </c>
      <c r="I182" s="24">
        <v>8.6111111111111027E-2</v>
      </c>
      <c r="J182">
        <f t="shared" si="4"/>
        <v>0</v>
      </c>
      <c r="K182">
        <f t="shared" si="5"/>
        <v>0</v>
      </c>
    </row>
    <row r="183" spans="1:11" x14ac:dyDescent="0.25">
      <c r="A183">
        <v>12</v>
      </c>
      <c r="B183" t="s">
        <v>18</v>
      </c>
      <c r="C183" s="4">
        <v>0.86128472222222219</v>
      </c>
      <c r="D183" s="23">
        <v>0.86133101851851857</v>
      </c>
      <c r="E183" s="23">
        <v>0.94739583333333333</v>
      </c>
      <c r="F183" t="s">
        <v>187</v>
      </c>
      <c r="G183" t="s">
        <v>175</v>
      </c>
      <c r="H183">
        <v>29</v>
      </c>
      <c r="I183" s="24">
        <v>8.6111111111111027E-2</v>
      </c>
      <c r="J183">
        <f t="shared" si="4"/>
        <v>0</v>
      </c>
      <c r="K183">
        <f t="shared" si="5"/>
        <v>0</v>
      </c>
    </row>
    <row r="184" spans="1:11" x14ac:dyDescent="0.25">
      <c r="A184">
        <v>13</v>
      </c>
      <c r="B184" t="s">
        <v>118</v>
      </c>
      <c r="C184" s="4">
        <v>0.86128472222222219</v>
      </c>
      <c r="D184" s="23">
        <v>0.86133101851851857</v>
      </c>
      <c r="E184" s="23">
        <v>0.94739583333333333</v>
      </c>
      <c r="F184" t="s">
        <v>180</v>
      </c>
      <c r="G184" t="s">
        <v>175</v>
      </c>
      <c r="H184">
        <v>29</v>
      </c>
      <c r="I184" s="24">
        <v>8.6111111111111027E-2</v>
      </c>
      <c r="J184">
        <f t="shared" si="4"/>
        <v>0</v>
      </c>
      <c r="K184">
        <f t="shared" si="5"/>
        <v>0</v>
      </c>
    </row>
    <row r="185" spans="1:11" x14ac:dyDescent="0.25">
      <c r="A185">
        <v>14</v>
      </c>
      <c r="B185" t="s">
        <v>20</v>
      </c>
      <c r="C185" s="4">
        <v>0.86128472222222219</v>
      </c>
      <c r="D185" s="23">
        <v>0.86133101851851857</v>
      </c>
      <c r="E185" s="23">
        <v>0.94739583333333333</v>
      </c>
      <c r="F185" t="s">
        <v>188</v>
      </c>
      <c r="G185" t="s">
        <v>175</v>
      </c>
      <c r="H185">
        <v>29</v>
      </c>
      <c r="I185" s="24">
        <v>8.6111111111111027E-2</v>
      </c>
      <c r="J185">
        <f t="shared" si="4"/>
        <v>0</v>
      </c>
      <c r="K185">
        <f t="shared" si="5"/>
        <v>0</v>
      </c>
    </row>
    <row r="186" spans="1:11" x14ac:dyDescent="0.25">
      <c r="A186">
        <v>15</v>
      </c>
      <c r="B186" t="s">
        <v>43</v>
      </c>
      <c r="C186" s="4">
        <v>0.86128472222222219</v>
      </c>
      <c r="D186" s="23">
        <v>0.86133101851851857</v>
      </c>
      <c r="E186" s="23">
        <v>0.94739583333333333</v>
      </c>
      <c r="F186" t="s">
        <v>180</v>
      </c>
      <c r="G186" t="s">
        <v>175</v>
      </c>
      <c r="H186">
        <v>29</v>
      </c>
      <c r="I186" s="24">
        <v>8.6111111111111027E-2</v>
      </c>
      <c r="J186">
        <f t="shared" si="4"/>
        <v>0</v>
      </c>
      <c r="K186">
        <f t="shared" si="5"/>
        <v>0</v>
      </c>
    </row>
    <row r="187" spans="1:11" x14ac:dyDescent="0.25">
      <c r="A187">
        <v>16</v>
      </c>
      <c r="B187" t="s">
        <v>44</v>
      </c>
      <c r="C187" s="4">
        <v>0.86128472222222219</v>
      </c>
      <c r="D187" s="23">
        <v>0.86133101851851857</v>
      </c>
      <c r="E187" s="23">
        <v>0.94739583333333333</v>
      </c>
      <c r="F187" t="s">
        <v>189</v>
      </c>
      <c r="G187" t="s">
        <v>175</v>
      </c>
      <c r="H187">
        <v>29</v>
      </c>
      <c r="I187" s="24">
        <v>8.6111111111111027E-2</v>
      </c>
      <c r="J187">
        <f t="shared" ref="J187:J249" si="6">IF(AND(H187&gt;=1,H187&lt;=7),1,0)</f>
        <v>0</v>
      </c>
      <c r="K187">
        <f t="shared" ref="K187:K249" si="7">IF(AND(H187&gt;=30,H187&lt;=36),1,0)</f>
        <v>0</v>
      </c>
    </row>
    <row r="188" spans="1:11" x14ac:dyDescent="0.25">
      <c r="A188">
        <v>17</v>
      </c>
      <c r="B188" t="s">
        <v>22</v>
      </c>
      <c r="C188" s="4">
        <v>0.86128472222222219</v>
      </c>
      <c r="D188" s="23">
        <v>0.86133101851851857</v>
      </c>
      <c r="E188" s="23">
        <v>0.94739583333333333</v>
      </c>
      <c r="F188" t="s">
        <v>190</v>
      </c>
      <c r="G188" t="s">
        <v>175</v>
      </c>
      <c r="H188">
        <v>29</v>
      </c>
      <c r="I188" s="24">
        <v>8.6111111111111027E-2</v>
      </c>
      <c r="J188">
        <f t="shared" si="6"/>
        <v>0</v>
      </c>
      <c r="K188">
        <f t="shared" si="7"/>
        <v>0</v>
      </c>
    </row>
    <row r="189" spans="1:11" x14ac:dyDescent="0.25">
      <c r="A189">
        <v>18</v>
      </c>
      <c r="B189" t="s">
        <v>46</v>
      </c>
      <c r="C189" s="4">
        <v>0.86128472222222219</v>
      </c>
      <c r="D189" s="23">
        <v>0.86133101851851857</v>
      </c>
      <c r="E189" s="23">
        <v>0.94739583333333333</v>
      </c>
      <c r="F189" t="s">
        <v>191</v>
      </c>
      <c r="G189" t="s">
        <v>175</v>
      </c>
      <c r="H189">
        <v>29</v>
      </c>
      <c r="I189" s="24">
        <v>8.6111111111111027E-2</v>
      </c>
      <c r="J189">
        <f t="shared" si="6"/>
        <v>0</v>
      </c>
      <c r="K189">
        <f t="shared" si="7"/>
        <v>0</v>
      </c>
    </row>
    <row r="190" spans="1:11" x14ac:dyDescent="0.25">
      <c r="A190">
        <v>19</v>
      </c>
      <c r="B190" t="s">
        <v>23</v>
      </c>
      <c r="C190" s="4">
        <v>0.86128472222222219</v>
      </c>
      <c r="D190" s="23">
        <v>0.86133101851851857</v>
      </c>
      <c r="E190" s="23">
        <v>0.94739583333333333</v>
      </c>
      <c r="F190" t="s">
        <v>192</v>
      </c>
      <c r="G190" t="s">
        <v>175</v>
      </c>
      <c r="H190">
        <v>29</v>
      </c>
      <c r="I190" s="24">
        <v>8.6111111111111027E-2</v>
      </c>
      <c r="J190">
        <f t="shared" si="6"/>
        <v>0</v>
      </c>
      <c r="K190">
        <f t="shared" si="7"/>
        <v>0</v>
      </c>
    </row>
    <row r="191" spans="1:11" x14ac:dyDescent="0.25">
      <c r="A191">
        <v>20</v>
      </c>
      <c r="B191" t="s">
        <v>25</v>
      </c>
      <c r="C191" s="4">
        <v>0.86128472222222219</v>
      </c>
      <c r="D191" s="23">
        <v>0.86133101851851857</v>
      </c>
      <c r="E191" s="23">
        <v>0.94739583333333333</v>
      </c>
      <c r="F191" t="s">
        <v>188</v>
      </c>
      <c r="G191" t="s">
        <v>175</v>
      </c>
      <c r="H191">
        <v>29</v>
      </c>
      <c r="I191" s="24">
        <v>8.6111111111111027E-2</v>
      </c>
      <c r="J191">
        <f t="shared" si="6"/>
        <v>0</v>
      </c>
      <c r="K191">
        <f t="shared" si="7"/>
        <v>0</v>
      </c>
    </row>
    <row r="192" spans="1:11" x14ac:dyDescent="0.25">
      <c r="A192">
        <v>21</v>
      </c>
      <c r="B192" t="s">
        <v>193</v>
      </c>
      <c r="C192" s="4">
        <v>0.86128472222222219</v>
      </c>
      <c r="D192" s="23">
        <v>0.86133101851851857</v>
      </c>
      <c r="E192" s="23">
        <v>0.94739583333333333</v>
      </c>
      <c r="F192" t="s">
        <v>180</v>
      </c>
      <c r="G192" t="s">
        <v>175</v>
      </c>
      <c r="H192">
        <v>29</v>
      </c>
      <c r="I192" s="24">
        <v>8.6111111111111027E-2</v>
      </c>
      <c r="J192">
        <f t="shared" si="6"/>
        <v>0</v>
      </c>
      <c r="K192">
        <f t="shared" si="7"/>
        <v>0</v>
      </c>
    </row>
    <row r="193" spans="1:11" x14ac:dyDescent="0.25">
      <c r="A193">
        <v>22</v>
      </c>
      <c r="B193" t="s">
        <v>50</v>
      </c>
      <c r="C193" s="4">
        <v>0.86128472222222219</v>
      </c>
      <c r="D193" s="23">
        <v>0.86133101851851857</v>
      </c>
      <c r="E193" s="23">
        <v>0.94739583333333333</v>
      </c>
      <c r="F193" t="s">
        <v>194</v>
      </c>
      <c r="G193" t="s">
        <v>175</v>
      </c>
      <c r="H193">
        <v>29</v>
      </c>
      <c r="I193" s="24">
        <v>8.6111111111111027E-2</v>
      </c>
      <c r="J193">
        <f t="shared" si="6"/>
        <v>0</v>
      </c>
      <c r="K193">
        <f t="shared" si="7"/>
        <v>0</v>
      </c>
    </row>
    <row r="194" spans="1:11" x14ac:dyDescent="0.25">
      <c r="A194">
        <v>23</v>
      </c>
      <c r="B194" t="s">
        <v>51</v>
      </c>
      <c r="C194" s="4">
        <v>0.86128472222222219</v>
      </c>
      <c r="D194" s="23">
        <v>0.86133101851851857</v>
      </c>
      <c r="E194" s="23">
        <v>0.94739583333333333</v>
      </c>
      <c r="F194" t="s">
        <v>195</v>
      </c>
      <c r="G194" t="s">
        <v>175</v>
      </c>
      <c r="H194">
        <v>29</v>
      </c>
      <c r="I194" s="24">
        <v>8.6111111111111027E-2</v>
      </c>
      <c r="J194">
        <f t="shared" si="6"/>
        <v>0</v>
      </c>
      <c r="K194">
        <f t="shared" si="7"/>
        <v>0</v>
      </c>
    </row>
    <row r="195" spans="1:11" x14ac:dyDescent="0.25">
      <c r="A195">
        <v>24</v>
      </c>
      <c r="B195" t="s">
        <v>53</v>
      </c>
      <c r="C195" s="4">
        <v>0.86128472222222219</v>
      </c>
      <c r="D195" s="23">
        <v>0.86133101851851857</v>
      </c>
      <c r="E195" s="23">
        <v>0.94739583333333333</v>
      </c>
      <c r="F195" t="s">
        <v>180</v>
      </c>
      <c r="G195" t="s">
        <v>175</v>
      </c>
      <c r="H195">
        <v>29</v>
      </c>
      <c r="I195" s="24">
        <v>8.6111111111111027E-2</v>
      </c>
      <c r="J195">
        <f t="shared" si="6"/>
        <v>0</v>
      </c>
      <c r="K195">
        <f t="shared" si="7"/>
        <v>0</v>
      </c>
    </row>
    <row r="196" spans="1:11" x14ac:dyDescent="0.25">
      <c r="A196">
        <v>1</v>
      </c>
      <c r="B196" t="s">
        <v>5</v>
      </c>
      <c r="C196" s="4">
        <v>0.86067129629629635</v>
      </c>
      <c r="D196" s="23">
        <v>0.86071759259259262</v>
      </c>
      <c r="E196" s="23">
        <v>0.9356944444444445</v>
      </c>
      <c r="F196" t="s">
        <v>196</v>
      </c>
      <c r="G196" t="s">
        <v>197</v>
      </c>
      <c r="H196">
        <v>28</v>
      </c>
      <c r="I196" s="24">
        <v>7.5023148148148255E-2</v>
      </c>
      <c r="J196">
        <f t="shared" si="6"/>
        <v>0</v>
      </c>
      <c r="K196">
        <f t="shared" si="7"/>
        <v>0</v>
      </c>
    </row>
    <row r="197" spans="1:11" x14ac:dyDescent="0.25">
      <c r="A197">
        <v>2</v>
      </c>
      <c r="B197" t="s">
        <v>9</v>
      </c>
      <c r="C197" s="4">
        <v>0.86067129629629635</v>
      </c>
      <c r="D197" s="23">
        <v>0.86071759259259262</v>
      </c>
      <c r="E197" s="23">
        <v>0.9356944444444445</v>
      </c>
      <c r="F197" t="s">
        <v>196</v>
      </c>
      <c r="G197" t="s">
        <v>197</v>
      </c>
      <c r="H197">
        <v>28</v>
      </c>
      <c r="I197" s="24">
        <v>7.5023148148148255E-2</v>
      </c>
      <c r="J197">
        <f t="shared" si="6"/>
        <v>0</v>
      </c>
      <c r="K197">
        <f t="shared" si="7"/>
        <v>0</v>
      </c>
    </row>
    <row r="198" spans="1:11" x14ac:dyDescent="0.25">
      <c r="A198">
        <v>3</v>
      </c>
      <c r="B198" t="s">
        <v>11</v>
      </c>
      <c r="C198" s="4">
        <v>0.86067129629629635</v>
      </c>
      <c r="D198" s="23">
        <v>0.86071759259259262</v>
      </c>
      <c r="E198" s="23">
        <v>0.9356944444444445</v>
      </c>
      <c r="F198" t="s">
        <v>196</v>
      </c>
      <c r="G198" t="s">
        <v>197</v>
      </c>
      <c r="H198">
        <v>28</v>
      </c>
      <c r="I198" s="24">
        <v>7.5023148148148255E-2</v>
      </c>
      <c r="J198">
        <f t="shared" si="6"/>
        <v>0</v>
      </c>
      <c r="K198">
        <f t="shared" si="7"/>
        <v>0</v>
      </c>
    </row>
    <row r="199" spans="1:11" x14ac:dyDescent="0.25">
      <c r="A199">
        <v>5</v>
      </c>
      <c r="B199" t="s">
        <v>70</v>
      </c>
      <c r="C199" s="4">
        <v>0.86067129629629635</v>
      </c>
      <c r="D199" s="23">
        <v>0.86071759259259262</v>
      </c>
      <c r="E199" s="23">
        <v>0.9356944444444445</v>
      </c>
      <c r="F199" t="s">
        <v>199</v>
      </c>
      <c r="G199" t="s">
        <v>197</v>
      </c>
      <c r="H199">
        <v>28</v>
      </c>
      <c r="I199" s="24">
        <v>7.5023148148148255E-2</v>
      </c>
      <c r="J199">
        <f t="shared" si="6"/>
        <v>0</v>
      </c>
      <c r="K199">
        <f t="shared" si="7"/>
        <v>0</v>
      </c>
    </row>
    <row r="200" spans="1:11" x14ac:dyDescent="0.25">
      <c r="A200">
        <v>6</v>
      </c>
      <c r="B200" t="s">
        <v>59</v>
      </c>
      <c r="C200" s="4">
        <v>0.86067129629629635</v>
      </c>
      <c r="D200" s="23">
        <v>0.86071759259259262</v>
      </c>
      <c r="E200" s="23">
        <v>0.9356944444444445</v>
      </c>
      <c r="F200" t="s">
        <v>199</v>
      </c>
      <c r="G200" t="s">
        <v>197</v>
      </c>
      <c r="H200">
        <v>28</v>
      </c>
      <c r="I200" s="24">
        <v>7.5023148148148255E-2</v>
      </c>
      <c r="J200">
        <f t="shared" si="6"/>
        <v>0</v>
      </c>
      <c r="K200">
        <f t="shared" si="7"/>
        <v>0</v>
      </c>
    </row>
    <row r="201" spans="1:11" x14ac:dyDescent="0.25">
      <c r="A201">
        <v>7</v>
      </c>
      <c r="B201" t="s">
        <v>36</v>
      </c>
      <c r="C201" s="4">
        <v>0.86067129629629635</v>
      </c>
      <c r="D201" s="23">
        <v>0.86071759259259262</v>
      </c>
      <c r="E201" s="23">
        <v>0.9356944444444445</v>
      </c>
      <c r="F201" t="s">
        <v>199</v>
      </c>
      <c r="G201" t="s">
        <v>197</v>
      </c>
      <c r="H201">
        <v>28</v>
      </c>
      <c r="I201" s="24">
        <v>7.5023148148148255E-2</v>
      </c>
      <c r="J201">
        <f t="shared" si="6"/>
        <v>0</v>
      </c>
      <c r="K201">
        <f t="shared" si="7"/>
        <v>0</v>
      </c>
    </row>
    <row r="202" spans="1:11" x14ac:dyDescent="0.25">
      <c r="A202">
        <v>8</v>
      </c>
      <c r="B202" t="s">
        <v>37</v>
      </c>
      <c r="C202" s="4">
        <v>0.86067129629629635</v>
      </c>
      <c r="D202" s="23">
        <v>0.86071759259259262</v>
      </c>
      <c r="E202" s="23">
        <v>0.9356944444444445</v>
      </c>
      <c r="F202" t="s">
        <v>199</v>
      </c>
      <c r="G202" t="s">
        <v>197</v>
      </c>
      <c r="H202">
        <v>28</v>
      </c>
      <c r="I202" s="24">
        <v>7.5023148148148255E-2</v>
      </c>
      <c r="J202">
        <f t="shared" si="6"/>
        <v>0</v>
      </c>
      <c r="K202">
        <f t="shared" si="7"/>
        <v>0</v>
      </c>
    </row>
    <row r="203" spans="1:11" x14ac:dyDescent="0.25">
      <c r="A203">
        <v>9</v>
      </c>
      <c r="B203" t="s">
        <v>16</v>
      </c>
      <c r="C203" s="4">
        <v>0.86067129629629635</v>
      </c>
      <c r="D203" s="23">
        <v>0.86071759259259262</v>
      </c>
      <c r="E203" s="23">
        <v>0.9356944444444445</v>
      </c>
      <c r="F203" t="s">
        <v>196</v>
      </c>
      <c r="G203" t="s">
        <v>197</v>
      </c>
      <c r="H203">
        <v>28</v>
      </c>
      <c r="I203" s="24">
        <v>7.5023148148148255E-2</v>
      </c>
      <c r="J203">
        <f t="shared" si="6"/>
        <v>0</v>
      </c>
      <c r="K203">
        <f t="shared" si="7"/>
        <v>0</v>
      </c>
    </row>
    <row r="204" spans="1:11" x14ac:dyDescent="0.25">
      <c r="A204">
        <v>10</v>
      </c>
      <c r="B204" t="s">
        <v>18</v>
      </c>
      <c r="C204" s="4">
        <v>0.86067129629629635</v>
      </c>
      <c r="D204" s="23">
        <v>0.86071759259259262</v>
      </c>
      <c r="E204" s="23">
        <v>0.9356944444444445</v>
      </c>
      <c r="F204" t="s">
        <v>199</v>
      </c>
      <c r="G204" t="s">
        <v>197</v>
      </c>
      <c r="H204">
        <v>28</v>
      </c>
      <c r="I204" s="24">
        <v>7.5023148148148255E-2</v>
      </c>
      <c r="J204">
        <f t="shared" si="6"/>
        <v>0</v>
      </c>
      <c r="K204">
        <f t="shared" si="7"/>
        <v>0</v>
      </c>
    </row>
    <row r="205" spans="1:11" x14ac:dyDescent="0.25">
      <c r="A205">
        <v>11</v>
      </c>
      <c r="B205" t="s">
        <v>60</v>
      </c>
      <c r="C205" s="4">
        <v>0.86067129629629635</v>
      </c>
      <c r="D205" s="23">
        <v>0.86071759259259262</v>
      </c>
      <c r="E205" s="23">
        <v>0.9356944444444445</v>
      </c>
      <c r="F205" t="s">
        <v>199</v>
      </c>
      <c r="G205" t="s">
        <v>197</v>
      </c>
      <c r="H205">
        <v>28</v>
      </c>
      <c r="I205" s="24">
        <v>7.5023148148148255E-2</v>
      </c>
      <c r="J205">
        <f t="shared" si="6"/>
        <v>0</v>
      </c>
      <c r="K205">
        <f t="shared" si="7"/>
        <v>0</v>
      </c>
    </row>
    <row r="206" spans="1:11" x14ac:dyDescent="0.25">
      <c r="A206">
        <v>12</v>
      </c>
      <c r="B206" t="s">
        <v>20</v>
      </c>
      <c r="C206" s="4">
        <v>0.86067129629629635</v>
      </c>
      <c r="D206" s="23">
        <v>0.86071759259259262</v>
      </c>
      <c r="E206" s="23">
        <v>0.9356944444444445</v>
      </c>
      <c r="F206" t="s">
        <v>199</v>
      </c>
      <c r="G206" t="s">
        <v>197</v>
      </c>
      <c r="H206">
        <v>28</v>
      </c>
      <c r="I206" s="24">
        <v>7.5023148148148255E-2</v>
      </c>
      <c r="J206">
        <f t="shared" si="6"/>
        <v>0</v>
      </c>
      <c r="K206">
        <f t="shared" si="7"/>
        <v>0</v>
      </c>
    </row>
    <row r="207" spans="1:11" x14ac:dyDescent="0.25">
      <c r="A207">
        <v>13</v>
      </c>
      <c r="B207" t="s">
        <v>43</v>
      </c>
      <c r="C207" s="4">
        <v>0.86067129629629635</v>
      </c>
      <c r="D207" s="23">
        <v>0.86071759259259262</v>
      </c>
      <c r="E207" s="23">
        <v>0.9356944444444445</v>
      </c>
      <c r="F207" t="s">
        <v>199</v>
      </c>
      <c r="G207" t="s">
        <v>197</v>
      </c>
      <c r="H207">
        <v>28</v>
      </c>
      <c r="I207" s="24">
        <v>7.5023148148148255E-2</v>
      </c>
      <c r="J207">
        <f t="shared" si="6"/>
        <v>0</v>
      </c>
      <c r="K207">
        <f t="shared" si="7"/>
        <v>0</v>
      </c>
    </row>
    <row r="208" spans="1:11" x14ac:dyDescent="0.25">
      <c r="A208">
        <v>14</v>
      </c>
      <c r="B208" t="s">
        <v>44</v>
      </c>
      <c r="C208" s="4">
        <v>0.86067129629629635</v>
      </c>
      <c r="D208" s="23">
        <v>0.86071759259259262</v>
      </c>
      <c r="E208" s="23">
        <v>0.9356944444444445</v>
      </c>
      <c r="F208" t="s">
        <v>199</v>
      </c>
      <c r="G208" t="s">
        <v>197</v>
      </c>
      <c r="H208">
        <v>28</v>
      </c>
      <c r="I208" s="24">
        <v>7.5023148148148255E-2</v>
      </c>
      <c r="J208">
        <f t="shared" si="6"/>
        <v>0</v>
      </c>
      <c r="K208">
        <f t="shared" si="7"/>
        <v>0</v>
      </c>
    </row>
    <row r="209" spans="1:11" x14ac:dyDescent="0.25">
      <c r="A209">
        <v>15</v>
      </c>
      <c r="B209" t="s">
        <v>22</v>
      </c>
      <c r="C209" s="4">
        <v>0.86067129629629635</v>
      </c>
      <c r="D209" s="23">
        <v>0.86071759259259262</v>
      </c>
      <c r="E209" s="23">
        <v>0.9356944444444445</v>
      </c>
      <c r="F209" t="s">
        <v>196</v>
      </c>
      <c r="G209" t="s">
        <v>197</v>
      </c>
      <c r="H209">
        <v>28</v>
      </c>
      <c r="I209" s="24">
        <v>7.5023148148148255E-2</v>
      </c>
      <c r="J209">
        <f t="shared" si="6"/>
        <v>0</v>
      </c>
      <c r="K209">
        <f t="shared" si="7"/>
        <v>0</v>
      </c>
    </row>
    <row r="210" spans="1:11" x14ac:dyDescent="0.25">
      <c r="A210">
        <v>16</v>
      </c>
      <c r="B210" t="s">
        <v>46</v>
      </c>
      <c r="C210" s="4">
        <v>0.86067129629629635</v>
      </c>
      <c r="D210" s="23">
        <v>0.86071759259259262</v>
      </c>
      <c r="E210" s="23">
        <v>0.9356944444444445</v>
      </c>
      <c r="F210" t="s">
        <v>196</v>
      </c>
      <c r="G210" t="s">
        <v>197</v>
      </c>
      <c r="H210">
        <v>28</v>
      </c>
      <c r="I210" s="24">
        <v>7.5023148148148255E-2</v>
      </c>
      <c r="J210">
        <f t="shared" si="6"/>
        <v>0</v>
      </c>
      <c r="K210">
        <f t="shared" si="7"/>
        <v>0</v>
      </c>
    </row>
    <row r="211" spans="1:11" x14ac:dyDescent="0.25">
      <c r="A211">
        <v>17</v>
      </c>
      <c r="B211" t="s">
        <v>23</v>
      </c>
      <c r="C211" s="4">
        <v>0.86067129629629635</v>
      </c>
      <c r="D211" s="23">
        <v>0.86071759259259262</v>
      </c>
      <c r="E211" s="23">
        <v>0.9356944444444445</v>
      </c>
      <c r="F211" t="s">
        <v>196</v>
      </c>
      <c r="G211" t="s">
        <v>197</v>
      </c>
      <c r="H211">
        <v>28</v>
      </c>
      <c r="I211" s="24">
        <v>7.5023148148148255E-2</v>
      </c>
      <c r="J211">
        <f t="shared" si="6"/>
        <v>0</v>
      </c>
      <c r="K211">
        <f t="shared" si="7"/>
        <v>0</v>
      </c>
    </row>
    <row r="212" spans="1:11" x14ac:dyDescent="0.25">
      <c r="A212">
        <v>18</v>
      </c>
      <c r="B212" t="s">
        <v>200</v>
      </c>
      <c r="C212" s="4">
        <v>0.86067129629629635</v>
      </c>
      <c r="D212" s="23">
        <v>0.86071759259259262</v>
      </c>
      <c r="E212" s="23">
        <v>0.9356944444444445</v>
      </c>
      <c r="F212" t="s">
        <v>199</v>
      </c>
      <c r="G212" t="s">
        <v>197</v>
      </c>
      <c r="H212">
        <v>28</v>
      </c>
      <c r="I212" s="24">
        <v>7.5023148148148255E-2</v>
      </c>
      <c r="J212">
        <f t="shared" si="6"/>
        <v>0</v>
      </c>
      <c r="K212">
        <f t="shared" si="7"/>
        <v>0</v>
      </c>
    </row>
    <row r="213" spans="1:11" x14ac:dyDescent="0.25">
      <c r="A213">
        <v>19</v>
      </c>
      <c r="B213" t="s">
        <v>25</v>
      </c>
      <c r="C213" s="4">
        <v>0.86067129629629635</v>
      </c>
      <c r="D213" s="23">
        <v>0.86071759259259262</v>
      </c>
      <c r="E213" s="23">
        <v>0.9356944444444445</v>
      </c>
      <c r="F213" t="s">
        <v>199</v>
      </c>
      <c r="G213" t="s">
        <v>197</v>
      </c>
      <c r="H213">
        <v>28</v>
      </c>
      <c r="I213" s="24">
        <v>7.5023148148148255E-2</v>
      </c>
      <c r="J213">
        <f t="shared" si="6"/>
        <v>0</v>
      </c>
      <c r="K213">
        <f t="shared" si="7"/>
        <v>0</v>
      </c>
    </row>
    <row r="214" spans="1:11" x14ac:dyDescent="0.25">
      <c r="A214">
        <v>20</v>
      </c>
      <c r="B214" t="s">
        <v>50</v>
      </c>
      <c r="C214" s="4">
        <v>0.86067129629629635</v>
      </c>
      <c r="D214" s="23">
        <v>0.86071759259259262</v>
      </c>
      <c r="E214" s="23">
        <v>0.9356944444444445</v>
      </c>
      <c r="F214" t="s">
        <v>199</v>
      </c>
      <c r="G214" t="s">
        <v>197</v>
      </c>
      <c r="H214">
        <v>28</v>
      </c>
      <c r="I214" s="24">
        <v>7.5023148148148255E-2</v>
      </c>
      <c r="J214">
        <f t="shared" si="6"/>
        <v>0</v>
      </c>
      <c r="K214">
        <f t="shared" si="7"/>
        <v>0</v>
      </c>
    </row>
    <row r="215" spans="1:11" x14ac:dyDescent="0.25">
      <c r="A215">
        <v>21</v>
      </c>
      <c r="B215" t="s">
        <v>51</v>
      </c>
      <c r="C215" s="4">
        <v>0.86067129629629635</v>
      </c>
      <c r="D215" s="23">
        <v>0.86071759259259262</v>
      </c>
      <c r="E215" s="23">
        <v>0.9356944444444445</v>
      </c>
      <c r="F215" t="s">
        <v>199</v>
      </c>
      <c r="G215" t="s">
        <v>197</v>
      </c>
      <c r="H215">
        <v>28</v>
      </c>
      <c r="I215" s="24">
        <v>7.5023148148148255E-2</v>
      </c>
      <c r="J215">
        <f t="shared" si="6"/>
        <v>0</v>
      </c>
      <c r="K215">
        <f t="shared" si="7"/>
        <v>0</v>
      </c>
    </row>
    <row r="216" spans="1:11" x14ac:dyDescent="0.25">
      <c r="A216">
        <v>22</v>
      </c>
      <c r="B216" t="s">
        <v>83</v>
      </c>
      <c r="C216" s="4">
        <v>0.86067129629629635</v>
      </c>
      <c r="D216" s="23">
        <v>0.86071759259259262</v>
      </c>
      <c r="E216" s="23">
        <v>0.9356944444444445</v>
      </c>
      <c r="F216" t="s">
        <v>199</v>
      </c>
      <c r="G216" t="s">
        <v>197</v>
      </c>
      <c r="H216">
        <v>28</v>
      </c>
      <c r="I216" s="24">
        <v>7.5023148148148255E-2</v>
      </c>
      <c r="J216">
        <f t="shared" si="6"/>
        <v>0</v>
      </c>
      <c r="K216">
        <f t="shared" si="7"/>
        <v>0</v>
      </c>
    </row>
    <row r="217" spans="1:11" x14ac:dyDescent="0.25">
      <c r="A217">
        <v>23</v>
      </c>
      <c r="B217" t="s">
        <v>85</v>
      </c>
      <c r="C217" s="4">
        <v>0.86067129629629635</v>
      </c>
      <c r="D217" s="23">
        <v>0.86071759259259262</v>
      </c>
      <c r="E217" s="23">
        <v>0.9356944444444445</v>
      </c>
      <c r="F217" t="s">
        <v>199</v>
      </c>
      <c r="G217" t="s">
        <v>197</v>
      </c>
      <c r="H217">
        <v>28</v>
      </c>
      <c r="I217" s="24">
        <v>7.5023148148148255E-2</v>
      </c>
      <c r="J217">
        <f t="shared" si="6"/>
        <v>0</v>
      </c>
      <c r="K217">
        <f t="shared" si="7"/>
        <v>0</v>
      </c>
    </row>
    <row r="218" spans="1:11" x14ac:dyDescent="0.25">
      <c r="A218">
        <v>24</v>
      </c>
      <c r="B218" t="s">
        <v>134</v>
      </c>
      <c r="C218" s="4">
        <v>0.86067129629629635</v>
      </c>
      <c r="D218" s="23">
        <v>0.86071759259259262</v>
      </c>
      <c r="E218" s="23">
        <v>0.9356944444444445</v>
      </c>
      <c r="F218" t="s">
        <v>199</v>
      </c>
      <c r="G218" t="s">
        <v>197</v>
      </c>
      <c r="H218">
        <v>28</v>
      </c>
      <c r="I218" s="24">
        <v>7.5023148148148255E-2</v>
      </c>
      <c r="J218">
        <f t="shared" si="6"/>
        <v>0</v>
      </c>
      <c r="K218">
        <f t="shared" si="7"/>
        <v>0</v>
      </c>
    </row>
    <row r="219" spans="1:11" x14ac:dyDescent="0.25">
      <c r="A219">
        <v>25</v>
      </c>
      <c r="B219" t="s">
        <v>53</v>
      </c>
      <c r="C219" s="4">
        <v>0.86067129629629635</v>
      </c>
      <c r="D219" s="23">
        <v>0.86071759259259262</v>
      </c>
      <c r="E219" s="23">
        <v>0.9356944444444445</v>
      </c>
      <c r="F219" t="s">
        <v>199</v>
      </c>
      <c r="G219" t="s">
        <v>197</v>
      </c>
      <c r="H219">
        <v>28</v>
      </c>
      <c r="I219" s="24">
        <v>7.5023148148148255E-2</v>
      </c>
      <c r="J219">
        <f t="shared" si="6"/>
        <v>0</v>
      </c>
      <c r="K219">
        <f t="shared" si="7"/>
        <v>0</v>
      </c>
    </row>
    <row r="220" spans="1:11" x14ac:dyDescent="0.25">
      <c r="A220">
        <v>1</v>
      </c>
      <c r="B220" t="s">
        <v>29</v>
      </c>
      <c r="C220" s="4">
        <v>0.8625694444444445</v>
      </c>
      <c r="D220" s="23">
        <v>0.9450925925925926</v>
      </c>
      <c r="E220" s="23">
        <v>0.94535879629629627</v>
      </c>
      <c r="F220" t="s">
        <v>201</v>
      </c>
      <c r="G220" t="s">
        <v>202</v>
      </c>
      <c r="H220">
        <v>27</v>
      </c>
      <c r="I220" s="24">
        <v>8.2789351851851878E-2</v>
      </c>
      <c r="J220">
        <f t="shared" si="6"/>
        <v>0</v>
      </c>
      <c r="K220">
        <f t="shared" si="7"/>
        <v>0</v>
      </c>
    </row>
    <row r="221" spans="1:11" x14ac:dyDescent="0.25">
      <c r="A221">
        <v>2</v>
      </c>
      <c r="B221" t="s">
        <v>5</v>
      </c>
      <c r="C221" s="4">
        <v>0.8625694444444445</v>
      </c>
      <c r="D221" s="23">
        <v>0.86260416666666662</v>
      </c>
      <c r="E221" s="23">
        <v>0.94535879629629627</v>
      </c>
      <c r="F221" t="s">
        <v>204</v>
      </c>
      <c r="G221" t="s">
        <v>202</v>
      </c>
      <c r="H221">
        <v>27</v>
      </c>
      <c r="I221" s="24">
        <v>8.2789351851851878E-2</v>
      </c>
      <c r="J221">
        <f t="shared" si="6"/>
        <v>0</v>
      </c>
      <c r="K221">
        <f t="shared" si="7"/>
        <v>0</v>
      </c>
    </row>
    <row r="222" spans="1:11" x14ac:dyDescent="0.25">
      <c r="A222">
        <v>3</v>
      </c>
      <c r="B222" t="s">
        <v>9</v>
      </c>
      <c r="C222" s="4">
        <v>0.8625694444444445</v>
      </c>
      <c r="D222" s="23">
        <v>0.9450925925925926</v>
      </c>
      <c r="E222" s="23">
        <v>0.94535879629629627</v>
      </c>
      <c r="F222" t="s">
        <v>205</v>
      </c>
      <c r="G222" t="s">
        <v>202</v>
      </c>
      <c r="H222">
        <v>27</v>
      </c>
      <c r="I222" s="24">
        <v>8.2789351851851878E-2</v>
      </c>
      <c r="J222">
        <f t="shared" si="6"/>
        <v>0</v>
      </c>
      <c r="K222">
        <f t="shared" si="7"/>
        <v>0</v>
      </c>
    </row>
    <row r="223" spans="1:11" x14ac:dyDescent="0.25">
      <c r="A223">
        <v>4</v>
      </c>
      <c r="B223" t="s">
        <v>11</v>
      </c>
      <c r="C223" s="4">
        <v>0.8625694444444445</v>
      </c>
      <c r="D223" s="23">
        <v>0.86260416666666662</v>
      </c>
      <c r="E223" s="23">
        <v>0.94535879629629627</v>
      </c>
      <c r="F223" t="s">
        <v>206</v>
      </c>
      <c r="G223" t="s">
        <v>202</v>
      </c>
      <c r="H223">
        <v>27</v>
      </c>
      <c r="I223" s="24">
        <v>8.2789351851851878E-2</v>
      </c>
      <c r="J223">
        <f t="shared" si="6"/>
        <v>0</v>
      </c>
      <c r="K223">
        <f t="shared" si="7"/>
        <v>0</v>
      </c>
    </row>
    <row r="224" spans="1:11" x14ac:dyDescent="0.25">
      <c r="A224">
        <v>5</v>
      </c>
      <c r="B224" t="s">
        <v>35</v>
      </c>
      <c r="C224" s="4">
        <v>0.8625694444444445</v>
      </c>
      <c r="D224" s="23">
        <v>0.86260416666666662</v>
      </c>
      <c r="E224" s="23">
        <v>0.94535879629629627</v>
      </c>
      <c r="F224" t="s">
        <v>207</v>
      </c>
      <c r="G224" t="s">
        <v>202</v>
      </c>
      <c r="H224">
        <v>27</v>
      </c>
      <c r="I224" s="24">
        <v>8.2789351851851878E-2</v>
      </c>
      <c r="J224">
        <f t="shared" si="6"/>
        <v>0</v>
      </c>
      <c r="K224">
        <f t="shared" si="7"/>
        <v>0</v>
      </c>
    </row>
    <row r="225" spans="1:11" x14ac:dyDescent="0.25">
      <c r="A225">
        <v>6</v>
      </c>
      <c r="B225" t="s">
        <v>97</v>
      </c>
      <c r="C225" s="4">
        <v>0.8625694444444445</v>
      </c>
      <c r="D225" s="23">
        <v>0.86260416666666662</v>
      </c>
      <c r="E225" s="23">
        <v>0.94535879629629627</v>
      </c>
      <c r="F225" t="s">
        <v>206</v>
      </c>
      <c r="G225" t="s">
        <v>202</v>
      </c>
      <c r="H225">
        <v>27</v>
      </c>
      <c r="I225" s="24">
        <v>8.2789351851851878E-2</v>
      </c>
      <c r="J225">
        <f t="shared" si="6"/>
        <v>0</v>
      </c>
      <c r="K225">
        <f t="shared" si="7"/>
        <v>0</v>
      </c>
    </row>
    <row r="226" spans="1:11" x14ac:dyDescent="0.25">
      <c r="A226">
        <v>7</v>
      </c>
      <c r="B226" t="s">
        <v>208</v>
      </c>
      <c r="C226" s="4">
        <v>0.8625694444444445</v>
      </c>
      <c r="D226" s="23">
        <v>0.86260416666666662</v>
      </c>
      <c r="E226" s="23">
        <v>0.94535879629629627</v>
      </c>
      <c r="F226" t="s">
        <v>206</v>
      </c>
      <c r="G226" t="s">
        <v>202</v>
      </c>
      <c r="H226">
        <v>27</v>
      </c>
      <c r="I226" s="24">
        <v>8.2789351851851878E-2</v>
      </c>
      <c r="J226">
        <f t="shared" si="6"/>
        <v>0</v>
      </c>
      <c r="K226">
        <f t="shared" si="7"/>
        <v>0</v>
      </c>
    </row>
    <row r="227" spans="1:11" x14ac:dyDescent="0.25">
      <c r="A227">
        <v>8</v>
      </c>
      <c r="B227" t="s">
        <v>37</v>
      </c>
      <c r="C227" s="4">
        <v>0.8625694444444445</v>
      </c>
      <c r="D227" s="23">
        <v>0.86835648148148148</v>
      </c>
      <c r="E227" s="23">
        <v>0.94535879629629627</v>
      </c>
      <c r="F227" t="s">
        <v>209</v>
      </c>
      <c r="G227" t="s">
        <v>202</v>
      </c>
      <c r="H227">
        <v>27</v>
      </c>
      <c r="I227" s="24">
        <v>8.2789351851851878E-2</v>
      </c>
      <c r="J227">
        <f t="shared" si="6"/>
        <v>0</v>
      </c>
      <c r="K227">
        <f t="shared" si="7"/>
        <v>0</v>
      </c>
    </row>
    <row r="228" spans="1:11" x14ac:dyDescent="0.25">
      <c r="A228">
        <v>9</v>
      </c>
      <c r="B228" t="s">
        <v>16</v>
      </c>
      <c r="C228" s="4">
        <v>0.8625694444444445</v>
      </c>
      <c r="D228" s="23">
        <v>0.86260416666666662</v>
      </c>
      <c r="E228" s="23">
        <v>0.94535879629629627</v>
      </c>
      <c r="F228" t="s">
        <v>204</v>
      </c>
      <c r="G228" t="s">
        <v>202</v>
      </c>
      <c r="H228">
        <v>27</v>
      </c>
      <c r="I228" s="24">
        <v>8.2789351851851878E-2</v>
      </c>
      <c r="J228">
        <f t="shared" si="6"/>
        <v>0</v>
      </c>
      <c r="K228">
        <f t="shared" si="7"/>
        <v>0</v>
      </c>
    </row>
    <row r="229" spans="1:11" x14ac:dyDescent="0.25">
      <c r="A229">
        <v>10</v>
      </c>
      <c r="B229" t="s">
        <v>18</v>
      </c>
      <c r="C229" s="4">
        <v>0.8625694444444445</v>
      </c>
      <c r="D229" s="23">
        <v>0.94527777777777777</v>
      </c>
      <c r="E229" s="23">
        <v>0.94535879629629627</v>
      </c>
      <c r="F229" t="s">
        <v>210</v>
      </c>
      <c r="G229" t="s">
        <v>202</v>
      </c>
      <c r="H229">
        <v>27</v>
      </c>
      <c r="I229" s="24">
        <v>8.2789351851851878E-2</v>
      </c>
      <c r="J229">
        <f t="shared" si="6"/>
        <v>0</v>
      </c>
      <c r="K229">
        <f t="shared" si="7"/>
        <v>0</v>
      </c>
    </row>
    <row r="230" spans="1:11" x14ac:dyDescent="0.25">
      <c r="A230">
        <v>11</v>
      </c>
      <c r="B230" t="s">
        <v>41</v>
      </c>
      <c r="C230" s="4">
        <v>0.8625694444444445</v>
      </c>
      <c r="D230" s="23">
        <v>0.9450925925925926</v>
      </c>
      <c r="E230" s="23">
        <v>0.94535879629629627</v>
      </c>
      <c r="F230" t="s">
        <v>205</v>
      </c>
      <c r="G230" t="s">
        <v>202</v>
      </c>
      <c r="H230">
        <v>27</v>
      </c>
      <c r="I230" s="24">
        <v>8.2789351851851878E-2</v>
      </c>
      <c r="J230">
        <f t="shared" si="6"/>
        <v>0</v>
      </c>
      <c r="K230">
        <f t="shared" si="7"/>
        <v>0</v>
      </c>
    </row>
    <row r="231" spans="1:11" x14ac:dyDescent="0.25">
      <c r="A231">
        <v>12</v>
      </c>
      <c r="B231" t="s">
        <v>118</v>
      </c>
      <c r="C231" s="4">
        <v>0.8625694444444445</v>
      </c>
      <c r="D231" s="23">
        <v>0.86835648148148148</v>
      </c>
      <c r="E231" s="23">
        <v>0.94535879629629627</v>
      </c>
      <c r="F231" t="s">
        <v>209</v>
      </c>
      <c r="G231" t="s">
        <v>202</v>
      </c>
      <c r="H231">
        <v>27</v>
      </c>
      <c r="I231" s="24">
        <v>8.2789351851851878E-2</v>
      </c>
      <c r="J231">
        <f t="shared" si="6"/>
        <v>0</v>
      </c>
      <c r="K231">
        <f t="shared" si="7"/>
        <v>0</v>
      </c>
    </row>
    <row r="232" spans="1:11" x14ac:dyDescent="0.25">
      <c r="A232">
        <v>13</v>
      </c>
      <c r="B232" t="s">
        <v>60</v>
      </c>
      <c r="C232" s="4">
        <v>0.8625694444444445</v>
      </c>
      <c r="D232" s="23">
        <v>0.86260416666666662</v>
      </c>
      <c r="E232" s="23">
        <v>0.94535879629629627</v>
      </c>
      <c r="F232" t="s">
        <v>206</v>
      </c>
      <c r="G232" t="s">
        <v>202</v>
      </c>
      <c r="H232">
        <v>27</v>
      </c>
      <c r="I232" s="24">
        <v>8.2789351851851878E-2</v>
      </c>
      <c r="J232">
        <f t="shared" si="6"/>
        <v>0</v>
      </c>
      <c r="K232">
        <f t="shared" si="7"/>
        <v>0</v>
      </c>
    </row>
    <row r="233" spans="1:11" x14ac:dyDescent="0.25">
      <c r="A233">
        <v>14</v>
      </c>
      <c r="B233" t="s">
        <v>43</v>
      </c>
      <c r="C233" s="4">
        <v>0.8625694444444445</v>
      </c>
      <c r="D233" s="23">
        <v>0.86260416666666662</v>
      </c>
      <c r="E233" s="23">
        <v>0.94535879629629627</v>
      </c>
      <c r="F233" t="s">
        <v>206</v>
      </c>
      <c r="G233" t="s">
        <v>202</v>
      </c>
      <c r="H233">
        <v>27</v>
      </c>
      <c r="I233" s="24">
        <v>8.2789351851851878E-2</v>
      </c>
      <c r="J233">
        <f t="shared" si="6"/>
        <v>0</v>
      </c>
      <c r="K233">
        <f t="shared" si="7"/>
        <v>0</v>
      </c>
    </row>
    <row r="234" spans="1:11" x14ac:dyDescent="0.25">
      <c r="A234">
        <v>15</v>
      </c>
      <c r="B234" t="s">
        <v>44</v>
      </c>
      <c r="C234" s="4">
        <v>0.8625694444444445</v>
      </c>
      <c r="D234" s="23">
        <v>0.86260416666666662</v>
      </c>
      <c r="E234" s="23">
        <v>0.94535879629629627</v>
      </c>
      <c r="F234" t="s">
        <v>204</v>
      </c>
      <c r="G234" t="s">
        <v>202</v>
      </c>
      <c r="H234">
        <v>27</v>
      </c>
      <c r="I234" s="24">
        <v>8.2789351851851878E-2</v>
      </c>
      <c r="J234">
        <f t="shared" si="6"/>
        <v>0</v>
      </c>
      <c r="K234">
        <f t="shared" si="7"/>
        <v>0</v>
      </c>
    </row>
    <row r="235" spans="1:11" x14ac:dyDescent="0.25">
      <c r="A235">
        <v>16</v>
      </c>
      <c r="B235" t="s">
        <v>22</v>
      </c>
      <c r="C235" s="4">
        <v>0.8625694444444445</v>
      </c>
      <c r="D235" s="23">
        <v>0.86260416666666662</v>
      </c>
      <c r="E235" s="23">
        <v>0.94535879629629627</v>
      </c>
      <c r="F235" t="s">
        <v>204</v>
      </c>
      <c r="G235" t="s">
        <v>202</v>
      </c>
      <c r="H235">
        <v>27</v>
      </c>
      <c r="I235" s="24">
        <v>8.2789351851851878E-2</v>
      </c>
      <c r="J235">
        <f t="shared" si="6"/>
        <v>0</v>
      </c>
      <c r="K235">
        <f t="shared" si="7"/>
        <v>0</v>
      </c>
    </row>
    <row r="236" spans="1:11" x14ac:dyDescent="0.25">
      <c r="A236">
        <v>17</v>
      </c>
      <c r="B236" t="s">
        <v>61</v>
      </c>
      <c r="C236" s="4">
        <v>0.8625694444444445</v>
      </c>
      <c r="D236" s="23">
        <v>0.86260416666666662</v>
      </c>
      <c r="E236" s="23">
        <v>0.94535879629629627</v>
      </c>
      <c r="F236" t="s">
        <v>206</v>
      </c>
      <c r="G236" t="s">
        <v>202</v>
      </c>
      <c r="H236">
        <v>27</v>
      </c>
      <c r="I236" s="24">
        <v>8.2789351851851878E-2</v>
      </c>
      <c r="J236">
        <f t="shared" si="6"/>
        <v>0</v>
      </c>
      <c r="K236">
        <f t="shared" si="7"/>
        <v>0</v>
      </c>
    </row>
    <row r="237" spans="1:11" x14ac:dyDescent="0.25">
      <c r="A237">
        <v>18</v>
      </c>
      <c r="B237" t="s">
        <v>46</v>
      </c>
      <c r="C237" s="4">
        <v>0.8625694444444445</v>
      </c>
      <c r="D237" s="23">
        <v>0.86835648148148148</v>
      </c>
      <c r="E237" s="23">
        <v>0.94535879629629627</v>
      </c>
      <c r="F237" t="s">
        <v>211</v>
      </c>
      <c r="G237" t="s">
        <v>202</v>
      </c>
      <c r="H237">
        <v>27</v>
      </c>
      <c r="I237" s="24">
        <v>8.2789351851851878E-2</v>
      </c>
      <c r="J237">
        <f t="shared" si="6"/>
        <v>0</v>
      </c>
      <c r="K237">
        <f t="shared" si="7"/>
        <v>0</v>
      </c>
    </row>
    <row r="238" spans="1:11" x14ac:dyDescent="0.25">
      <c r="A238">
        <v>19</v>
      </c>
      <c r="B238" t="s">
        <v>100</v>
      </c>
      <c r="C238" s="4">
        <v>0.8625694444444445</v>
      </c>
      <c r="D238" s="23">
        <v>0.86260416666666662</v>
      </c>
      <c r="E238" s="23">
        <v>0.94535879629629627</v>
      </c>
      <c r="F238" t="s">
        <v>204</v>
      </c>
      <c r="G238" t="s">
        <v>202</v>
      </c>
      <c r="H238">
        <v>27</v>
      </c>
      <c r="I238" s="24">
        <v>8.2789351851851878E-2</v>
      </c>
      <c r="J238">
        <f t="shared" si="6"/>
        <v>0</v>
      </c>
      <c r="K238">
        <f t="shared" si="7"/>
        <v>0</v>
      </c>
    </row>
    <row r="239" spans="1:11" x14ac:dyDescent="0.25">
      <c r="A239">
        <v>20</v>
      </c>
      <c r="B239" t="s">
        <v>23</v>
      </c>
      <c r="C239" s="4">
        <v>0.8625694444444445</v>
      </c>
      <c r="D239" s="23">
        <v>0.86260416666666662</v>
      </c>
      <c r="E239" s="23">
        <v>0.94535879629629627</v>
      </c>
      <c r="F239" t="s">
        <v>206</v>
      </c>
      <c r="G239" t="s">
        <v>202</v>
      </c>
      <c r="H239">
        <v>27</v>
      </c>
      <c r="I239" s="24">
        <v>8.2789351851851878E-2</v>
      </c>
      <c r="J239">
        <f t="shared" si="6"/>
        <v>0</v>
      </c>
      <c r="K239">
        <f t="shared" si="7"/>
        <v>0</v>
      </c>
    </row>
    <row r="240" spans="1:11" x14ac:dyDescent="0.25">
      <c r="A240">
        <v>21</v>
      </c>
      <c r="B240" t="s">
        <v>49</v>
      </c>
      <c r="C240" s="4">
        <v>0.8625694444444445</v>
      </c>
      <c r="D240" s="23">
        <v>0.86835648148148148</v>
      </c>
      <c r="E240" s="23">
        <v>0.94535879629629627</v>
      </c>
      <c r="F240" t="s">
        <v>209</v>
      </c>
      <c r="G240" t="s">
        <v>202</v>
      </c>
      <c r="H240">
        <v>27</v>
      </c>
      <c r="I240" s="24">
        <v>8.2789351851851878E-2</v>
      </c>
      <c r="J240">
        <f t="shared" si="6"/>
        <v>0</v>
      </c>
      <c r="K240">
        <f t="shared" si="7"/>
        <v>0</v>
      </c>
    </row>
    <row r="241" spans="1:11" x14ac:dyDescent="0.25">
      <c r="A241">
        <v>22</v>
      </c>
      <c r="B241" t="s">
        <v>25</v>
      </c>
      <c r="C241" s="4">
        <v>0.8625694444444445</v>
      </c>
      <c r="D241" s="23">
        <v>0.86835648148148148</v>
      </c>
      <c r="E241" s="23">
        <v>0.94535879629629627</v>
      </c>
      <c r="F241" t="s">
        <v>212</v>
      </c>
      <c r="G241" t="s">
        <v>202</v>
      </c>
      <c r="H241">
        <v>27</v>
      </c>
      <c r="I241" s="24">
        <v>8.2789351851851878E-2</v>
      </c>
      <c r="J241">
        <f t="shared" si="6"/>
        <v>0</v>
      </c>
      <c r="K241">
        <f t="shared" si="7"/>
        <v>0</v>
      </c>
    </row>
    <row r="242" spans="1:11" x14ac:dyDescent="0.25">
      <c r="A242">
        <v>23</v>
      </c>
      <c r="B242" t="s">
        <v>193</v>
      </c>
      <c r="C242" s="4">
        <v>0.8625694444444445</v>
      </c>
      <c r="D242" s="23">
        <v>0.86835648148148148</v>
      </c>
      <c r="E242" s="23">
        <v>0.94535879629629627</v>
      </c>
      <c r="F242" t="s">
        <v>209</v>
      </c>
      <c r="G242" t="s">
        <v>202</v>
      </c>
      <c r="H242">
        <v>27</v>
      </c>
      <c r="I242" s="24">
        <v>8.2789351851851878E-2</v>
      </c>
      <c r="J242">
        <f t="shared" si="6"/>
        <v>0</v>
      </c>
      <c r="K242">
        <f t="shared" si="7"/>
        <v>0</v>
      </c>
    </row>
    <row r="243" spans="1:11" x14ac:dyDescent="0.25">
      <c r="A243">
        <v>24</v>
      </c>
      <c r="B243" t="s">
        <v>213</v>
      </c>
      <c r="C243" s="4">
        <v>0.8625694444444445</v>
      </c>
      <c r="D243" s="23">
        <v>0.86835648148148148</v>
      </c>
      <c r="E243" s="23">
        <v>0.94535879629629627</v>
      </c>
      <c r="F243" t="s">
        <v>211</v>
      </c>
      <c r="G243" t="s">
        <v>202</v>
      </c>
      <c r="H243">
        <v>27</v>
      </c>
      <c r="I243" s="24">
        <v>8.2789351851851878E-2</v>
      </c>
      <c r="J243">
        <f t="shared" si="6"/>
        <v>0</v>
      </c>
      <c r="K243">
        <f t="shared" si="7"/>
        <v>0</v>
      </c>
    </row>
    <row r="244" spans="1:11" x14ac:dyDescent="0.25">
      <c r="A244">
        <v>25</v>
      </c>
      <c r="B244" t="s">
        <v>62</v>
      </c>
      <c r="C244" s="4">
        <v>0.8625694444444445</v>
      </c>
      <c r="D244" s="23">
        <v>0.86260416666666662</v>
      </c>
      <c r="E244" s="23">
        <v>0.94535879629629627</v>
      </c>
      <c r="F244" t="s">
        <v>206</v>
      </c>
      <c r="G244" t="s">
        <v>202</v>
      </c>
      <c r="H244">
        <v>27</v>
      </c>
      <c r="I244" s="24">
        <v>8.2789351851851878E-2</v>
      </c>
      <c r="J244">
        <f t="shared" si="6"/>
        <v>0</v>
      </c>
      <c r="K244">
        <f t="shared" si="7"/>
        <v>0</v>
      </c>
    </row>
    <row r="245" spans="1:11" x14ac:dyDescent="0.25">
      <c r="A245">
        <v>26</v>
      </c>
      <c r="B245" t="s">
        <v>51</v>
      </c>
      <c r="C245" s="4">
        <v>0.8625694444444445</v>
      </c>
      <c r="D245" s="23">
        <v>0.86835648148148148</v>
      </c>
      <c r="E245" s="23">
        <v>0.94535879629629627</v>
      </c>
      <c r="F245" t="s">
        <v>209</v>
      </c>
      <c r="G245" t="s">
        <v>202</v>
      </c>
      <c r="H245">
        <v>27</v>
      </c>
      <c r="I245" s="24">
        <v>8.2789351851851878E-2</v>
      </c>
      <c r="J245">
        <f t="shared" si="6"/>
        <v>0</v>
      </c>
      <c r="K245">
        <f t="shared" si="7"/>
        <v>0</v>
      </c>
    </row>
    <row r="246" spans="1:11" x14ac:dyDescent="0.25">
      <c r="A246">
        <v>27</v>
      </c>
      <c r="B246" t="s">
        <v>83</v>
      </c>
      <c r="C246" s="4">
        <v>0.8625694444444445</v>
      </c>
      <c r="D246" s="23">
        <v>0.86260416666666662</v>
      </c>
      <c r="E246" s="23">
        <v>0.94535879629629627</v>
      </c>
      <c r="F246" t="s">
        <v>206</v>
      </c>
      <c r="G246" t="s">
        <v>202</v>
      </c>
      <c r="H246">
        <v>27</v>
      </c>
      <c r="I246" s="24">
        <v>8.2789351851851878E-2</v>
      </c>
      <c r="J246">
        <f t="shared" si="6"/>
        <v>0</v>
      </c>
      <c r="K246">
        <f t="shared" si="7"/>
        <v>0</v>
      </c>
    </row>
    <row r="247" spans="1:11" x14ac:dyDescent="0.25">
      <c r="A247">
        <v>28</v>
      </c>
      <c r="B247" t="s">
        <v>85</v>
      </c>
      <c r="C247" s="4">
        <v>0.8625694444444445</v>
      </c>
      <c r="D247" s="23">
        <v>0.9450925925925926</v>
      </c>
      <c r="E247" s="23">
        <v>0.94535879629629627</v>
      </c>
      <c r="F247" t="s">
        <v>205</v>
      </c>
      <c r="G247" t="s">
        <v>202</v>
      </c>
      <c r="H247">
        <v>27</v>
      </c>
      <c r="I247" s="24">
        <v>8.2789351851851878E-2</v>
      </c>
      <c r="J247">
        <f t="shared" si="6"/>
        <v>0</v>
      </c>
      <c r="K247">
        <f t="shared" si="7"/>
        <v>0</v>
      </c>
    </row>
    <row r="248" spans="1:11" x14ac:dyDescent="0.25">
      <c r="A248">
        <v>29</v>
      </c>
      <c r="B248" t="s">
        <v>134</v>
      </c>
      <c r="C248" s="4">
        <v>0.8625694444444445</v>
      </c>
      <c r="D248" s="23">
        <v>0.86260416666666662</v>
      </c>
      <c r="E248" s="23">
        <v>0.94535879629629627</v>
      </c>
      <c r="F248" t="s">
        <v>206</v>
      </c>
      <c r="G248" t="s">
        <v>202</v>
      </c>
      <c r="H248">
        <v>27</v>
      </c>
      <c r="I248" s="24">
        <v>8.2789351851851878E-2</v>
      </c>
      <c r="J248">
        <f t="shared" si="6"/>
        <v>0</v>
      </c>
      <c r="K248">
        <f t="shared" si="7"/>
        <v>0</v>
      </c>
    </row>
    <row r="249" spans="1:11" x14ac:dyDescent="0.25">
      <c r="A249">
        <v>30</v>
      </c>
      <c r="B249" t="s">
        <v>53</v>
      </c>
      <c r="C249" s="4">
        <v>0.8625694444444445</v>
      </c>
      <c r="D249" s="23">
        <v>0.86835648148148148</v>
      </c>
      <c r="E249" s="23">
        <v>0.94535879629629627</v>
      </c>
      <c r="F249" t="s">
        <v>209</v>
      </c>
      <c r="G249" t="s">
        <v>202</v>
      </c>
      <c r="H249">
        <v>27</v>
      </c>
      <c r="I249" s="24">
        <v>8.2789351851851878E-2</v>
      </c>
      <c r="J249">
        <f t="shared" si="6"/>
        <v>0</v>
      </c>
      <c r="K249">
        <f t="shared" si="7"/>
        <v>0</v>
      </c>
    </row>
    <row r="250" spans="1:11" x14ac:dyDescent="0.25">
      <c r="A250">
        <v>31</v>
      </c>
      <c r="B250" t="s">
        <v>27</v>
      </c>
      <c r="C250" s="4">
        <v>0.8625694444444445</v>
      </c>
      <c r="D250" s="23">
        <v>0.86260416666666662</v>
      </c>
      <c r="E250" s="23">
        <v>0.94535879629629627</v>
      </c>
      <c r="F250" t="s">
        <v>206</v>
      </c>
      <c r="G250" t="s">
        <v>202</v>
      </c>
      <c r="H250">
        <v>27</v>
      </c>
      <c r="I250" s="24">
        <v>8.2789351851851878E-2</v>
      </c>
      <c r="J250">
        <f t="shared" ref="J250:J313" si="8">IF(AND(H250&gt;=1,H250&lt;=7),1,0)</f>
        <v>0</v>
      </c>
      <c r="K250">
        <f t="shared" ref="K250:K313" si="9">IF(AND(H250&gt;=30,H250&lt;=36),1,0)</f>
        <v>0</v>
      </c>
    </row>
    <row r="251" spans="1:11" x14ac:dyDescent="0.25">
      <c r="A251">
        <v>1</v>
      </c>
      <c r="B251" t="s">
        <v>9</v>
      </c>
      <c r="C251" s="4">
        <v>0.85957175925925922</v>
      </c>
      <c r="D251" s="23">
        <v>0.94814814814814818</v>
      </c>
      <c r="E251" s="23">
        <v>0.95652777777777775</v>
      </c>
      <c r="F251" t="s">
        <v>214</v>
      </c>
      <c r="G251" t="s">
        <v>215</v>
      </c>
      <c r="H251">
        <v>26</v>
      </c>
      <c r="I251" s="24">
        <v>9.6956018518518539E-2</v>
      </c>
      <c r="J251">
        <f t="shared" si="8"/>
        <v>0</v>
      </c>
      <c r="K251">
        <f t="shared" si="9"/>
        <v>0</v>
      </c>
    </row>
    <row r="252" spans="1:11" x14ac:dyDescent="0.25">
      <c r="A252">
        <v>2</v>
      </c>
      <c r="B252" t="s">
        <v>11</v>
      </c>
      <c r="C252" s="4">
        <v>0.85957175925925922</v>
      </c>
      <c r="D252" s="23">
        <v>0.94814814814814818</v>
      </c>
      <c r="E252" s="23">
        <v>0.95652777777777775</v>
      </c>
      <c r="F252" t="s">
        <v>217</v>
      </c>
      <c r="G252" t="s">
        <v>215</v>
      </c>
      <c r="H252">
        <v>26</v>
      </c>
      <c r="I252" s="24">
        <v>9.6956018518518539E-2</v>
      </c>
      <c r="J252">
        <f t="shared" si="8"/>
        <v>0</v>
      </c>
      <c r="K252">
        <f t="shared" si="9"/>
        <v>0</v>
      </c>
    </row>
    <row r="253" spans="1:11" x14ac:dyDescent="0.25">
      <c r="A253">
        <v>3</v>
      </c>
      <c r="B253" t="s">
        <v>35</v>
      </c>
      <c r="C253" s="4">
        <v>0.85957175925925922</v>
      </c>
      <c r="D253" s="23">
        <v>0.85960648148148144</v>
      </c>
      <c r="E253" s="23">
        <v>0.95652777777777775</v>
      </c>
      <c r="F253" t="s">
        <v>218</v>
      </c>
      <c r="G253" t="s">
        <v>215</v>
      </c>
      <c r="H253">
        <v>26</v>
      </c>
      <c r="I253" s="24">
        <v>9.6956018518518539E-2</v>
      </c>
      <c r="J253">
        <f t="shared" si="8"/>
        <v>0</v>
      </c>
      <c r="K253">
        <f t="shared" si="9"/>
        <v>0</v>
      </c>
    </row>
    <row r="254" spans="1:11" x14ac:dyDescent="0.25">
      <c r="A254">
        <v>4</v>
      </c>
      <c r="B254" t="s">
        <v>70</v>
      </c>
      <c r="C254" s="4">
        <v>0.85957175925925922</v>
      </c>
      <c r="D254" s="23">
        <v>0.85976851851851854</v>
      </c>
      <c r="E254" s="23">
        <v>0.95652777777777775</v>
      </c>
      <c r="F254" t="s">
        <v>219</v>
      </c>
      <c r="G254" t="s">
        <v>215</v>
      </c>
      <c r="H254">
        <v>26</v>
      </c>
      <c r="I254" s="24">
        <v>9.6956018518518539E-2</v>
      </c>
      <c r="J254">
        <f t="shared" si="8"/>
        <v>0</v>
      </c>
      <c r="K254">
        <f t="shared" si="9"/>
        <v>0</v>
      </c>
    </row>
    <row r="255" spans="1:11" x14ac:dyDescent="0.25">
      <c r="A255">
        <v>5</v>
      </c>
      <c r="B255" t="s">
        <v>97</v>
      </c>
      <c r="C255" s="4">
        <v>0.85957175925925922</v>
      </c>
      <c r="D255" s="23">
        <v>0.85960648148148144</v>
      </c>
      <c r="E255" s="23">
        <v>0.95652777777777775</v>
      </c>
      <c r="F255" t="s">
        <v>220</v>
      </c>
      <c r="G255" t="s">
        <v>215</v>
      </c>
      <c r="H255">
        <v>26</v>
      </c>
      <c r="I255" s="24">
        <v>9.6956018518518539E-2</v>
      </c>
      <c r="J255">
        <f t="shared" si="8"/>
        <v>0</v>
      </c>
      <c r="K255">
        <f t="shared" si="9"/>
        <v>0</v>
      </c>
    </row>
    <row r="256" spans="1:11" x14ac:dyDescent="0.25">
      <c r="A256">
        <v>6</v>
      </c>
      <c r="B256" t="s">
        <v>181</v>
      </c>
      <c r="C256" s="4">
        <v>0.85957175925925922</v>
      </c>
      <c r="D256" s="23">
        <v>0.85960648148148144</v>
      </c>
      <c r="E256" s="23">
        <v>0.95652777777777775</v>
      </c>
      <c r="F256" t="s">
        <v>221</v>
      </c>
      <c r="G256" t="s">
        <v>215</v>
      </c>
      <c r="H256">
        <v>26</v>
      </c>
      <c r="I256" s="24">
        <v>9.6956018518518539E-2</v>
      </c>
      <c r="J256">
        <f t="shared" si="8"/>
        <v>0</v>
      </c>
      <c r="K256">
        <f t="shared" si="9"/>
        <v>0</v>
      </c>
    </row>
    <row r="257" spans="1:11" x14ac:dyDescent="0.25">
      <c r="A257">
        <v>7</v>
      </c>
      <c r="B257" t="s">
        <v>222</v>
      </c>
      <c r="C257" s="4">
        <v>0.85957175925925922</v>
      </c>
      <c r="D257" s="23">
        <v>0.94814814814814818</v>
      </c>
      <c r="E257" s="23">
        <v>0.95652777777777775</v>
      </c>
      <c r="F257" t="s">
        <v>214</v>
      </c>
      <c r="G257" t="s">
        <v>215</v>
      </c>
      <c r="H257">
        <v>26</v>
      </c>
      <c r="I257" s="24">
        <v>9.6956018518518539E-2</v>
      </c>
      <c r="J257">
        <f t="shared" si="8"/>
        <v>0</v>
      </c>
      <c r="K257">
        <f t="shared" si="9"/>
        <v>0</v>
      </c>
    </row>
    <row r="258" spans="1:11" x14ac:dyDescent="0.25">
      <c r="A258">
        <v>8</v>
      </c>
      <c r="B258" t="s">
        <v>16</v>
      </c>
      <c r="C258" s="4">
        <v>0.85957175925925922</v>
      </c>
      <c r="D258" s="23">
        <v>0.85960648148148144</v>
      </c>
      <c r="E258" s="23">
        <v>0.95652777777777775</v>
      </c>
      <c r="F258" t="s">
        <v>218</v>
      </c>
      <c r="G258" t="s">
        <v>215</v>
      </c>
      <c r="H258">
        <v>26</v>
      </c>
      <c r="I258" s="24">
        <v>9.6956018518518539E-2</v>
      </c>
      <c r="J258">
        <f t="shared" si="8"/>
        <v>0</v>
      </c>
      <c r="K258">
        <f t="shared" si="9"/>
        <v>0</v>
      </c>
    </row>
    <row r="259" spans="1:11" x14ac:dyDescent="0.25">
      <c r="A259">
        <v>9</v>
      </c>
      <c r="B259" t="s">
        <v>184</v>
      </c>
      <c r="C259" s="4">
        <v>0.85957175925925922</v>
      </c>
      <c r="D259" s="23">
        <v>0.94814814814814818</v>
      </c>
      <c r="E259" s="23">
        <v>0.95652777777777775</v>
      </c>
      <c r="F259" t="s">
        <v>214</v>
      </c>
      <c r="G259" t="s">
        <v>215</v>
      </c>
      <c r="H259">
        <v>26</v>
      </c>
      <c r="I259" s="24">
        <v>9.6956018518518539E-2</v>
      </c>
      <c r="J259">
        <f t="shared" si="8"/>
        <v>0</v>
      </c>
      <c r="K259">
        <f t="shared" si="9"/>
        <v>0</v>
      </c>
    </row>
    <row r="260" spans="1:11" x14ac:dyDescent="0.25">
      <c r="A260">
        <v>10</v>
      </c>
      <c r="B260" t="s">
        <v>186</v>
      </c>
      <c r="C260" s="4">
        <v>0.85957175925925922</v>
      </c>
      <c r="D260" s="23">
        <v>0.85960648148148144</v>
      </c>
      <c r="E260" s="23">
        <v>0.95652777777777775</v>
      </c>
      <c r="F260" t="s">
        <v>221</v>
      </c>
      <c r="G260" t="s">
        <v>215</v>
      </c>
      <c r="H260">
        <v>26</v>
      </c>
      <c r="I260" s="24">
        <v>9.6956018518518539E-2</v>
      </c>
      <c r="J260">
        <f t="shared" si="8"/>
        <v>0</v>
      </c>
      <c r="K260">
        <f t="shared" si="9"/>
        <v>0</v>
      </c>
    </row>
    <row r="261" spans="1:11" x14ac:dyDescent="0.25">
      <c r="A261">
        <v>11</v>
      </c>
      <c r="B261" t="s">
        <v>18</v>
      </c>
      <c r="C261" s="4">
        <v>0.85957175925925922</v>
      </c>
      <c r="D261" s="23">
        <v>0.85960648148148144</v>
      </c>
      <c r="E261" s="23">
        <v>0.95652777777777775</v>
      </c>
      <c r="F261" t="s">
        <v>220</v>
      </c>
      <c r="G261" t="s">
        <v>215</v>
      </c>
      <c r="H261">
        <v>26</v>
      </c>
      <c r="I261" s="24">
        <v>9.6956018518518539E-2</v>
      </c>
      <c r="J261">
        <f t="shared" si="8"/>
        <v>0</v>
      </c>
      <c r="K261">
        <f t="shared" si="9"/>
        <v>0</v>
      </c>
    </row>
    <row r="262" spans="1:11" x14ac:dyDescent="0.25">
      <c r="A262">
        <v>12</v>
      </c>
      <c r="B262" t="s">
        <v>41</v>
      </c>
      <c r="C262" s="4">
        <v>0.85957175925925922</v>
      </c>
      <c r="D262" s="23">
        <v>0.94814814814814818</v>
      </c>
      <c r="E262" s="23">
        <v>0.95652777777777775</v>
      </c>
      <c r="F262" t="s">
        <v>217</v>
      </c>
      <c r="G262" t="s">
        <v>215</v>
      </c>
      <c r="H262">
        <v>26</v>
      </c>
      <c r="I262" s="24">
        <v>9.6956018518518539E-2</v>
      </c>
      <c r="J262">
        <f t="shared" si="8"/>
        <v>0</v>
      </c>
      <c r="K262">
        <f t="shared" si="9"/>
        <v>0</v>
      </c>
    </row>
    <row r="263" spans="1:11" x14ac:dyDescent="0.25">
      <c r="A263">
        <v>13</v>
      </c>
      <c r="B263" t="s">
        <v>60</v>
      </c>
      <c r="C263" s="4">
        <v>0.85957175925925922</v>
      </c>
      <c r="D263" s="23">
        <v>0.94814814814814818</v>
      </c>
      <c r="E263" s="23">
        <v>0.95652777777777775</v>
      </c>
      <c r="F263" t="s">
        <v>214</v>
      </c>
      <c r="G263" t="s">
        <v>215</v>
      </c>
      <c r="H263">
        <v>26</v>
      </c>
      <c r="I263" s="24">
        <v>9.6956018518518539E-2</v>
      </c>
      <c r="J263">
        <f t="shared" si="8"/>
        <v>0</v>
      </c>
      <c r="K263">
        <f t="shared" si="9"/>
        <v>0</v>
      </c>
    </row>
    <row r="264" spans="1:11" x14ac:dyDescent="0.25">
      <c r="A264">
        <v>14</v>
      </c>
      <c r="B264" t="s">
        <v>20</v>
      </c>
      <c r="C264" s="4">
        <v>0.85957175925925922</v>
      </c>
      <c r="D264" s="23">
        <v>0.85960648148148144</v>
      </c>
      <c r="E264" s="23">
        <v>0.95652777777777775</v>
      </c>
      <c r="F264" t="s">
        <v>221</v>
      </c>
      <c r="G264" t="s">
        <v>215</v>
      </c>
      <c r="H264">
        <v>26</v>
      </c>
      <c r="I264" s="24">
        <v>9.6956018518518539E-2</v>
      </c>
      <c r="J264">
        <f t="shared" si="8"/>
        <v>0</v>
      </c>
      <c r="K264">
        <f t="shared" si="9"/>
        <v>0</v>
      </c>
    </row>
    <row r="265" spans="1:11" x14ac:dyDescent="0.25">
      <c r="A265">
        <v>15</v>
      </c>
      <c r="B265" t="s">
        <v>223</v>
      </c>
      <c r="C265" s="4">
        <v>0.85957175925925922</v>
      </c>
      <c r="D265" s="23">
        <v>0.85960648148148144</v>
      </c>
      <c r="E265" s="23">
        <v>0.95652777777777775</v>
      </c>
      <c r="F265" t="s">
        <v>221</v>
      </c>
      <c r="G265" t="s">
        <v>215</v>
      </c>
      <c r="H265">
        <v>26</v>
      </c>
      <c r="I265" s="24">
        <v>9.6956018518518539E-2</v>
      </c>
      <c r="J265">
        <f t="shared" si="8"/>
        <v>0</v>
      </c>
      <c r="K265">
        <f t="shared" si="9"/>
        <v>0</v>
      </c>
    </row>
    <row r="266" spans="1:11" x14ac:dyDescent="0.25">
      <c r="A266">
        <v>16</v>
      </c>
      <c r="B266" t="s">
        <v>44</v>
      </c>
      <c r="C266" s="4">
        <v>0.85957175925925922</v>
      </c>
      <c r="D266" s="23">
        <v>0.85960648148148144</v>
      </c>
      <c r="E266" s="23">
        <v>0.95652777777777775</v>
      </c>
      <c r="F266" t="s">
        <v>221</v>
      </c>
      <c r="G266" t="s">
        <v>215</v>
      </c>
      <c r="H266">
        <v>26</v>
      </c>
      <c r="I266" s="24">
        <v>9.6956018518518539E-2</v>
      </c>
      <c r="J266">
        <f t="shared" si="8"/>
        <v>0</v>
      </c>
      <c r="K266">
        <f t="shared" si="9"/>
        <v>0</v>
      </c>
    </row>
    <row r="267" spans="1:11" x14ac:dyDescent="0.25">
      <c r="A267">
        <v>17</v>
      </c>
      <c r="B267" t="s">
        <v>22</v>
      </c>
      <c r="C267" s="4">
        <v>0.85957175925925922</v>
      </c>
      <c r="D267" s="23">
        <v>0.85960648148148144</v>
      </c>
      <c r="E267" s="23">
        <v>0.95652777777777775</v>
      </c>
      <c r="F267" t="s">
        <v>218</v>
      </c>
      <c r="G267" t="s">
        <v>215</v>
      </c>
      <c r="H267">
        <v>26</v>
      </c>
      <c r="I267" s="24">
        <v>9.6956018518518539E-2</v>
      </c>
      <c r="J267">
        <f t="shared" si="8"/>
        <v>0</v>
      </c>
      <c r="K267">
        <f t="shared" si="9"/>
        <v>0</v>
      </c>
    </row>
    <row r="268" spans="1:11" x14ac:dyDescent="0.25">
      <c r="A268">
        <v>18</v>
      </c>
      <c r="B268" t="s">
        <v>46</v>
      </c>
      <c r="C268" s="4">
        <v>0.85957175925925922</v>
      </c>
      <c r="D268" s="23">
        <v>0.85960648148148144</v>
      </c>
      <c r="E268" s="23">
        <v>0.95652777777777775</v>
      </c>
      <c r="F268" t="s">
        <v>218</v>
      </c>
      <c r="G268" t="s">
        <v>215</v>
      </c>
      <c r="H268">
        <v>26</v>
      </c>
      <c r="I268" s="24">
        <v>9.6956018518518539E-2</v>
      </c>
      <c r="J268">
        <f t="shared" si="8"/>
        <v>0</v>
      </c>
      <c r="K268">
        <f t="shared" si="9"/>
        <v>0</v>
      </c>
    </row>
    <row r="269" spans="1:11" x14ac:dyDescent="0.25">
      <c r="A269">
        <v>19</v>
      </c>
      <c r="B269" t="s">
        <v>49</v>
      </c>
      <c r="C269" s="4">
        <v>0.85957175925925922</v>
      </c>
      <c r="D269" s="23">
        <v>0.85960648148148144</v>
      </c>
      <c r="E269" s="23">
        <v>0.95652777777777775</v>
      </c>
      <c r="F269" t="s">
        <v>220</v>
      </c>
      <c r="G269" t="s">
        <v>215</v>
      </c>
      <c r="H269">
        <v>26</v>
      </c>
      <c r="I269" s="24">
        <v>9.6956018518518539E-2</v>
      </c>
      <c r="J269">
        <f t="shared" si="8"/>
        <v>0</v>
      </c>
      <c r="K269">
        <f t="shared" si="9"/>
        <v>0</v>
      </c>
    </row>
    <row r="270" spans="1:11" x14ac:dyDescent="0.25">
      <c r="A270">
        <v>20</v>
      </c>
      <c r="B270" t="s">
        <v>200</v>
      </c>
      <c r="C270" s="4">
        <v>0.85957175925925922</v>
      </c>
      <c r="D270" s="23">
        <v>0.85960648148148144</v>
      </c>
      <c r="E270" s="23">
        <v>0.95652777777777775</v>
      </c>
      <c r="F270" t="s">
        <v>221</v>
      </c>
      <c r="G270" t="s">
        <v>215</v>
      </c>
      <c r="H270">
        <v>26</v>
      </c>
      <c r="I270" s="24">
        <v>9.6956018518518539E-2</v>
      </c>
      <c r="J270">
        <f t="shared" si="8"/>
        <v>0</v>
      </c>
      <c r="K270">
        <f t="shared" si="9"/>
        <v>0</v>
      </c>
    </row>
    <row r="271" spans="1:11" x14ac:dyDescent="0.25">
      <c r="A271">
        <v>21</v>
      </c>
      <c r="B271" t="s">
        <v>25</v>
      </c>
      <c r="C271" s="4">
        <v>0.85957175925925922</v>
      </c>
      <c r="D271" s="23">
        <v>0.85960648148148144</v>
      </c>
      <c r="E271" s="23">
        <v>0.95652777777777775</v>
      </c>
      <c r="F271" t="s">
        <v>218</v>
      </c>
      <c r="G271" t="s">
        <v>215</v>
      </c>
      <c r="H271">
        <v>26</v>
      </c>
      <c r="I271" s="24">
        <v>9.6956018518518539E-2</v>
      </c>
      <c r="J271">
        <f t="shared" si="8"/>
        <v>0</v>
      </c>
      <c r="K271">
        <f t="shared" si="9"/>
        <v>0</v>
      </c>
    </row>
    <row r="272" spans="1:11" x14ac:dyDescent="0.25">
      <c r="A272">
        <v>22</v>
      </c>
      <c r="B272" t="s">
        <v>50</v>
      </c>
      <c r="C272" s="4">
        <v>0.85957175925925922</v>
      </c>
      <c r="D272" s="23">
        <v>0.85960648148148144</v>
      </c>
      <c r="E272" s="23">
        <v>0.95652777777777775</v>
      </c>
      <c r="F272" t="s">
        <v>221</v>
      </c>
      <c r="G272" t="s">
        <v>215</v>
      </c>
      <c r="H272">
        <v>26</v>
      </c>
      <c r="I272" s="24">
        <v>9.6956018518518539E-2</v>
      </c>
      <c r="J272">
        <f t="shared" si="8"/>
        <v>0</v>
      </c>
      <c r="K272">
        <f t="shared" si="9"/>
        <v>0</v>
      </c>
    </row>
    <row r="273" spans="1:11" x14ac:dyDescent="0.25">
      <c r="A273">
        <v>23</v>
      </c>
      <c r="B273" t="s">
        <v>83</v>
      </c>
      <c r="C273" s="4">
        <v>0.85957175925925922</v>
      </c>
      <c r="D273" s="23">
        <v>0.85960648148148144</v>
      </c>
      <c r="E273" s="23">
        <v>0.95652777777777775</v>
      </c>
      <c r="F273" t="s">
        <v>220</v>
      </c>
      <c r="G273" t="s">
        <v>215</v>
      </c>
      <c r="H273">
        <v>26</v>
      </c>
      <c r="I273" s="24">
        <v>9.6956018518518539E-2</v>
      </c>
      <c r="J273">
        <f t="shared" si="8"/>
        <v>0</v>
      </c>
      <c r="K273">
        <f t="shared" si="9"/>
        <v>0</v>
      </c>
    </row>
    <row r="274" spans="1:11" x14ac:dyDescent="0.25">
      <c r="A274">
        <v>24</v>
      </c>
      <c r="B274" t="s">
        <v>134</v>
      </c>
      <c r="C274" s="4">
        <v>0.85957175925925922</v>
      </c>
      <c r="D274" s="23">
        <v>0.85960648148148144</v>
      </c>
      <c r="E274" s="23">
        <v>0.95652777777777775</v>
      </c>
      <c r="F274" t="s">
        <v>221</v>
      </c>
      <c r="G274" t="s">
        <v>215</v>
      </c>
      <c r="H274">
        <v>26</v>
      </c>
      <c r="I274" s="24">
        <v>9.6956018518518539E-2</v>
      </c>
      <c r="J274">
        <f t="shared" si="8"/>
        <v>0</v>
      </c>
      <c r="K274">
        <f t="shared" si="9"/>
        <v>0</v>
      </c>
    </row>
    <row r="275" spans="1:11" x14ac:dyDescent="0.25">
      <c r="A275">
        <v>25</v>
      </c>
      <c r="B275" t="s">
        <v>53</v>
      </c>
      <c r="C275" s="4">
        <v>0.85957175925925922</v>
      </c>
      <c r="D275" s="23">
        <v>0.85960648148148144</v>
      </c>
      <c r="E275" s="23">
        <v>0.95652777777777775</v>
      </c>
      <c r="F275" t="s">
        <v>220</v>
      </c>
      <c r="G275" t="s">
        <v>215</v>
      </c>
      <c r="H275">
        <v>26</v>
      </c>
      <c r="I275" s="24">
        <v>9.6956018518518539E-2</v>
      </c>
      <c r="J275">
        <f t="shared" si="8"/>
        <v>0</v>
      </c>
      <c r="K275">
        <f t="shared" si="9"/>
        <v>0</v>
      </c>
    </row>
    <row r="276" spans="1:11" x14ac:dyDescent="0.25">
      <c r="A276">
        <v>26</v>
      </c>
      <c r="B276" t="s">
        <v>89</v>
      </c>
      <c r="C276" s="4">
        <v>0.85957175925925922</v>
      </c>
      <c r="D276" s="23">
        <v>0.94814814814814818</v>
      </c>
      <c r="E276" s="23">
        <v>0.95652777777777775</v>
      </c>
      <c r="F276" t="s">
        <v>217</v>
      </c>
      <c r="G276" t="s">
        <v>215</v>
      </c>
      <c r="H276">
        <v>26</v>
      </c>
      <c r="I276" s="24">
        <v>9.6956018518518539E-2</v>
      </c>
      <c r="J276">
        <f t="shared" si="8"/>
        <v>0</v>
      </c>
      <c r="K276">
        <f t="shared" si="9"/>
        <v>0</v>
      </c>
    </row>
    <row r="277" spans="1:11" x14ac:dyDescent="0.25">
      <c r="A277">
        <v>27</v>
      </c>
      <c r="B277" t="s">
        <v>138</v>
      </c>
      <c r="C277" s="4">
        <v>0.85957175925925922</v>
      </c>
      <c r="D277" s="23">
        <v>0.85960648148148144</v>
      </c>
      <c r="E277" s="23">
        <v>0.95652777777777775</v>
      </c>
      <c r="F277" t="s">
        <v>221</v>
      </c>
      <c r="G277" t="s">
        <v>215</v>
      </c>
      <c r="H277">
        <v>26</v>
      </c>
      <c r="I277" s="24">
        <v>9.6956018518518539E-2</v>
      </c>
      <c r="J277">
        <f t="shared" si="8"/>
        <v>0</v>
      </c>
      <c r="K277">
        <f t="shared" si="9"/>
        <v>0</v>
      </c>
    </row>
    <row r="278" spans="1:11" x14ac:dyDescent="0.25">
      <c r="A278">
        <v>1</v>
      </c>
      <c r="B278" t="s">
        <v>5</v>
      </c>
      <c r="C278" s="4">
        <v>0.85898148148148146</v>
      </c>
      <c r="D278" s="23">
        <v>0.85902777777777772</v>
      </c>
      <c r="E278" s="23">
        <v>0.93138888888888893</v>
      </c>
      <c r="F278" t="s">
        <v>224</v>
      </c>
      <c r="G278" t="s">
        <v>225</v>
      </c>
      <c r="H278">
        <v>25</v>
      </c>
      <c r="I278" s="24">
        <v>7.2407407407407476E-2</v>
      </c>
      <c r="J278">
        <f t="shared" si="8"/>
        <v>0</v>
      </c>
      <c r="K278">
        <f t="shared" si="9"/>
        <v>0</v>
      </c>
    </row>
    <row r="279" spans="1:11" x14ac:dyDescent="0.25">
      <c r="A279">
        <v>2</v>
      </c>
      <c r="B279" t="s">
        <v>11</v>
      </c>
      <c r="C279" s="4">
        <v>0.85898148148148146</v>
      </c>
      <c r="D279" s="23">
        <v>0.85942129629629627</v>
      </c>
      <c r="E279" s="23">
        <v>0.93138888888888893</v>
      </c>
      <c r="F279" t="s">
        <v>227</v>
      </c>
      <c r="G279" t="s">
        <v>225</v>
      </c>
      <c r="H279">
        <v>25</v>
      </c>
      <c r="I279" s="24">
        <v>7.2407407407407476E-2</v>
      </c>
      <c r="J279">
        <f t="shared" si="8"/>
        <v>0</v>
      </c>
      <c r="K279">
        <f t="shared" si="9"/>
        <v>0</v>
      </c>
    </row>
    <row r="280" spans="1:11" x14ac:dyDescent="0.25">
      <c r="A280">
        <v>3</v>
      </c>
      <c r="B280" t="s">
        <v>35</v>
      </c>
      <c r="C280" s="4">
        <v>0.85898148148148146</v>
      </c>
      <c r="D280" s="23">
        <v>0.85902777777777772</v>
      </c>
      <c r="E280" s="23">
        <v>0.93138888888888893</v>
      </c>
      <c r="F280" t="s">
        <v>228</v>
      </c>
      <c r="G280" t="s">
        <v>225</v>
      </c>
      <c r="H280">
        <v>25</v>
      </c>
      <c r="I280" s="24">
        <v>7.2407407407407476E-2</v>
      </c>
      <c r="J280">
        <f t="shared" si="8"/>
        <v>0</v>
      </c>
      <c r="K280">
        <f t="shared" si="9"/>
        <v>0</v>
      </c>
    </row>
    <row r="281" spans="1:11" x14ac:dyDescent="0.25">
      <c r="A281">
        <v>4</v>
      </c>
      <c r="B281" t="s">
        <v>70</v>
      </c>
      <c r="C281" s="4">
        <v>0.85898148148148146</v>
      </c>
      <c r="D281" s="23">
        <v>0.85902777777777772</v>
      </c>
      <c r="E281" s="23">
        <v>0.93138888888888893</v>
      </c>
      <c r="F281" t="s">
        <v>229</v>
      </c>
      <c r="G281" t="s">
        <v>225</v>
      </c>
      <c r="H281">
        <v>25</v>
      </c>
      <c r="I281" s="24">
        <v>7.2407407407407476E-2</v>
      </c>
      <c r="J281">
        <f t="shared" si="8"/>
        <v>0</v>
      </c>
      <c r="K281">
        <f t="shared" si="9"/>
        <v>0</v>
      </c>
    </row>
    <row r="282" spans="1:11" x14ac:dyDescent="0.25">
      <c r="A282">
        <v>5</v>
      </c>
      <c r="B282" t="s">
        <v>97</v>
      </c>
      <c r="C282" s="4">
        <v>0.85898148148148146</v>
      </c>
      <c r="D282" s="23">
        <v>0.85902777777777772</v>
      </c>
      <c r="E282" s="23">
        <v>0.93138888888888893</v>
      </c>
      <c r="F282" t="s">
        <v>229</v>
      </c>
      <c r="G282" t="s">
        <v>225</v>
      </c>
      <c r="H282">
        <v>25</v>
      </c>
      <c r="I282" s="24">
        <v>7.2407407407407476E-2</v>
      </c>
      <c r="J282">
        <f t="shared" si="8"/>
        <v>0</v>
      </c>
      <c r="K282">
        <f t="shared" si="9"/>
        <v>0</v>
      </c>
    </row>
    <row r="283" spans="1:11" x14ac:dyDescent="0.25">
      <c r="A283">
        <v>6</v>
      </c>
      <c r="B283" t="s">
        <v>112</v>
      </c>
      <c r="C283" s="4">
        <v>0.85898148148148146</v>
      </c>
      <c r="D283" s="23">
        <v>0.85902777777777772</v>
      </c>
      <c r="E283" s="23">
        <v>0.93138888888888893</v>
      </c>
      <c r="F283" t="s">
        <v>230</v>
      </c>
      <c r="G283" t="s">
        <v>225</v>
      </c>
      <c r="H283">
        <v>25</v>
      </c>
      <c r="I283" s="24">
        <v>7.2407407407407476E-2</v>
      </c>
      <c r="J283">
        <f t="shared" si="8"/>
        <v>0</v>
      </c>
      <c r="K283">
        <f t="shared" si="9"/>
        <v>0</v>
      </c>
    </row>
    <row r="284" spans="1:11" x14ac:dyDescent="0.25">
      <c r="A284">
        <v>7</v>
      </c>
      <c r="B284" t="s">
        <v>181</v>
      </c>
      <c r="C284" s="4">
        <v>0.85898148148148146</v>
      </c>
      <c r="D284" s="23">
        <v>0.85902777777777772</v>
      </c>
      <c r="E284" s="23">
        <v>0.93138888888888893</v>
      </c>
      <c r="F284" t="s">
        <v>229</v>
      </c>
      <c r="G284" t="s">
        <v>225</v>
      </c>
      <c r="H284">
        <v>25</v>
      </c>
      <c r="I284" s="24">
        <v>7.2407407407407476E-2</v>
      </c>
      <c r="J284">
        <f t="shared" si="8"/>
        <v>0</v>
      </c>
      <c r="K284">
        <f t="shared" si="9"/>
        <v>0</v>
      </c>
    </row>
    <row r="285" spans="1:11" x14ac:dyDescent="0.25">
      <c r="A285">
        <v>8</v>
      </c>
      <c r="B285" t="s">
        <v>36</v>
      </c>
      <c r="C285" s="4">
        <v>0.85898148148148146</v>
      </c>
      <c r="D285" s="23">
        <v>0.90825231481481483</v>
      </c>
      <c r="E285" s="23">
        <v>0.93138888888888893</v>
      </c>
      <c r="F285" t="s">
        <v>231</v>
      </c>
      <c r="G285" t="s">
        <v>225</v>
      </c>
      <c r="H285">
        <v>25</v>
      </c>
      <c r="I285" s="24">
        <v>7.2407407407407476E-2</v>
      </c>
      <c r="J285">
        <f t="shared" si="8"/>
        <v>0</v>
      </c>
      <c r="K285">
        <f t="shared" si="9"/>
        <v>0</v>
      </c>
    </row>
    <row r="286" spans="1:11" x14ac:dyDescent="0.25">
      <c r="A286">
        <v>9</v>
      </c>
      <c r="B286" t="s">
        <v>16</v>
      </c>
      <c r="C286" s="4">
        <v>0.85898148148148146</v>
      </c>
      <c r="D286" s="23">
        <v>0.85902777777777772</v>
      </c>
      <c r="E286" s="23">
        <v>0.93138888888888893</v>
      </c>
      <c r="F286" t="s">
        <v>230</v>
      </c>
      <c r="G286" t="s">
        <v>225</v>
      </c>
      <c r="H286">
        <v>25</v>
      </c>
      <c r="I286" s="24">
        <v>7.2407407407407476E-2</v>
      </c>
      <c r="J286">
        <f t="shared" si="8"/>
        <v>0</v>
      </c>
      <c r="K286">
        <f t="shared" si="9"/>
        <v>0</v>
      </c>
    </row>
    <row r="287" spans="1:11" x14ac:dyDescent="0.25">
      <c r="A287">
        <v>10</v>
      </c>
      <c r="B287" t="s">
        <v>184</v>
      </c>
      <c r="C287" s="4">
        <v>0.85898148148148146</v>
      </c>
      <c r="D287" s="23">
        <v>0.85902777777777772</v>
      </c>
      <c r="E287" s="23">
        <v>0.93138888888888893</v>
      </c>
      <c r="F287" t="s">
        <v>229</v>
      </c>
      <c r="G287" t="s">
        <v>225</v>
      </c>
      <c r="H287">
        <v>25</v>
      </c>
      <c r="I287" s="24">
        <v>7.2407407407407476E-2</v>
      </c>
      <c r="J287">
        <f t="shared" si="8"/>
        <v>0</v>
      </c>
      <c r="K287">
        <f t="shared" si="9"/>
        <v>0</v>
      </c>
    </row>
    <row r="288" spans="1:11" x14ac:dyDescent="0.25">
      <c r="A288">
        <v>11</v>
      </c>
      <c r="B288" t="s">
        <v>186</v>
      </c>
      <c r="C288" s="4">
        <v>0.85898148148148146</v>
      </c>
      <c r="D288" s="23">
        <v>0.85902777777777772</v>
      </c>
      <c r="E288" s="23">
        <v>0.93138888888888893</v>
      </c>
      <c r="F288" t="s">
        <v>232</v>
      </c>
      <c r="G288" t="s">
        <v>225</v>
      </c>
      <c r="H288">
        <v>25</v>
      </c>
      <c r="I288" s="24">
        <v>7.2407407407407476E-2</v>
      </c>
      <c r="J288">
        <f t="shared" si="8"/>
        <v>0</v>
      </c>
      <c r="K288">
        <f t="shared" si="9"/>
        <v>0</v>
      </c>
    </row>
    <row r="289" spans="1:11" x14ac:dyDescent="0.25">
      <c r="A289">
        <v>12</v>
      </c>
      <c r="B289" t="s">
        <v>18</v>
      </c>
      <c r="C289" s="4">
        <v>0.85898148148148146</v>
      </c>
      <c r="D289" s="23">
        <v>0.85902777777777772</v>
      </c>
      <c r="E289" s="23">
        <v>0.93138888888888893</v>
      </c>
      <c r="F289" t="s">
        <v>233</v>
      </c>
      <c r="G289" t="s">
        <v>225</v>
      </c>
      <c r="H289">
        <v>25</v>
      </c>
      <c r="I289" s="24">
        <v>7.2407407407407476E-2</v>
      </c>
      <c r="J289">
        <f t="shared" si="8"/>
        <v>0</v>
      </c>
      <c r="K289">
        <f t="shared" si="9"/>
        <v>0</v>
      </c>
    </row>
    <row r="290" spans="1:11" x14ac:dyDescent="0.25">
      <c r="A290">
        <v>13</v>
      </c>
      <c r="B290" t="s">
        <v>41</v>
      </c>
      <c r="C290" s="4">
        <v>0.85898148148148146</v>
      </c>
      <c r="D290" s="23">
        <v>0.85902777777777772</v>
      </c>
      <c r="E290" s="23">
        <v>0.93138888888888893</v>
      </c>
      <c r="F290" t="s">
        <v>234</v>
      </c>
      <c r="G290" t="s">
        <v>225</v>
      </c>
      <c r="H290">
        <v>25</v>
      </c>
      <c r="I290" s="24">
        <v>7.2407407407407476E-2</v>
      </c>
      <c r="J290">
        <f t="shared" si="8"/>
        <v>0</v>
      </c>
      <c r="K290">
        <f t="shared" si="9"/>
        <v>0</v>
      </c>
    </row>
    <row r="291" spans="1:11" x14ac:dyDescent="0.25">
      <c r="A291">
        <v>14</v>
      </c>
      <c r="B291" t="s">
        <v>60</v>
      </c>
      <c r="C291" s="4">
        <v>0.85898148148148146</v>
      </c>
      <c r="D291" s="23">
        <v>0.90825231481481483</v>
      </c>
      <c r="E291" s="23">
        <v>0.93138888888888893</v>
      </c>
      <c r="F291" t="s">
        <v>235</v>
      </c>
      <c r="G291" t="s">
        <v>225</v>
      </c>
      <c r="H291">
        <v>25</v>
      </c>
      <c r="I291" s="24">
        <v>7.2407407407407476E-2</v>
      </c>
      <c r="J291">
        <f t="shared" si="8"/>
        <v>0</v>
      </c>
      <c r="K291">
        <f t="shared" si="9"/>
        <v>0</v>
      </c>
    </row>
    <row r="292" spans="1:11" x14ac:dyDescent="0.25">
      <c r="A292">
        <v>15</v>
      </c>
      <c r="B292" t="s">
        <v>236</v>
      </c>
      <c r="C292" s="4">
        <v>0.85898148148148146</v>
      </c>
      <c r="D292" s="23">
        <v>0.85902777777777772</v>
      </c>
      <c r="E292" s="23">
        <v>0.93138888888888893</v>
      </c>
      <c r="F292" t="s">
        <v>229</v>
      </c>
      <c r="G292" t="s">
        <v>225</v>
      </c>
      <c r="H292">
        <v>25</v>
      </c>
      <c r="I292" s="24">
        <v>7.2407407407407476E-2</v>
      </c>
      <c r="J292">
        <f t="shared" si="8"/>
        <v>0</v>
      </c>
      <c r="K292">
        <f t="shared" si="9"/>
        <v>0</v>
      </c>
    </row>
    <row r="293" spans="1:11" x14ac:dyDescent="0.25">
      <c r="A293">
        <v>16</v>
      </c>
      <c r="B293" t="s">
        <v>20</v>
      </c>
      <c r="C293" s="4">
        <v>0.85898148148148146</v>
      </c>
      <c r="D293" s="23">
        <v>0.90825231481481483</v>
      </c>
      <c r="E293" s="23">
        <v>0.93138888888888893</v>
      </c>
      <c r="F293" t="s">
        <v>237</v>
      </c>
      <c r="G293" t="s">
        <v>225</v>
      </c>
      <c r="H293">
        <v>25</v>
      </c>
      <c r="I293" s="24">
        <v>7.2407407407407476E-2</v>
      </c>
      <c r="J293">
        <f t="shared" si="8"/>
        <v>0</v>
      </c>
      <c r="K293">
        <f t="shared" si="9"/>
        <v>0</v>
      </c>
    </row>
    <row r="294" spans="1:11" x14ac:dyDescent="0.25">
      <c r="A294">
        <v>17</v>
      </c>
      <c r="B294" t="s">
        <v>44</v>
      </c>
      <c r="C294" s="4">
        <v>0.85898148148148146</v>
      </c>
      <c r="D294" s="23">
        <v>0.85902777777777772</v>
      </c>
      <c r="E294" s="23">
        <v>0.93138888888888893</v>
      </c>
      <c r="F294" t="s">
        <v>107</v>
      </c>
      <c r="G294" t="s">
        <v>225</v>
      </c>
      <c r="H294">
        <v>25</v>
      </c>
      <c r="I294" s="24">
        <v>7.2407407407407476E-2</v>
      </c>
      <c r="J294">
        <f t="shared" si="8"/>
        <v>0</v>
      </c>
      <c r="K294">
        <f t="shared" si="9"/>
        <v>0</v>
      </c>
    </row>
    <row r="295" spans="1:11" x14ac:dyDescent="0.25">
      <c r="A295">
        <v>18</v>
      </c>
      <c r="B295" t="s">
        <v>238</v>
      </c>
      <c r="C295" s="4">
        <v>0.85898148148148146</v>
      </c>
      <c r="D295" s="23">
        <v>0.85902777777777772</v>
      </c>
      <c r="E295" s="23">
        <v>0.93138888888888893</v>
      </c>
      <c r="F295" t="s">
        <v>229</v>
      </c>
      <c r="G295" t="s">
        <v>225</v>
      </c>
      <c r="H295">
        <v>25</v>
      </c>
      <c r="I295" s="24">
        <v>7.2407407407407476E-2</v>
      </c>
      <c r="J295">
        <f t="shared" si="8"/>
        <v>0</v>
      </c>
      <c r="K295">
        <f t="shared" si="9"/>
        <v>0</v>
      </c>
    </row>
    <row r="296" spans="1:11" x14ac:dyDescent="0.25">
      <c r="A296">
        <v>19</v>
      </c>
      <c r="B296" t="s">
        <v>22</v>
      </c>
      <c r="C296" s="4">
        <v>0.85898148148148146</v>
      </c>
      <c r="D296" s="23">
        <v>0.85902777777777772</v>
      </c>
      <c r="E296" s="23">
        <v>0.93138888888888893</v>
      </c>
      <c r="F296" t="s">
        <v>239</v>
      </c>
      <c r="G296" t="s">
        <v>225</v>
      </c>
      <c r="H296">
        <v>25</v>
      </c>
      <c r="I296" s="24">
        <v>7.2407407407407476E-2</v>
      </c>
      <c r="J296">
        <f t="shared" si="8"/>
        <v>0</v>
      </c>
      <c r="K296">
        <f t="shared" si="9"/>
        <v>0</v>
      </c>
    </row>
    <row r="297" spans="1:11" x14ac:dyDescent="0.25">
      <c r="A297">
        <v>20</v>
      </c>
      <c r="B297" t="s">
        <v>46</v>
      </c>
      <c r="C297" s="4">
        <v>0.85898148148148146</v>
      </c>
      <c r="D297" s="23">
        <v>0.85902777777777772</v>
      </c>
      <c r="E297" s="23">
        <v>0.93138888888888893</v>
      </c>
      <c r="F297" t="s">
        <v>240</v>
      </c>
      <c r="G297" t="s">
        <v>225</v>
      </c>
      <c r="H297">
        <v>25</v>
      </c>
      <c r="I297" s="24">
        <v>7.2407407407407476E-2</v>
      </c>
      <c r="J297">
        <f t="shared" si="8"/>
        <v>0</v>
      </c>
      <c r="K297">
        <f t="shared" si="9"/>
        <v>0</v>
      </c>
    </row>
    <row r="298" spans="1:11" x14ac:dyDescent="0.25">
      <c r="A298">
        <v>21</v>
      </c>
      <c r="B298" t="s">
        <v>23</v>
      </c>
      <c r="C298" s="4">
        <v>0.85898148148148146</v>
      </c>
      <c r="D298" s="23">
        <v>0.90825231481481483</v>
      </c>
      <c r="E298" s="23">
        <v>0.93138888888888893</v>
      </c>
      <c r="F298" t="s">
        <v>241</v>
      </c>
      <c r="G298" t="s">
        <v>225</v>
      </c>
      <c r="H298">
        <v>25</v>
      </c>
      <c r="I298" s="24">
        <v>7.2407407407407476E-2</v>
      </c>
      <c r="J298">
        <f t="shared" si="8"/>
        <v>0</v>
      </c>
      <c r="K298">
        <f t="shared" si="9"/>
        <v>0</v>
      </c>
    </row>
    <row r="299" spans="1:11" x14ac:dyDescent="0.25">
      <c r="A299">
        <v>22</v>
      </c>
      <c r="B299" t="s">
        <v>49</v>
      </c>
      <c r="C299" s="4">
        <v>0.85898148148148146</v>
      </c>
      <c r="D299" s="23">
        <v>0.85902777777777772</v>
      </c>
      <c r="E299" s="23">
        <v>0.93138888888888893</v>
      </c>
      <c r="F299" t="s">
        <v>242</v>
      </c>
      <c r="G299" t="s">
        <v>225</v>
      </c>
      <c r="H299">
        <v>25</v>
      </c>
      <c r="I299" s="24">
        <v>7.2407407407407476E-2</v>
      </c>
      <c r="J299">
        <f t="shared" si="8"/>
        <v>0</v>
      </c>
      <c r="K299">
        <f t="shared" si="9"/>
        <v>0</v>
      </c>
    </row>
    <row r="300" spans="1:11" x14ac:dyDescent="0.25">
      <c r="A300">
        <v>23</v>
      </c>
      <c r="B300" t="s">
        <v>243</v>
      </c>
      <c r="C300" s="4">
        <v>0.85898148148148146</v>
      </c>
      <c r="D300" s="23">
        <v>0.91459490740740745</v>
      </c>
      <c r="E300" s="23">
        <v>0.93138888888888893</v>
      </c>
      <c r="F300" t="s">
        <v>244</v>
      </c>
      <c r="G300" t="s">
        <v>225</v>
      </c>
      <c r="H300">
        <v>25</v>
      </c>
      <c r="I300" s="24">
        <v>7.2407407407407476E-2</v>
      </c>
      <c r="J300">
        <f t="shared" si="8"/>
        <v>0</v>
      </c>
      <c r="K300">
        <f t="shared" si="9"/>
        <v>0</v>
      </c>
    </row>
    <row r="301" spans="1:11" x14ac:dyDescent="0.25">
      <c r="A301">
        <v>24</v>
      </c>
      <c r="B301" t="s">
        <v>50</v>
      </c>
      <c r="C301" s="4">
        <v>0.85898148148148146</v>
      </c>
      <c r="D301" s="23">
        <v>0.85902777777777772</v>
      </c>
      <c r="E301" s="23">
        <v>0.93138888888888893</v>
      </c>
      <c r="F301" t="s">
        <v>245</v>
      </c>
      <c r="G301" t="s">
        <v>225</v>
      </c>
      <c r="H301">
        <v>25</v>
      </c>
      <c r="I301" s="24">
        <v>7.2407407407407476E-2</v>
      </c>
      <c r="J301">
        <f t="shared" si="8"/>
        <v>0</v>
      </c>
      <c r="K301">
        <f t="shared" si="9"/>
        <v>0</v>
      </c>
    </row>
    <row r="302" spans="1:11" x14ac:dyDescent="0.25">
      <c r="A302">
        <v>25</v>
      </c>
      <c r="B302" t="s">
        <v>62</v>
      </c>
      <c r="C302" s="4">
        <v>0.85898148148148146</v>
      </c>
      <c r="D302" s="23">
        <v>0.85902777777777772</v>
      </c>
      <c r="E302" s="23">
        <v>0.93138888888888893</v>
      </c>
      <c r="F302" t="s">
        <v>246</v>
      </c>
      <c r="G302" t="s">
        <v>225</v>
      </c>
      <c r="H302">
        <v>25</v>
      </c>
      <c r="I302" s="24">
        <v>7.2407407407407476E-2</v>
      </c>
      <c r="J302">
        <f t="shared" si="8"/>
        <v>0</v>
      </c>
      <c r="K302">
        <f t="shared" si="9"/>
        <v>0</v>
      </c>
    </row>
    <row r="303" spans="1:11" x14ac:dyDescent="0.25">
      <c r="A303">
        <v>26</v>
      </c>
      <c r="B303" t="s">
        <v>51</v>
      </c>
      <c r="C303" s="4">
        <v>0.85898148148148146</v>
      </c>
      <c r="D303" s="23">
        <v>0.85902777777777772</v>
      </c>
      <c r="E303" s="23">
        <v>0.93138888888888893</v>
      </c>
      <c r="F303" t="s">
        <v>247</v>
      </c>
      <c r="G303" t="s">
        <v>225</v>
      </c>
      <c r="H303">
        <v>25</v>
      </c>
      <c r="I303" s="24">
        <v>7.2407407407407476E-2</v>
      </c>
      <c r="J303">
        <f t="shared" si="8"/>
        <v>0</v>
      </c>
      <c r="K303">
        <f t="shared" si="9"/>
        <v>0</v>
      </c>
    </row>
    <row r="304" spans="1:11" x14ac:dyDescent="0.25">
      <c r="A304">
        <v>27</v>
      </c>
      <c r="B304" t="s">
        <v>83</v>
      </c>
      <c r="C304" s="4">
        <v>0.85898148148148146</v>
      </c>
      <c r="D304" s="23">
        <v>0.85902777777777772</v>
      </c>
      <c r="E304" s="23">
        <v>0.93138888888888893</v>
      </c>
      <c r="F304" t="s">
        <v>248</v>
      </c>
      <c r="G304" t="s">
        <v>225</v>
      </c>
      <c r="H304">
        <v>25</v>
      </c>
      <c r="I304" s="24">
        <v>7.2407407407407476E-2</v>
      </c>
      <c r="J304">
        <f t="shared" si="8"/>
        <v>0</v>
      </c>
      <c r="K304">
        <f t="shared" si="9"/>
        <v>0</v>
      </c>
    </row>
    <row r="305" spans="1:11" x14ac:dyDescent="0.25">
      <c r="A305">
        <v>28</v>
      </c>
      <c r="B305" t="s">
        <v>85</v>
      </c>
      <c r="C305" s="4">
        <v>0.85898148148148146</v>
      </c>
      <c r="D305" s="23">
        <v>0.85902777777777772</v>
      </c>
      <c r="E305" s="23">
        <v>0.93138888888888893</v>
      </c>
      <c r="F305" t="s">
        <v>249</v>
      </c>
      <c r="G305" t="s">
        <v>225</v>
      </c>
      <c r="H305">
        <v>25</v>
      </c>
      <c r="I305" s="24">
        <v>7.2407407407407476E-2</v>
      </c>
      <c r="J305">
        <f t="shared" si="8"/>
        <v>0</v>
      </c>
      <c r="K305">
        <f t="shared" si="9"/>
        <v>0</v>
      </c>
    </row>
    <row r="306" spans="1:11" x14ac:dyDescent="0.25">
      <c r="A306">
        <v>29</v>
      </c>
      <c r="B306" t="s">
        <v>134</v>
      </c>
      <c r="C306" s="4">
        <v>0.85898148148148146</v>
      </c>
      <c r="D306" s="23">
        <v>0.85902777777777772</v>
      </c>
      <c r="E306" s="23">
        <v>0.93138888888888893</v>
      </c>
      <c r="F306" t="s">
        <v>250</v>
      </c>
      <c r="G306" t="s">
        <v>225</v>
      </c>
      <c r="H306">
        <v>25</v>
      </c>
      <c r="I306" s="24">
        <v>7.2407407407407476E-2</v>
      </c>
      <c r="J306">
        <f t="shared" si="8"/>
        <v>0</v>
      </c>
      <c r="K306">
        <f t="shared" si="9"/>
        <v>0</v>
      </c>
    </row>
    <row r="307" spans="1:11" x14ac:dyDescent="0.25">
      <c r="A307">
        <v>30</v>
      </c>
      <c r="B307" t="s">
        <v>53</v>
      </c>
      <c r="C307" s="4">
        <v>0.85898148148148146</v>
      </c>
      <c r="D307" s="23">
        <v>0.90825231481481483</v>
      </c>
      <c r="E307" s="23">
        <v>0.93138888888888893</v>
      </c>
      <c r="F307" t="s">
        <v>251</v>
      </c>
      <c r="G307" t="s">
        <v>225</v>
      </c>
      <c r="H307">
        <v>25</v>
      </c>
      <c r="I307" s="24">
        <v>7.2407407407407476E-2</v>
      </c>
      <c r="J307">
        <f t="shared" si="8"/>
        <v>0</v>
      </c>
      <c r="K307">
        <f t="shared" si="9"/>
        <v>0</v>
      </c>
    </row>
    <row r="308" spans="1:11" x14ac:dyDescent="0.25">
      <c r="A308">
        <v>31</v>
      </c>
      <c r="B308" t="s">
        <v>89</v>
      </c>
      <c r="C308" s="4">
        <v>0.85898148148148146</v>
      </c>
      <c r="D308" s="23">
        <v>0.90825231481481483</v>
      </c>
      <c r="E308" s="23">
        <v>0.93138888888888893</v>
      </c>
      <c r="F308" t="s">
        <v>252</v>
      </c>
      <c r="G308" t="s">
        <v>225</v>
      </c>
      <c r="H308">
        <v>25</v>
      </c>
      <c r="I308" s="24">
        <v>7.2407407407407476E-2</v>
      </c>
      <c r="J308">
        <f t="shared" si="8"/>
        <v>0</v>
      </c>
      <c r="K308">
        <f t="shared" si="9"/>
        <v>0</v>
      </c>
    </row>
    <row r="309" spans="1:11" x14ac:dyDescent="0.25">
      <c r="A309">
        <v>32</v>
      </c>
      <c r="B309" t="s">
        <v>55</v>
      </c>
      <c r="C309" s="4">
        <v>0.85898148148148146</v>
      </c>
      <c r="D309" s="23">
        <v>0.85902777777777772</v>
      </c>
      <c r="E309" s="23">
        <v>0.93138888888888893</v>
      </c>
      <c r="F309" t="s">
        <v>229</v>
      </c>
      <c r="G309" t="s">
        <v>225</v>
      </c>
      <c r="H309">
        <v>25</v>
      </c>
      <c r="I309" s="24">
        <v>7.2407407407407476E-2</v>
      </c>
      <c r="J309">
        <f t="shared" si="8"/>
        <v>0</v>
      </c>
      <c r="K309">
        <f t="shared" si="9"/>
        <v>0</v>
      </c>
    </row>
    <row r="310" spans="1:11" x14ac:dyDescent="0.25">
      <c r="A310">
        <v>1</v>
      </c>
      <c r="B310" t="s">
        <v>5</v>
      </c>
      <c r="C310" s="4">
        <v>0.86133101851851857</v>
      </c>
      <c r="D310" s="23">
        <v>0.86137731481481483</v>
      </c>
      <c r="E310" s="23">
        <v>0.9331018518518519</v>
      </c>
      <c r="F310" t="s">
        <v>253</v>
      </c>
      <c r="G310" t="s">
        <v>254</v>
      </c>
      <c r="H310">
        <v>24</v>
      </c>
      <c r="I310" s="24">
        <v>7.1770833333333339E-2</v>
      </c>
      <c r="J310">
        <f t="shared" si="8"/>
        <v>0</v>
      </c>
      <c r="K310">
        <f t="shared" si="9"/>
        <v>0</v>
      </c>
    </row>
    <row r="311" spans="1:11" x14ac:dyDescent="0.25">
      <c r="A311">
        <v>2</v>
      </c>
      <c r="B311" t="s">
        <v>9</v>
      </c>
      <c r="C311" s="4">
        <v>0.86133101851851857</v>
      </c>
      <c r="D311" s="23">
        <v>0.86137731481481483</v>
      </c>
      <c r="E311" s="23">
        <v>0.9331018518518519</v>
      </c>
      <c r="F311" t="s">
        <v>256</v>
      </c>
      <c r="G311" t="s">
        <v>254</v>
      </c>
      <c r="H311">
        <v>24</v>
      </c>
      <c r="I311" s="24">
        <v>7.1770833333333339E-2</v>
      </c>
      <c r="J311">
        <f t="shared" si="8"/>
        <v>0</v>
      </c>
      <c r="K311">
        <f t="shared" si="9"/>
        <v>0</v>
      </c>
    </row>
    <row r="312" spans="1:11" x14ac:dyDescent="0.25">
      <c r="A312">
        <v>3</v>
      </c>
      <c r="B312" t="s">
        <v>11</v>
      </c>
      <c r="C312" s="4">
        <v>0.86133101851851857</v>
      </c>
      <c r="D312" s="23">
        <v>0.86137731481481483</v>
      </c>
      <c r="E312" s="23">
        <v>0.9331018518518519</v>
      </c>
      <c r="F312" t="s">
        <v>257</v>
      </c>
      <c r="G312" t="s">
        <v>254</v>
      </c>
      <c r="H312">
        <v>24</v>
      </c>
      <c r="I312" s="24">
        <v>7.1770833333333339E-2</v>
      </c>
      <c r="J312">
        <f t="shared" si="8"/>
        <v>0</v>
      </c>
      <c r="K312">
        <f t="shared" si="9"/>
        <v>0</v>
      </c>
    </row>
    <row r="313" spans="1:11" x14ac:dyDescent="0.25">
      <c r="A313">
        <v>4</v>
      </c>
      <c r="B313" t="s">
        <v>13</v>
      </c>
      <c r="C313" s="4">
        <v>0.86133101851851857</v>
      </c>
      <c r="D313" s="23">
        <v>0.92880787037037038</v>
      </c>
      <c r="E313" s="23">
        <v>0.9331018518518519</v>
      </c>
      <c r="F313" t="s">
        <v>258</v>
      </c>
      <c r="G313" t="s">
        <v>254</v>
      </c>
      <c r="H313">
        <v>24</v>
      </c>
      <c r="I313" s="24">
        <v>7.1770833333333339E-2</v>
      </c>
      <c r="J313">
        <f t="shared" si="8"/>
        <v>0</v>
      </c>
      <c r="K313">
        <f t="shared" si="9"/>
        <v>0</v>
      </c>
    </row>
    <row r="314" spans="1:11" x14ac:dyDescent="0.25">
      <c r="A314">
        <v>5</v>
      </c>
      <c r="B314" t="s">
        <v>35</v>
      </c>
      <c r="C314" s="4">
        <v>0.86133101851851857</v>
      </c>
      <c r="D314" s="23">
        <v>0.86137731481481483</v>
      </c>
      <c r="E314" s="23">
        <v>0.9331018518518519</v>
      </c>
      <c r="F314" t="s">
        <v>259</v>
      </c>
      <c r="G314" t="s">
        <v>254</v>
      </c>
      <c r="H314">
        <v>24</v>
      </c>
      <c r="I314" s="24">
        <v>7.1770833333333339E-2</v>
      </c>
      <c r="J314">
        <f t="shared" ref="J314:J376" si="10">IF(AND(H314&gt;=1,H314&lt;=7),1,0)</f>
        <v>0</v>
      </c>
      <c r="K314">
        <f t="shared" ref="K314:K376" si="11">IF(AND(H314&gt;=30,H314&lt;=36),1,0)</f>
        <v>0</v>
      </c>
    </row>
    <row r="315" spans="1:11" x14ac:dyDescent="0.25">
      <c r="A315">
        <v>6</v>
      </c>
      <c r="B315" t="s">
        <v>70</v>
      </c>
      <c r="C315" s="4">
        <v>0.86133101851851857</v>
      </c>
      <c r="D315" s="23">
        <v>0.86137731481481483</v>
      </c>
      <c r="E315" s="23">
        <v>0.9331018518518519</v>
      </c>
      <c r="F315" t="s">
        <v>259</v>
      </c>
      <c r="G315" t="s">
        <v>254</v>
      </c>
      <c r="H315">
        <v>24</v>
      </c>
      <c r="I315" s="24">
        <v>7.1770833333333339E-2</v>
      </c>
      <c r="J315">
        <f t="shared" si="10"/>
        <v>0</v>
      </c>
      <c r="K315">
        <f t="shared" si="11"/>
        <v>0</v>
      </c>
    </row>
    <row r="316" spans="1:11" x14ac:dyDescent="0.25">
      <c r="A316">
        <v>7</v>
      </c>
      <c r="B316" t="s">
        <v>112</v>
      </c>
      <c r="C316" s="4">
        <v>0.86133101851851857</v>
      </c>
      <c r="D316" s="23">
        <v>0.86137731481481483</v>
      </c>
      <c r="E316" s="23">
        <v>0.9331018518518519</v>
      </c>
      <c r="F316" t="s">
        <v>253</v>
      </c>
      <c r="G316" t="s">
        <v>254</v>
      </c>
      <c r="H316">
        <v>24</v>
      </c>
      <c r="I316" s="24">
        <v>7.1770833333333339E-2</v>
      </c>
      <c r="J316">
        <f t="shared" si="10"/>
        <v>0</v>
      </c>
      <c r="K316">
        <f t="shared" si="11"/>
        <v>0</v>
      </c>
    </row>
    <row r="317" spans="1:11" x14ac:dyDescent="0.25">
      <c r="A317">
        <v>8</v>
      </c>
      <c r="B317" t="s">
        <v>181</v>
      </c>
      <c r="C317" s="4">
        <v>0.86133101851851857</v>
      </c>
      <c r="D317" s="23">
        <v>0.86137731481481483</v>
      </c>
      <c r="E317" s="23">
        <v>0.9331018518518519</v>
      </c>
      <c r="F317" t="s">
        <v>259</v>
      </c>
      <c r="G317" t="s">
        <v>254</v>
      </c>
      <c r="H317">
        <v>24</v>
      </c>
      <c r="I317" s="24">
        <v>7.1770833333333339E-2</v>
      </c>
      <c r="J317">
        <f t="shared" si="10"/>
        <v>0</v>
      </c>
      <c r="K317">
        <f t="shared" si="11"/>
        <v>0</v>
      </c>
    </row>
    <row r="318" spans="1:11" x14ac:dyDescent="0.25">
      <c r="A318">
        <v>9</v>
      </c>
      <c r="B318" t="s">
        <v>36</v>
      </c>
      <c r="C318" s="4">
        <v>0.86133101851851857</v>
      </c>
      <c r="D318" s="23">
        <v>0.86137731481481483</v>
      </c>
      <c r="E318" s="23">
        <v>0.9331018518518519</v>
      </c>
      <c r="F318" t="s">
        <v>257</v>
      </c>
      <c r="G318" t="s">
        <v>254</v>
      </c>
      <c r="H318">
        <v>24</v>
      </c>
      <c r="I318" s="24">
        <v>7.1770833333333339E-2</v>
      </c>
      <c r="J318">
        <f t="shared" si="10"/>
        <v>0</v>
      </c>
      <c r="K318">
        <f t="shared" si="11"/>
        <v>0</v>
      </c>
    </row>
    <row r="319" spans="1:11" x14ac:dyDescent="0.25">
      <c r="A319">
        <v>10</v>
      </c>
      <c r="B319" t="s">
        <v>222</v>
      </c>
      <c r="C319" s="4">
        <v>0.86133101851851857</v>
      </c>
      <c r="D319" s="23">
        <v>0.86137731481481483</v>
      </c>
      <c r="E319" s="23">
        <v>0.9331018518518519</v>
      </c>
      <c r="F319" t="s">
        <v>259</v>
      </c>
      <c r="G319" t="s">
        <v>254</v>
      </c>
      <c r="H319">
        <v>24</v>
      </c>
      <c r="I319" s="24">
        <v>7.1770833333333339E-2</v>
      </c>
      <c r="J319">
        <f t="shared" si="10"/>
        <v>0</v>
      </c>
      <c r="K319">
        <f t="shared" si="11"/>
        <v>0</v>
      </c>
    </row>
    <row r="320" spans="1:11" x14ac:dyDescent="0.25">
      <c r="A320">
        <v>11</v>
      </c>
      <c r="B320" t="s">
        <v>16</v>
      </c>
      <c r="C320" s="4">
        <v>0.86133101851851857</v>
      </c>
      <c r="D320" s="23">
        <v>0.86137731481481483</v>
      </c>
      <c r="E320" s="23">
        <v>0.9331018518518519</v>
      </c>
      <c r="F320" t="s">
        <v>253</v>
      </c>
      <c r="G320" t="s">
        <v>254</v>
      </c>
      <c r="H320">
        <v>24</v>
      </c>
      <c r="I320" s="24">
        <v>7.1770833333333339E-2</v>
      </c>
      <c r="J320">
        <f t="shared" si="10"/>
        <v>0</v>
      </c>
      <c r="K320">
        <f t="shared" si="11"/>
        <v>0</v>
      </c>
    </row>
    <row r="321" spans="1:11" x14ac:dyDescent="0.25">
      <c r="A321">
        <v>12</v>
      </c>
      <c r="B321" t="s">
        <v>184</v>
      </c>
      <c r="C321" s="4">
        <v>0.86133101851851857</v>
      </c>
      <c r="D321" s="23">
        <v>0.86137731481481483</v>
      </c>
      <c r="E321" s="23">
        <v>0.9331018518518519</v>
      </c>
      <c r="F321" t="s">
        <v>259</v>
      </c>
      <c r="G321" t="s">
        <v>254</v>
      </c>
      <c r="H321">
        <v>24</v>
      </c>
      <c r="I321" s="24">
        <v>7.1770833333333339E-2</v>
      </c>
      <c r="J321">
        <f t="shared" si="10"/>
        <v>0</v>
      </c>
      <c r="K321">
        <f t="shared" si="11"/>
        <v>0</v>
      </c>
    </row>
    <row r="322" spans="1:11" x14ac:dyDescent="0.25">
      <c r="A322">
        <v>13</v>
      </c>
      <c r="B322" t="s">
        <v>186</v>
      </c>
      <c r="C322" s="4">
        <v>0.86133101851851857</v>
      </c>
      <c r="D322" s="23">
        <v>0.86137731481481483</v>
      </c>
      <c r="E322" s="23">
        <v>0.9331018518518519</v>
      </c>
      <c r="F322" t="s">
        <v>257</v>
      </c>
      <c r="G322" t="s">
        <v>254</v>
      </c>
      <c r="H322">
        <v>24</v>
      </c>
      <c r="I322" s="24">
        <v>7.1770833333333339E-2</v>
      </c>
      <c r="J322">
        <f t="shared" si="10"/>
        <v>0</v>
      </c>
      <c r="K322">
        <f t="shared" si="11"/>
        <v>0</v>
      </c>
    </row>
    <row r="323" spans="1:11" x14ac:dyDescent="0.25">
      <c r="A323">
        <v>14</v>
      </c>
      <c r="B323" t="s">
        <v>18</v>
      </c>
      <c r="C323" s="4">
        <v>0.86133101851851857</v>
      </c>
      <c r="D323" s="23">
        <v>0.86137731481481483</v>
      </c>
      <c r="E323" s="23">
        <v>0.9331018518518519</v>
      </c>
      <c r="F323" t="s">
        <v>257</v>
      </c>
      <c r="G323" t="s">
        <v>254</v>
      </c>
      <c r="H323">
        <v>24</v>
      </c>
      <c r="I323" s="24">
        <v>7.1770833333333339E-2</v>
      </c>
      <c r="J323">
        <f t="shared" si="10"/>
        <v>0</v>
      </c>
      <c r="K323">
        <f t="shared" si="11"/>
        <v>0</v>
      </c>
    </row>
    <row r="324" spans="1:11" x14ac:dyDescent="0.25">
      <c r="A324">
        <v>15</v>
      </c>
      <c r="B324" t="s">
        <v>41</v>
      </c>
      <c r="C324" s="4">
        <v>0.86133101851851857</v>
      </c>
      <c r="D324" s="23">
        <v>0.86137731481481483</v>
      </c>
      <c r="E324" s="23">
        <v>0.9331018518518519</v>
      </c>
      <c r="F324" t="s">
        <v>253</v>
      </c>
      <c r="G324" t="s">
        <v>254</v>
      </c>
      <c r="H324">
        <v>24</v>
      </c>
      <c r="I324" s="24">
        <v>7.1770833333333339E-2</v>
      </c>
      <c r="J324">
        <f t="shared" si="10"/>
        <v>0</v>
      </c>
      <c r="K324">
        <f t="shared" si="11"/>
        <v>0</v>
      </c>
    </row>
    <row r="325" spans="1:11" x14ac:dyDescent="0.25">
      <c r="A325">
        <v>16</v>
      </c>
      <c r="B325" t="s">
        <v>60</v>
      </c>
      <c r="C325" s="4">
        <v>0.86133101851851857</v>
      </c>
      <c r="D325" s="23">
        <v>0.86137731481481483</v>
      </c>
      <c r="E325" s="23">
        <v>0.9331018518518519</v>
      </c>
      <c r="F325" t="s">
        <v>259</v>
      </c>
      <c r="G325" t="s">
        <v>254</v>
      </c>
      <c r="H325">
        <v>24</v>
      </c>
      <c r="I325" s="24">
        <v>7.1770833333333339E-2</v>
      </c>
      <c r="J325">
        <f t="shared" si="10"/>
        <v>0</v>
      </c>
      <c r="K325">
        <f t="shared" si="11"/>
        <v>0</v>
      </c>
    </row>
    <row r="326" spans="1:11" x14ac:dyDescent="0.25">
      <c r="A326">
        <v>17</v>
      </c>
      <c r="B326" t="s">
        <v>20</v>
      </c>
      <c r="C326" s="4">
        <v>0.86133101851851857</v>
      </c>
      <c r="D326" s="23">
        <v>0.86137731481481483</v>
      </c>
      <c r="E326" s="23">
        <v>0.9331018518518519</v>
      </c>
      <c r="F326" t="s">
        <v>257</v>
      </c>
      <c r="G326" t="s">
        <v>254</v>
      </c>
      <c r="H326">
        <v>24</v>
      </c>
      <c r="I326" s="24">
        <v>7.1770833333333339E-2</v>
      </c>
      <c r="J326">
        <f t="shared" si="10"/>
        <v>0</v>
      </c>
      <c r="K326">
        <f t="shared" si="11"/>
        <v>0</v>
      </c>
    </row>
    <row r="327" spans="1:11" x14ac:dyDescent="0.25">
      <c r="A327">
        <v>18</v>
      </c>
      <c r="B327" t="s">
        <v>44</v>
      </c>
      <c r="C327" s="4">
        <v>0.86133101851851857</v>
      </c>
      <c r="D327" s="23">
        <v>0.86137731481481483</v>
      </c>
      <c r="E327" s="23">
        <v>0.9331018518518519</v>
      </c>
      <c r="F327" t="s">
        <v>257</v>
      </c>
      <c r="G327" t="s">
        <v>254</v>
      </c>
      <c r="H327">
        <v>24</v>
      </c>
      <c r="I327" s="24">
        <v>7.1770833333333339E-2</v>
      </c>
      <c r="J327">
        <f t="shared" si="10"/>
        <v>0</v>
      </c>
      <c r="K327">
        <f t="shared" si="11"/>
        <v>0</v>
      </c>
    </row>
    <row r="328" spans="1:11" x14ac:dyDescent="0.25">
      <c r="A328">
        <v>19</v>
      </c>
      <c r="B328" t="s">
        <v>99</v>
      </c>
      <c r="C328" s="4">
        <v>0.86133101851851857</v>
      </c>
      <c r="D328" s="23">
        <v>0.86137731481481483</v>
      </c>
      <c r="E328" s="23">
        <v>0.9331018518518519</v>
      </c>
      <c r="F328" t="s">
        <v>259</v>
      </c>
      <c r="G328" t="s">
        <v>254</v>
      </c>
      <c r="H328">
        <v>24</v>
      </c>
      <c r="I328" s="24">
        <v>7.1770833333333339E-2</v>
      </c>
      <c r="J328">
        <f t="shared" si="10"/>
        <v>0</v>
      </c>
      <c r="K328">
        <f t="shared" si="11"/>
        <v>0</v>
      </c>
    </row>
    <row r="329" spans="1:11" x14ac:dyDescent="0.25">
      <c r="A329">
        <v>20</v>
      </c>
      <c r="B329" t="s">
        <v>156</v>
      </c>
      <c r="C329" s="4">
        <v>0.86133101851851857</v>
      </c>
      <c r="D329" s="23">
        <v>0.86137731481481483</v>
      </c>
      <c r="E329" s="23">
        <v>0.9331018518518519</v>
      </c>
      <c r="F329" t="s">
        <v>259</v>
      </c>
      <c r="G329" t="s">
        <v>254</v>
      </c>
      <c r="H329">
        <v>24</v>
      </c>
      <c r="I329" s="24">
        <v>7.1770833333333339E-2</v>
      </c>
      <c r="J329">
        <f t="shared" si="10"/>
        <v>0</v>
      </c>
      <c r="K329">
        <f t="shared" si="11"/>
        <v>0</v>
      </c>
    </row>
    <row r="330" spans="1:11" x14ac:dyDescent="0.25">
      <c r="A330">
        <v>21</v>
      </c>
      <c r="B330" t="s">
        <v>22</v>
      </c>
      <c r="C330" s="4">
        <v>0.86133101851851857</v>
      </c>
      <c r="D330" s="23">
        <v>0.86137731481481483</v>
      </c>
      <c r="E330" s="23">
        <v>0.9331018518518519</v>
      </c>
      <c r="F330" t="s">
        <v>253</v>
      </c>
      <c r="G330" t="s">
        <v>254</v>
      </c>
      <c r="H330">
        <v>24</v>
      </c>
      <c r="I330" s="24">
        <v>7.1770833333333339E-2</v>
      </c>
      <c r="J330">
        <f t="shared" si="10"/>
        <v>0</v>
      </c>
      <c r="K330">
        <f t="shared" si="11"/>
        <v>0</v>
      </c>
    </row>
    <row r="331" spans="1:11" x14ac:dyDescent="0.25">
      <c r="A331">
        <v>22</v>
      </c>
      <c r="B331" t="s">
        <v>46</v>
      </c>
      <c r="C331" s="4">
        <v>0.86133101851851857</v>
      </c>
      <c r="D331" s="23">
        <v>0.86137731481481483</v>
      </c>
      <c r="E331" s="23">
        <v>0.9331018518518519</v>
      </c>
      <c r="F331" t="s">
        <v>253</v>
      </c>
      <c r="G331" t="s">
        <v>254</v>
      </c>
      <c r="H331">
        <v>24</v>
      </c>
      <c r="I331" s="24">
        <v>7.1770833333333339E-2</v>
      </c>
      <c r="J331">
        <f t="shared" si="10"/>
        <v>0</v>
      </c>
      <c r="K331">
        <f t="shared" si="11"/>
        <v>0</v>
      </c>
    </row>
    <row r="332" spans="1:11" x14ac:dyDescent="0.25">
      <c r="A332">
        <v>23</v>
      </c>
      <c r="B332" t="s">
        <v>23</v>
      </c>
      <c r="C332" s="4">
        <v>0.86133101851851857</v>
      </c>
      <c r="D332" s="23">
        <v>0.86137731481481483</v>
      </c>
      <c r="E332" s="23">
        <v>0.9331018518518519</v>
      </c>
      <c r="F332" t="s">
        <v>259</v>
      </c>
      <c r="G332" t="s">
        <v>254</v>
      </c>
      <c r="H332">
        <v>24</v>
      </c>
      <c r="I332" s="24">
        <v>7.1770833333333339E-2</v>
      </c>
      <c r="J332">
        <f t="shared" si="10"/>
        <v>0</v>
      </c>
      <c r="K332">
        <f t="shared" si="11"/>
        <v>0</v>
      </c>
    </row>
    <row r="333" spans="1:11" x14ac:dyDescent="0.25">
      <c r="A333">
        <v>24</v>
      </c>
      <c r="B333" t="s">
        <v>49</v>
      </c>
      <c r="C333" s="4">
        <v>0.86133101851851857</v>
      </c>
      <c r="D333" s="23">
        <v>0.86137731481481483</v>
      </c>
      <c r="E333" s="23">
        <v>0.9331018518518519</v>
      </c>
      <c r="F333" t="s">
        <v>259</v>
      </c>
      <c r="G333" t="s">
        <v>254</v>
      </c>
      <c r="H333">
        <v>24</v>
      </c>
      <c r="I333" s="24">
        <v>7.1770833333333339E-2</v>
      </c>
      <c r="J333">
        <f t="shared" si="10"/>
        <v>0</v>
      </c>
      <c r="K333">
        <f t="shared" si="11"/>
        <v>0</v>
      </c>
    </row>
    <row r="334" spans="1:11" x14ac:dyDescent="0.25">
      <c r="A334">
        <v>25</v>
      </c>
      <c r="B334" t="s">
        <v>25</v>
      </c>
      <c r="C334" s="4">
        <v>0.86133101851851857</v>
      </c>
      <c r="D334" s="23">
        <v>0.86137731481481483</v>
      </c>
      <c r="E334" s="23">
        <v>0.9331018518518519</v>
      </c>
      <c r="F334" t="s">
        <v>260</v>
      </c>
      <c r="G334" t="s">
        <v>254</v>
      </c>
      <c r="H334">
        <v>24</v>
      </c>
      <c r="I334" s="24">
        <v>7.1770833333333339E-2</v>
      </c>
      <c r="J334">
        <f t="shared" si="10"/>
        <v>0</v>
      </c>
      <c r="K334">
        <f t="shared" si="11"/>
        <v>0</v>
      </c>
    </row>
    <row r="335" spans="1:11" x14ac:dyDescent="0.25">
      <c r="A335">
        <v>26</v>
      </c>
      <c r="B335" t="s">
        <v>51</v>
      </c>
      <c r="C335" s="4">
        <v>0.86133101851851857</v>
      </c>
      <c r="D335" s="23">
        <v>0.86137731481481483</v>
      </c>
      <c r="E335" s="23">
        <v>0.9331018518518519</v>
      </c>
      <c r="F335" t="s">
        <v>257</v>
      </c>
      <c r="G335" t="s">
        <v>254</v>
      </c>
      <c r="H335">
        <v>24</v>
      </c>
      <c r="I335" s="24">
        <v>7.1770833333333339E-2</v>
      </c>
      <c r="J335">
        <f t="shared" si="10"/>
        <v>0</v>
      </c>
      <c r="K335">
        <f t="shared" si="11"/>
        <v>0</v>
      </c>
    </row>
    <row r="336" spans="1:11" x14ac:dyDescent="0.25">
      <c r="A336">
        <v>27</v>
      </c>
      <c r="B336" t="s">
        <v>83</v>
      </c>
      <c r="C336" s="4">
        <v>0.86133101851851857</v>
      </c>
      <c r="D336" s="23">
        <v>0.86137731481481483</v>
      </c>
      <c r="E336" s="23">
        <v>0.9331018518518519</v>
      </c>
      <c r="F336" t="s">
        <v>259</v>
      </c>
      <c r="G336" t="s">
        <v>254</v>
      </c>
      <c r="H336">
        <v>24</v>
      </c>
      <c r="I336" s="24">
        <v>7.1770833333333339E-2</v>
      </c>
      <c r="J336">
        <f t="shared" si="10"/>
        <v>0</v>
      </c>
      <c r="K336">
        <f t="shared" si="11"/>
        <v>0</v>
      </c>
    </row>
    <row r="337" spans="1:11" x14ac:dyDescent="0.25">
      <c r="A337">
        <v>28</v>
      </c>
      <c r="B337" t="s">
        <v>261</v>
      </c>
      <c r="C337" s="4">
        <v>0.86133101851851857</v>
      </c>
      <c r="D337" s="23">
        <v>0.86137731481481483</v>
      </c>
      <c r="E337" s="23">
        <v>0.9331018518518519</v>
      </c>
      <c r="F337" t="s">
        <v>259</v>
      </c>
      <c r="G337" t="s">
        <v>254</v>
      </c>
      <c r="H337">
        <v>24</v>
      </c>
      <c r="I337" s="24">
        <v>7.1770833333333339E-2</v>
      </c>
      <c r="J337">
        <f t="shared" si="10"/>
        <v>0</v>
      </c>
      <c r="K337">
        <f t="shared" si="11"/>
        <v>0</v>
      </c>
    </row>
    <row r="338" spans="1:11" x14ac:dyDescent="0.25">
      <c r="A338">
        <v>29</v>
      </c>
      <c r="B338" t="s">
        <v>85</v>
      </c>
      <c r="C338" s="4">
        <v>0.86133101851851857</v>
      </c>
      <c r="D338" s="23">
        <v>0.92880787037037038</v>
      </c>
      <c r="E338" s="23">
        <v>0.9331018518518519</v>
      </c>
      <c r="F338" t="s">
        <v>258</v>
      </c>
      <c r="G338" t="s">
        <v>254</v>
      </c>
      <c r="H338">
        <v>24</v>
      </c>
      <c r="I338" s="24">
        <v>7.1770833333333339E-2</v>
      </c>
      <c r="J338">
        <f t="shared" si="10"/>
        <v>0</v>
      </c>
      <c r="K338">
        <f t="shared" si="11"/>
        <v>0</v>
      </c>
    </row>
    <row r="339" spans="1:11" x14ac:dyDescent="0.25">
      <c r="A339">
        <v>30</v>
      </c>
      <c r="B339" t="s">
        <v>134</v>
      </c>
      <c r="C339" s="4">
        <v>0.86133101851851857</v>
      </c>
      <c r="D339" s="23">
        <v>0.86137731481481483</v>
      </c>
      <c r="E339" s="23">
        <v>0.9331018518518519</v>
      </c>
      <c r="F339" t="s">
        <v>257</v>
      </c>
      <c r="G339" t="s">
        <v>254</v>
      </c>
      <c r="H339">
        <v>24</v>
      </c>
      <c r="I339" s="24">
        <v>7.1770833333333339E-2</v>
      </c>
      <c r="J339">
        <f t="shared" si="10"/>
        <v>0</v>
      </c>
      <c r="K339">
        <f t="shared" si="11"/>
        <v>0</v>
      </c>
    </row>
    <row r="340" spans="1:11" x14ac:dyDescent="0.25">
      <c r="A340">
        <v>31</v>
      </c>
      <c r="B340" t="s">
        <v>53</v>
      </c>
      <c r="C340" s="4">
        <v>0.86133101851851857</v>
      </c>
      <c r="D340" s="23">
        <v>0.86137731481481483</v>
      </c>
      <c r="E340" s="23">
        <v>0.9331018518518519</v>
      </c>
      <c r="F340" t="s">
        <v>257</v>
      </c>
      <c r="G340" t="s">
        <v>254</v>
      </c>
      <c r="H340">
        <v>24</v>
      </c>
      <c r="I340" s="24">
        <v>7.1770833333333339E-2</v>
      </c>
      <c r="J340">
        <f t="shared" si="10"/>
        <v>0</v>
      </c>
      <c r="K340">
        <f t="shared" si="11"/>
        <v>0</v>
      </c>
    </row>
    <row r="341" spans="1:11" x14ac:dyDescent="0.25">
      <c r="A341">
        <v>32</v>
      </c>
      <c r="B341" t="s">
        <v>262</v>
      </c>
      <c r="C341" s="4">
        <v>0.86133101851851857</v>
      </c>
      <c r="D341" s="23">
        <v>0.86137731481481483</v>
      </c>
      <c r="E341" s="23">
        <v>0.9331018518518519</v>
      </c>
      <c r="F341" t="s">
        <v>259</v>
      </c>
      <c r="G341" t="s">
        <v>254</v>
      </c>
      <c r="H341">
        <v>24</v>
      </c>
      <c r="I341" s="24">
        <v>7.1770833333333339E-2</v>
      </c>
      <c r="J341">
        <f t="shared" si="10"/>
        <v>0</v>
      </c>
      <c r="K341">
        <f t="shared" si="11"/>
        <v>0</v>
      </c>
    </row>
    <row r="342" spans="1:11" x14ac:dyDescent="0.25">
      <c r="A342">
        <v>33</v>
      </c>
      <c r="B342" t="s">
        <v>89</v>
      </c>
      <c r="C342" s="4">
        <v>0.86133101851851857</v>
      </c>
      <c r="D342" s="23">
        <v>0.86137731481481483</v>
      </c>
      <c r="E342" s="23">
        <v>0.9331018518518519</v>
      </c>
      <c r="F342" t="s">
        <v>257</v>
      </c>
      <c r="G342" t="s">
        <v>254</v>
      </c>
      <c r="H342">
        <v>24</v>
      </c>
      <c r="I342" s="24">
        <v>7.1770833333333339E-2</v>
      </c>
      <c r="J342">
        <f t="shared" si="10"/>
        <v>0</v>
      </c>
      <c r="K342">
        <f t="shared" si="11"/>
        <v>0</v>
      </c>
    </row>
    <row r="343" spans="1:11" x14ac:dyDescent="0.25">
      <c r="A343">
        <v>34</v>
      </c>
      <c r="B343" t="s">
        <v>27</v>
      </c>
      <c r="C343" s="4">
        <v>0.86133101851851857</v>
      </c>
      <c r="D343" s="23">
        <v>0.86137731481481483</v>
      </c>
      <c r="E343" s="23">
        <v>0.9331018518518519</v>
      </c>
      <c r="F343" t="s">
        <v>259</v>
      </c>
      <c r="G343" t="s">
        <v>254</v>
      </c>
      <c r="H343">
        <v>24</v>
      </c>
      <c r="I343" s="24">
        <v>7.1770833333333339E-2</v>
      </c>
      <c r="J343">
        <f t="shared" si="10"/>
        <v>0</v>
      </c>
      <c r="K343">
        <f t="shared" si="11"/>
        <v>0</v>
      </c>
    </row>
    <row r="344" spans="1:11" x14ac:dyDescent="0.25">
      <c r="A344">
        <v>1</v>
      </c>
      <c r="B344" t="s">
        <v>29</v>
      </c>
      <c r="C344" s="4">
        <v>0.85853009259259261</v>
      </c>
      <c r="D344" s="23">
        <v>0.86717592592592596</v>
      </c>
      <c r="E344" s="23">
        <v>0.92471064814814818</v>
      </c>
      <c r="F344" t="s">
        <v>263</v>
      </c>
      <c r="G344" t="s">
        <v>264</v>
      </c>
      <c r="H344">
        <v>23</v>
      </c>
      <c r="I344" s="24">
        <v>6.6180555555555465E-2</v>
      </c>
      <c r="J344">
        <f t="shared" si="10"/>
        <v>0</v>
      </c>
      <c r="K344">
        <f t="shared" si="11"/>
        <v>0</v>
      </c>
    </row>
    <row r="345" spans="1:11" x14ac:dyDescent="0.25">
      <c r="A345">
        <v>2</v>
      </c>
      <c r="B345" t="s">
        <v>5</v>
      </c>
      <c r="C345" s="4">
        <v>0.85853009259259261</v>
      </c>
      <c r="D345" s="23">
        <v>0.85857638888888888</v>
      </c>
      <c r="E345" s="23">
        <v>0.92471064814814818</v>
      </c>
      <c r="F345" t="s">
        <v>266</v>
      </c>
      <c r="G345" t="s">
        <v>264</v>
      </c>
      <c r="H345">
        <v>23</v>
      </c>
      <c r="I345" s="24">
        <v>6.6180555555555465E-2</v>
      </c>
      <c r="J345">
        <f t="shared" si="10"/>
        <v>0</v>
      </c>
      <c r="K345">
        <f t="shared" si="11"/>
        <v>0</v>
      </c>
    </row>
    <row r="346" spans="1:11" x14ac:dyDescent="0.25">
      <c r="A346">
        <v>3</v>
      </c>
      <c r="B346" t="s">
        <v>9</v>
      </c>
      <c r="C346" s="4">
        <v>0.85853009259259261</v>
      </c>
      <c r="D346" s="23">
        <v>0.85857638888888888</v>
      </c>
      <c r="E346" s="23">
        <v>0.92471064814814818</v>
      </c>
      <c r="F346" t="s">
        <v>266</v>
      </c>
      <c r="G346" t="s">
        <v>264</v>
      </c>
      <c r="H346">
        <v>23</v>
      </c>
      <c r="I346" s="24">
        <v>6.6180555555555465E-2</v>
      </c>
      <c r="J346">
        <f t="shared" si="10"/>
        <v>0</v>
      </c>
      <c r="K346">
        <f t="shared" si="11"/>
        <v>0</v>
      </c>
    </row>
    <row r="347" spans="1:11" x14ac:dyDescent="0.25">
      <c r="A347">
        <v>4</v>
      </c>
      <c r="B347" t="s">
        <v>11</v>
      </c>
      <c r="C347" s="4">
        <v>0.85853009259259261</v>
      </c>
      <c r="D347" s="23">
        <v>0.86717592592592596</v>
      </c>
      <c r="E347" s="23">
        <v>0.92471064814814818</v>
      </c>
      <c r="F347" t="s">
        <v>263</v>
      </c>
      <c r="G347" t="s">
        <v>264</v>
      </c>
      <c r="H347">
        <v>23</v>
      </c>
      <c r="I347" s="24">
        <v>6.6180555555555465E-2</v>
      </c>
      <c r="J347">
        <f t="shared" si="10"/>
        <v>0</v>
      </c>
      <c r="K347">
        <f t="shared" si="11"/>
        <v>0</v>
      </c>
    </row>
    <row r="348" spans="1:11" x14ac:dyDescent="0.25">
      <c r="A348">
        <v>5</v>
      </c>
      <c r="B348" t="s">
        <v>35</v>
      </c>
      <c r="C348" s="4">
        <v>0.85853009259259261</v>
      </c>
      <c r="D348" s="23">
        <v>0.85857638888888888</v>
      </c>
      <c r="E348" s="23">
        <v>0.92471064814814818</v>
      </c>
      <c r="F348" t="s">
        <v>266</v>
      </c>
      <c r="G348" t="s">
        <v>264</v>
      </c>
      <c r="H348">
        <v>23</v>
      </c>
      <c r="I348" s="24">
        <v>6.6180555555555465E-2</v>
      </c>
      <c r="J348">
        <f t="shared" si="10"/>
        <v>0</v>
      </c>
      <c r="K348">
        <f t="shared" si="11"/>
        <v>0</v>
      </c>
    </row>
    <row r="349" spans="1:11" x14ac:dyDescent="0.25">
      <c r="A349">
        <v>7</v>
      </c>
      <c r="B349" t="s">
        <v>70</v>
      </c>
      <c r="C349" s="4">
        <v>0.85853009259259261</v>
      </c>
      <c r="D349" s="23">
        <v>0.85857638888888888</v>
      </c>
      <c r="E349" s="23">
        <v>0.92471064814814818</v>
      </c>
      <c r="F349" t="s">
        <v>266</v>
      </c>
      <c r="G349" t="s">
        <v>264</v>
      </c>
      <c r="H349">
        <v>23</v>
      </c>
      <c r="I349" s="24">
        <v>6.6180555555555465E-2</v>
      </c>
      <c r="J349">
        <f t="shared" si="10"/>
        <v>0</v>
      </c>
      <c r="K349">
        <f t="shared" si="11"/>
        <v>0</v>
      </c>
    </row>
    <row r="350" spans="1:11" x14ac:dyDescent="0.25">
      <c r="A350">
        <v>8</v>
      </c>
      <c r="B350" t="s">
        <v>59</v>
      </c>
      <c r="C350" s="4">
        <v>0.85853009259259261</v>
      </c>
      <c r="D350" s="23">
        <v>0.86717592592592596</v>
      </c>
      <c r="E350" s="23">
        <v>0.92471064814814818</v>
      </c>
      <c r="F350" t="s">
        <v>263</v>
      </c>
      <c r="G350" t="s">
        <v>264</v>
      </c>
      <c r="H350">
        <v>23</v>
      </c>
      <c r="I350" s="24">
        <v>6.6180555555555465E-2</v>
      </c>
      <c r="J350">
        <f t="shared" si="10"/>
        <v>0</v>
      </c>
      <c r="K350">
        <f t="shared" si="11"/>
        <v>0</v>
      </c>
    </row>
    <row r="351" spans="1:11" x14ac:dyDescent="0.25">
      <c r="A351">
        <v>9</v>
      </c>
      <c r="B351" t="s">
        <v>97</v>
      </c>
      <c r="C351" s="4">
        <v>0.85853009259259261</v>
      </c>
      <c r="D351" s="23">
        <v>0.85857638888888888</v>
      </c>
      <c r="E351" s="23">
        <v>0.92471064814814818</v>
      </c>
      <c r="F351" t="s">
        <v>266</v>
      </c>
      <c r="G351" t="s">
        <v>264</v>
      </c>
      <c r="H351">
        <v>23</v>
      </c>
      <c r="I351" s="24">
        <v>6.6180555555555465E-2</v>
      </c>
      <c r="J351">
        <f t="shared" si="10"/>
        <v>0</v>
      </c>
      <c r="K351">
        <f t="shared" si="11"/>
        <v>0</v>
      </c>
    </row>
    <row r="352" spans="1:11" x14ac:dyDescent="0.25">
      <c r="A352">
        <v>10</v>
      </c>
      <c r="B352" t="s">
        <v>112</v>
      </c>
      <c r="C352" s="4">
        <v>0.85853009259259261</v>
      </c>
      <c r="D352" s="23">
        <v>0.86717592592592596</v>
      </c>
      <c r="E352" s="23">
        <v>0.92471064814814818</v>
      </c>
      <c r="F352" t="s">
        <v>263</v>
      </c>
      <c r="G352" t="s">
        <v>264</v>
      </c>
      <c r="H352">
        <v>23</v>
      </c>
      <c r="I352" s="24">
        <v>6.6180555555555465E-2</v>
      </c>
      <c r="J352">
        <f t="shared" si="10"/>
        <v>0</v>
      </c>
      <c r="K352">
        <f t="shared" si="11"/>
        <v>0</v>
      </c>
    </row>
    <row r="353" spans="1:11" x14ac:dyDescent="0.25">
      <c r="A353">
        <v>11</v>
      </c>
      <c r="B353" t="s">
        <v>181</v>
      </c>
      <c r="C353" s="4">
        <v>0.85853009259259261</v>
      </c>
      <c r="D353" s="23">
        <v>0.85857638888888888</v>
      </c>
      <c r="E353" s="23">
        <v>0.92471064814814818</v>
      </c>
      <c r="F353" t="s">
        <v>266</v>
      </c>
      <c r="G353" t="s">
        <v>264</v>
      </c>
      <c r="H353">
        <v>23</v>
      </c>
      <c r="I353" s="24">
        <v>6.6180555555555465E-2</v>
      </c>
      <c r="J353">
        <f t="shared" si="10"/>
        <v>0</v>
      </c>
      <c r="K353">
        <f t="shared" si="11"/>
        <v>0</v>
      </c>
    </row>
    <row r="354" spans="1:11" x14ac:dyDescent="0.25">
      <c r="A354">
        <v>12</v>
      </c>
      <c r="B354" t="s">
        <v>36</v>
      </c>
      <c r="C354" s="4">
        <v>0.85853009259259261</v>
      </c>
      <c r="D354" s="23">
        <v>0.85857638888888888</v>
      </c>
      <c r="E354" s="23">
        <v>0.92471064814814818</v>
      </c>
      <c r="F354" t="s">
        <v>266</v>
      </c>
      <c r="G354" t="s">
        <v>264</v>
      </c>
      <c r="H354">
        <v>23</v>
      </c>
      <c r="I354" s="24">
        <v>6.6180555555555465E-2</v>
      </c>
      <c r="J354">
        <f t="shared" si="10"/>
        <v>0</v>
      </c>
      <c r="K354">
        <f t="shared" si="11"/>
        <v>0</v>
      </c>
    </row>
    <row r="355" spans="1:11" x14ac:dyDescent="0.25">
      <c r="A355">
        <v>13</v>
      </c>
      <c r="B355" t="s">
        <v>222</v>
      </c>
      <c r="C355" s="4">
        <v>0.85853009259259261</v>
      </c>
      <c r="D355" s="23">
        <v>0.86717592592592596</v>
      </c>
      <c r="E355" s="23">
        <v>0.92471064814814818</v>
      </c>
      <c r="F355" t="s">
        <v>263</v>
      </c>
      <c r="G355" t="s">
        <v>264</v>
      </c>
      <c r="H355">
        <v>23</v>
      </c>
      <c r="I355" s="24">
        <v>6.6180555555555465E-2</v>
      </c>
      <c r="J355">
        <f t="shared" si="10"/>
        <v>0</v>
      </c>
      <c r="K355">
        <f t="shared" si="11"/>
        <v>0</v>
      </c>
    </row>
    <row r="356" spans="1:11" x14ac:dyDescent="0.25">
      <c r="A356">
        <v>14</v>
      </c>
      <c r="B356" t="s">
        <v>37</v>
      </c>
      <c r="C356" s="4">
        <v>0.85853009259259261</v>
      </c>
      <c r="D356" s="23">
        <v>0.85857638888888888</v>
      </c>
      <c r="E356" s="23">
        <v>0.92471064814814818</v>
      </c>
      <c r="F356" t="s">
        <v>266</v>
      </c>
      <c r="G356" t="s">
        <v>264</v>
      </c>
      <c r="H356">
        <v>23</v>
      </c>
      <c r="I356" s="24">
        <v>6.6180555555555465E-2</v>
      </c>
      <c r="J356">
        <f t="shared" si="10"/>
        <v>0</v>
      </c>
      <c r="K356">
        <f t="shared" si="11"/>
        <v>0</v>
      </c>
    </row>
    <row r="357" spans="1:11" x14ac:dyDescent="0.25">
      <c r="A357">
        <v>15</v>
      </c>
      <c r="B357" t="s">
        <v>16</v>
      </c>
      <c r="C357" s="4">
        <v>0.85853009259259261</v>
      </c>
      <c r="D357" s="23">
        <v>0.85857638888888888</v>
      </c>
      <c r="E357" s="23">
        <v>0.92471064814814818</v>
      </c>
      <c r="F357" t="s">
        <v>266</v>
      </c>
      <c r="G357" t="s">
        <v>264</v>
      </c>
      <c r="H357">
        <v>23</v>
      </c>
      <c r="I357" s="24">
        <v>6.6180555555555465E-2</v>
      </c>
      <c r="J357">
        <f t="shared" si="10"/>
        <v>0</v>
      </c>
      <c r="K357">
        <f t="shared" si="11"/>
        <v>0</v>
      </c>
    </row>
    <row r="358" spans="1:11" x14ac:dyDescent="0.25">
      <c r="A358">
        <v>16</v>
      </c>
      <c r="B358" t="s">
        <v>186</v>
      </c>
      <c r="C358" s="4">
        <v>0.85853009259259261</v>
      </c>
      <c r="D358" s="23">
        <v>0.86717592592592596</v>
      </c>
      <c r="E358" s="23">
        <v>0.92471064814814818</v>
      </c>
      <c r="F358" t="s">
        <v>263</v>
      </c>
      <c r="G358" t="s">
        <v>264</v>
      </c>
      <c r="H358">
        <v>23</v>
      </c>
      <c r="I358" s="24">
        <v>6.6180555555555465E-2</v>
      </c>
      <c r="J358">
        <f t="shared" si="10"/>
        <v>0</v>
      </c>
      <c r="K358">
        <f t="shared" si="11"/>
        <v>0</v>
      </c>
    </row>
    <row r="359" spans="1:11" x14ac:dyDescent="0.25">
      <c r="A359">
        <v>17</v>
      </c>
      <c r="B359" t="s">
        <v>41</v>
      </c>
      <c r="C359" s="4">
        <v>0.85853009259259261</v>
      </c>
      <c r="D359" s="23">
        <v>0.85857638888888888</v>
      </c>
      <c r="E359" s="23">
        <v>0.92471064814814818</v>
      </c>
      <c r="F359" t="s">
        <v>266</v>
      </c>
      <c r="G359" t="s">
        <v>264</v>
      </c>
      <c r="H359">
        <v>23</v>
      </c>
      <c r="I359" s="24">
        <v>6.6180555555555465E-2</v>
      </c>
      <c r="J359">
        <f t="shared" si="10"/>
        <v>0</v>
      </c>
      <c r="K359">
        <f t="shared" si="11"/>
        <v>0</v>
      </c>
    </row>
    <row r="360" spans="1:11" x14ac:dyDescent="0.25">
      <c r="A360">
        <v>18</v>
      </c>
      <c r="B360" t="s">
        <v>267</v>
      </c>
      <c r="C360" s="4">
        <v>0.85853009259259261</v>
      </c>
      <c r="D360" s="23">
        <v>0.86717592592592596</v>
      </c>
      <c r="E360" s="23">
        <v>0.92471064814814818</v>
      </c>
      <c r="F360" t="s">
        <v>263</v>
      </c>
      <c r="G360" t="s">
        <v>264</v>
      </c>
      <c r="H360">
        <v>23</v>
      </c>
      <c r="I360" s="24">
        <v>6.6180555555555465E-2</v>
      </c>
      <c r="J360">
        <f t="shared" si="10"/>
        <v>0</v>
      </c>
      <c r="K360">
        <f t="shared" si="11"/>
        <v>0</v>
      </c>
    </row>
    <row r="361" spans="1:11" x14ac:dyDescent="0.25">
      <c r="A361">
        <v>19</v>
      </c>
      <c r="B361" t="s">
        <v>118</v>
      </c>
      <c r="C361" s="4">
        <v>0.85853009259259261</v>
      </c>
      <c r="D361" s="23">
        <v>0.86717592592592596</v>
      </c>
      <c r="E361" s="23">
        <v>0.92471064814814818</v>
      </c>
      <c r="F361" t="s">
        <v>263</v>
      </c>
      <c r="G361" t="s">
        <v>264</v>
      </c>
      <c r="H361">
        <v>23</v>
      </c>
      <c r="I361" s="24">
        <v>6.6180555555555465E-2</v>
      </c>
      <c r="J361">
        <f t="shared" si="10"/>
        <v>0</v>
      </c>
      <c r="K361">
        <f t="shared" si="11"/>
        <v>0</v>
      </c>
    </row>
    <row r="362" spans="1:11" x14ac:dyDescent="0.25">
      <c r="A362">
        <v>20</v>
      </c>
      <c r="B362" t="s">
        <v>60</v>
      </c>
      <c r="C362" s="4">
        <v>0.85853009259259261</v>
      </c>
      <c r="D362" s="23">
        <v>0.86717592592592596</v>
      </c>
      <c r="E362" s="23">
        <v>0.92471064814814818</v>
      </c>
      <c r="F362" t="s">
        <v>263</v>
      </c>
      <c r="G362" t="s">
        <v>264</v>
      </c>
      <c r="H362">
        <v>23</v>
      </c>
      <c r="I362" s="24">
        <v>6.6180555555555465E-2</v>
      </c>
      <c r="J362">
        <f t="shared" si="10"/>
        <v>0</v>
      </c>
      <c r="K362">
        <f t="shared" si="11"/>
        <v>0</v>
      </c>
    </row>
    <row r="363" spans="1:11" x14ac:dyDescent="0.25">
      <c r="A363">
        <v>21</v>
      </c>
      <c r="B363" t="s">
        <v>20</v>
      </c>
      <c r="C363" s="4">
        <v>0.85853009259259261</v>
      </c>
      <c r="D363" s="23">
        <v>0.85857638888888888</v>
      </c>
      <c r="E363" s="23">
        <v>0.92471064814814818</v>
      </c>
      <c r="F363" t="s">
        <v>266</v>
      </c>
      <c r="G363" t="s">
        <v>264</v>
      </c>
      <c r="H363">
        <v>23</v>
      </c>
      <c r="I363" s="24">
        <v>6.6180555555555465E-2</v>
      </c>
      <c r="J363">
        <f t="shared" si="10"/>
        <v>0</v>
      </c>
      <c r="K363">
        <f t="shared" si="11"/>
        <v>0</v>
      </c>
    </row>
    <row r="364" spans="1:11" x14ac:dyDescent="0.25">
      <c r="A364">
        <v>22</v>
      </c>
      <c r="B364" t="s">
        <v>44</v>
      </c>
      <c r="C364" s="4">
        <v>0.85853009259259261</v>
      </c>
      <c r="D364" s="23">
        <v>0.85857638888888888</v>
      </c>
      <c r="E364" s="23">
        <v>0.92471064814814818</v>
      </c>
      <c r="F364" t="s">
        <v>266</v>
      </c>
      <c r="G364" t="s">
        <v>264</v>
      </c>
      <c r="H364">
        <v>23</v>
      </c>
      <c r="I364" s="24">
        <v>6.6180555555555465E-2</v>
      </c>
      <c r="J364">
        <f t="shared" si="10"/>
        <v>0</v>
      </c>
      <c r="K364">
        <f t="shared" si="11"/>
        <v>0</v>
      </c>
    </row>
    <row r="365" spans="1:11" x14ac:dyDescent="0.25">
      <c r="A365">
        <v>23</v>
      </c>
      <c r="B365" t="s">
        <v>99</v>
      </c>
      <c r="C365" s="4">
        <v>0.85853009259259261</v>
      </c>
      <c r="D365" s="23">
        <v>0.86717592592592596</v>
      </c>
      <c r="E365" s="23">
        <v>0.92471064814814818</v>
      </c>
      <c r="F365" t="s">
        <v>263</v>
      </c>
      <c r="G365" t="s">
        <v>264</v>
      </c>
      <c r="H365">
        <v>23</v>
      </c>
      <c r="I365" s="24">
        <v>6.6180555555555465E-2</v>
      </c>
      <c r="J365">
        <f t="shared" si="10"/>
        <v>0</v>
      </c>
      <c r="K365">
        <f t="shared" si="11"/>
        <v>0</v>
      </c>
    </row>
    <row r="366" spans="1:11" x14ac:dyDescent="0.25">
      <c r="A366">
        <v>24</v>
      </c>
      <c r="B366" t="s">
        <v>156</v>
      </c>
      <c r="C366" s="4">
        <v>0.85853009259259261</v>
      </c>
      <c r="D366" s="23">
        <v>0.85857638888888888</v>
      </c>
      <c r="E366" s="23">
        <v>0.92471064814814818</v>
      </c>
      <c r="F366" t="s">
        <v>266</v>
      </c>
      <c r="G366" t="s">
        <v>264</v>
      </c>
      <c r="H366">
        <v>23</v>
      </c>
      <c r="I366" s="24">
        <v>6.6180555555555465E-2</v>
      </c>
      <c r="J366">
        <f t="shared" si="10"/>
        <v>0</v>
      </c>
      <c r="K366">
        <f t="shared" si="11"/>
        <v>0</v>
      </c>
    </row>
    <row r="367" spans="1:11" x14ac:dyDescent="0.25">
      <c r="A367">
        <v>25</v>
      </c>
      <c r="B367" t="s">
        <v>238</v>
      </c>
      <c r="C367" s="4">
        <v>0.85853009259259261</v>
      </c>
      <c r="D367" s="23">
        <v>0.85857638888888888</v>
      </c>
      <c r="E367" s="23">
        <v>0.92471064814814818</v>
      </c>
      <c r="F367" t="s">
        <v>266</v>
      </c>
      <c r="G367" t="s">
        <v>264</v>
      </c>
      <c r="H367">
        <v>23</v>
      </c>
      <c r="I367" s="24">
        <v>6.6180555555555465E-2</v>
      </c>
      <c r="J367">
        <f t="shared" si="10"/>
        <v>0</v>
      </c>
      <c r="K367">
        <f t="shared" si="11"/>
        <v>0</v>
      </c>
    </row>
    <row r="368" spans="1:11" x14ac:dyDescent="0.25">
      <c r="A368">
        <v>26</v>
      </c>
      <c r="B368" t="s">
        <v>22</v>
      </c>
      <c r="C368" s="4">
        <v>0.85853009259259261</v>
      </c>
      <c r="D368" s="23">
        <v>0.86717592592592596</v>
      </c>
      <c r="E368" s="23">
        <v>0.92471064814814818</v>
      </c>
      <c r="F368" t="s">
        <v>263</v>
      </c>
      <c r="G368" t="s">
        <v>264</v>
      </c>
      <c r="H368">
        <v>23</v>
      </c>
      <c r="I368" s="24">
        <v>6.6180555555555465E-2</v>
      </c>
      <c r="J368">
        <f t="shared" si="10"/>
        <v>0</v>
      </c>
      <c r="K368">
        <f t="shared" si="11"/>
        <v>0</v>
      </c>
    </row>
    <row r="369" spans="1:11" x14ac:dyDescent="0.25">
      <c r="A369">
        <v>27</v>
      </c>
      <c r="B369" t="s">
        <v>46</v>
      </c>
      <c r="C369" s="4">
        <v>0.85853009259259261</v>
      </c>
      <c r="D369" s="23">
        <v>0.85857638888888888</v>
      </c>
      <c r="E369" s="23">
        <v>0.92471064814814818</v>
      </c>
      <c r="F369" t="s">
        <v>266</v>
      </c>
      <c r="G369" t="s">
        <v>264</v>
      </c>
      <c r="H369">
        <v>23</v>
      </c>
      <c r="I369" s="24">
        <v>6.6180555555555465E-2</v>
      </c>
      <c r="J369">
        <f t="shared" si="10"/>
        <v>0</v>
      </c>
      <c r="K369">
        <f t="shared" si="11"/>
        <v>0</v>
      </c>
    </row>
    <row r="370" spans="1:11" x14ac:dyDescent="0.25">
      <c r="A370">
        <v>28</v>
      </c>
      <c r="B370" t="s">
        <v>100</v>
      </c>
      <c r="C370" s="4">
        <v>0.85853009259259261</v>
      </c>
      <c r="D370" s="23">
        <v>0.85857638888888888</v>
      </c>
      <c r="E370" s="23">
        <v>0.92471064814814818</v>
      </c>
      <c r="F370" t="s">
        <v>266</v>
      </c>
      <c r="G370" t="s">
        <v>264</v>
      </c>
      <c r="H370">
        <v>23</v>
      </c>
      <c r="I370" s="24">
        <v>6.6180555555555465E-2</v>
      </c>
      <c r="J370">
        <f t="shared" si="10"/>
        <v>0</v>
      </c>
      <c r="K370">
        <f t="shared" si="11"/>
        <v>0</v>
      </c>
    </row>
    <row r="371" spans="1:11" x14ac:dyDescent="0.25">
      <c r="A371">
        <v>29</v>
      </c>
      <c r="B371" t="s">
        <v>49</v>
      </c>
      <c r="C371" s="4">
        <v>0.85853009259259261</v>
      </c>
      <c r="D371" s="23">
        <v>0.85857638888888888</v>
      </c>
      <c r="E371" s="23">
        <v>0.92471064814814818</v>
      </c>
      <c r="F371" t="s">
        <v>266</v>
      </c>
      <c r="G371" t="s">
        <v>264</v>
      </c>
      <c r="H371">
        <v>23</v>
      </c>
      <c r="I371" s="24">
        <v>6.6180555555555465E-2</v>
      </c>
      <c r="J371">
        <f t="shared" si="10"/>
        <v>0</v>
      </c>
      <c r="K371">
        <f t="shared" si="11"/>
        <v>0</v>
      </c>
    </row>
    <row r="372" spans="1:11" x14ac:dyDescent="0.25">
      <c r="A372">
        <v>30</v>
      </c>
      <c r="B372" t="s">
        <v>268</v>
      </c>
      <c r="C372" s="4">
        <v>0.85853009259259261</v>
      </c>
      <c r="D372" s="23">
        <v>0.85857638888888888</v>
      </c>
      <c r="E372" s="23">
        <v>0.92471064814814818</v>
      </c>
      <c r="F372" t="s">
        <v>266</v>
      </c>
      <c r="G372" t="s">
        <v>264</v>
      </c>
      <c r="H372">
        <v>23</v>
      </c>
      <c r="I372" s="24">
        <v>6.6180555555555465E-2</v>
      </c>
      <c r="J372">
        <f t="shared" si="10"/>
        <v>0</v>
      </c>
      <c r="K372">
        <f t="shared" si="11"/>
        <v>0</v>
      </c>
    </row>
    <row r="373" spans="1:11" x14ac:dyDescent="0.25">
      <c r="A373">
        <v>31</v>
      </c>
      <c r="B373" t="s">
        <v>200</v>
      </c>
      <c r="C373" s="4">
        <v>0.85853009259259261</v>
      </c>
      <c r="D373" s="23">
        <v>0.85857638888888888</v>
      </c>
      <c r="E373" s="23">
        <v>0.92471064814814818</v>
      </c>
      <c r="F373" t="s">
        <v>266</v>
      </c>
      <c r="G373" t="s">
        <v>264</v>
      </c>
      <c r="H373">
        <v>23</v>
      </c>
      <c r="I373" s="24">
        <v>6.6180555555555465E-2</v>
      </c>
      <c r="J373">
        <f t="shared" si="10"/>
        <v>0</v>
      </c>
      <c r="K373">
        <f t="shared" si="11"/>
        <v>0</v>
      </c>
    </row>
    <row r="374" spans="1:11" x14ac:dyDescent="0.25">
      <c r="A374">
        <v>32</v>
      </c>
      <c r="B374" t="s">
        <v>25</v>
      </c>
      <c r="C374" s="4">
        <v>0.85853009259259261</v>
      </c>
      <c r="D374" s="23">
        <v>0.85857638888888888</v>
      </c>
      <c r="E374" s="23">
        <v>0.92471064814814818</v>
      </c>
      <c r="F374" t="s">
        <v>266</v>
      </c>
      <c r="G374" t="s">
        <v>264</v>
      </c>
      <c r="H374">
        <v>23</v>
      </c>
      <c r="I374" s="24">
        <v>6.6180555555555465E-2</v>
      </c>
      <c r="J374">
        <f t="shared" si="10"/>
        <v>0</v>
      </c>
      <c r="K374">
        <f t="shared" si="11"/>
        <v>0</v>
      </c>
    </row>
    <row r="375" spans="1:11" x14ac:dyDescent="0.25">
      <c r="A375">
        <v>33</v>
      </c>
      <c r="B375" t="s">
        <v>50</v>
      </c>
      <c r="C375" s="4">
        <v>0.85853009259259261</v>
      </c>
      <c r="D375" s="23">
        <v>0.86717592592592596</v>
      </c>
      <c r="E375" s="23">
        <v>0.92471064814814818</v>
      </c>
      <c r="F375" t="s">
        <v>263</v>
      </c>
      <c r="G375" t="s">
        <v>264</v>
      </c>
      <c r="H375">
        <v>23</v>
      </c>
      <c r="I375" s="24">
        <v>6.6180555555555465E-2</v>
      </c>
      <c r="J375">
        <f t="shared" si="10"/>
        <v>0</v>
      </c>
      <c r="K375">
        <f t="shared" si="11"/>
        <v>0</v>
      </c>
    </row>
    <row r="376" spans="1:11" x14ac:dyDescent="0.25">
      <c r="A376">
        <v>34</v>
      </c>
      <c r="B376" t="s">
        <v>62</v>
      </c>
      <c r="C376" s="4">
        <v>0.85853009259259261</v>
      </c>
      <c r="D376" s="23">
        <v>0.85857638888888888</v>
      </c>
      <c r="E376" s="23">
        <v>0.92471064814814818</v>
      </c>
      <c r="F376" t="s">
        <v>266</v>
      </c>
      <c r="G376" t="s">
        <v>264</v>
      </c>
      <c r="H376">
        <v>23</v>
      </c>
      <c r="I376" s="24">
        <v>6.6180555555555465E-2</v>
      </c>
      <c r="J376">
        <f t="shared" si="10"/>
        <v>0</v>
      </c>
      <c r="K376">
        <f t="shared" si="11"/>
        <v>0</v>
      </c>
    </row>
    <row r="377" spans="1:11" x14ac:dyDescent="0.25">
      <c r="A377">
        <v>35</v>
      </c>
      <c r="B377" t="s">
        <v>83</v>
      </c>
      <c r="C377" s="4">
        <v>0.85853009259259261</v>
      </c>
      <c r="D377" s="23">
        <v>0.85857638888888888</v>
      </c>
      <c r="E377" s="23">
        <v>0.92471064814814818</v>
      </c>
      <c r="F377" t="s">
        <v>266</v>
      </c>
      <c r="G377" t="s">
        <v>264</v>
      </c>
      <c r="H377">
        <v>23</v>
      </c>
      <c r="I377" s="24">
        <v>6.6180555555555465E-2</v>
      </c>
      <c r="J377">
        <f t="shared" ref="J377:J439" si="12">IF(AND(H377&gt;=1,H377&lt;=7),1,0)</f>
        <v>0</v>
      </c>
      <c r="K377">
        <f t="shared" ref="K377:K439" si="13">IF(AND(H377&gt;=30,H377&lt;=36),1,0)</f>
        <v>0</v>
      </c>
    </row>
    <row r="378" spans="1:11" x14ac:dyDescent="0.25">
      <c r="A378">
        <v>36</v>
      </c>
      <c r="B378" t="s">
        <v>85</v>
      </c>
      <c r="C378" s="4">
        <v>0.85853009259259261</v>
      </c>
      <c r="D378" s="23">
        <v>0.85857638888888888</v>
      </c>
      <c r="E378" s="23">
        <v>0.92471064814814818</v>
      </c>
      <c r="F378" t="s">
        <v>266</v>
      </c>
      <c r="G378" t="s">
        <v>264</v>
      </c>
      <c r="H378">
        <v>23</v>
      </c>
      <c r="I378" s="24">
        <v>6.6180555555555465E-2</v>
      </c>
      <c r="J378">
        <f t="shared" si="12"/>
        <v>0</v>
      </c>
      <c r="K378">
        <f t="shared" si="13"/>
        <v>0</v>
      </c>
    </row>
    <row r="379" spans="1:11" x14ac:dyDescent="0.25">
      <c r="A379">
        <v>37</v>
      </c>
      <c r="B379" t="s">
        <v>134</v>
      </c>
      <c r="C379" s="4">
        <v>0.85853009259259261</v>
      </c>
      <c r="D379" s="23">
        <v>0.85857638888888888</v>
      </c>
      <c r="E379" s="23">
        <v>0.92471064814814818</v>
      </c>
      <c r="F379" t="s">
        <v>266</v>
      </c>
      <c r="G379" t="s">
        <v>264</v>
      </c>
      <c r="H379">
        <v>23</v>
      </c>
      <c r="I379" s="24">
        <v>6.6180555555555465E-2</v>
      </c>
      <c r="J379">
        <f t="shared" si="12"/>
        <v>0</v>
      </c>
      <c r="K379">
        <f t="shared" si="13"/>
        <v>0</v>
      </c>
    </row>
    <row r="380" spans="1:11" x14ac:dyDescent="0.25">
      <c r="A380">
        <v>38</v>
      </c>
      <c r="B380" t="s">
        <v>53</v>
      </c>
      <c r="C380" s="4">
        <v>0.85853009259259261</v>
      </c>
      <c r="D380" s="23">
        <v>0.86717592592592596</v>
      </c>
      <c r="E380" s="23">
        <v>0.92471064814814818</v>
      </c>
      <c r="F380" t="s">
        <v>263</v>
      </c>
      <c r="G380" t="s">
        <v>264</v>
      </c>
      <c r="H380">
        <v>23</v>
      </c>
      <c r="I380" s="24">
        <v>6.6180555555555465E-2</v>
      </c>
      <c r="J380">
        <f t="shared" si="12"/>
        <v>0</v>
      </c>
      <c r="K380">
        <f t="shared" si="13"/>
        <v>0</v>
      </c>
    </row>
    <row r="381" spans="1:11" x14ac:dyDescent="0.25">
      <c r="A381">
        <v>39</v>
      </c>
      <c r="B381" t="s">
        <v>262</v>
      </c>
      <c r="C381" s="4">
        <v>0.85853009259259261</v>
      </c>
      <c r="D381" s="23">
        <v>0.86717592592592596</v>
      </c>
      <c r="E381" s="23">
        <v>0.92471064814814818</v>
      </c>
      <c r="F381" t="s">
        <v>263</v>
      </c>
      <c r="G381" t="s">
        <v>264</v>
      </c>
      <c r="H381">
        <v>23</v>
      </c>
      <c r="I381" s="24">
        <v>6.6180555555555465E-2</v>
      </c>
      <c r="J381">
        <f t="shared" si="12"/>
        <v>0</v>
      </c>
      <c r="K381">
        <f t="shared" si="13"/>
        <v>0</v>
      </c>
    </row>
    <row r="382" spans="1:11" x14ac:dyDescent="0.25">
      <c r="A382">
        <v>40</v>
      </c>
      <c r="B382" t="s">
        <v>54</v>
      </c>
      <c r="C382" s="4">
        <v>0.85853009259259261</v>
      </c>
      <c r="D382" s="23">
        <v>0.86717592592592596</v>
      </c>
      <c r="E382" s="23">
        <v>0.92471064814814818</v>
      </c>
      <c r="F382" t="s">
        <v>263</v>
      </c>
      <c r="G382" t="s">
        <v>264</v>
      </c>
      <c r="H382">
        <v>23</v>
      </c>
      <c r="I382" s="24">
        <v>6.6180555555555465E-2</v>
      </c>
      <c r="J382">
        <f t="shared" si="12"/>
        <v>0</v>
      </c>
      <c r="K382">
        <f t="shared" si="13"/>
        <v>0</v>
      </c>
    </row>
    <row r="383" spans="1:11" x14ac:dyDescent="0.25">
      <c r="A383">
        <v>41</v>
      </c>
      <c r="B383" t="s">
        <v>27</v>
      </c>
      <c r="C383" s="4">
        <v>0.85853009259259261</v>
      </c>
      <c r="D383" s="23">
        <v>0.85857638888888888</v>
      </c>
      <c r="E383" s="23">
        <v>0.92471064814814818</v>
      </c>
      <c r="F383" t="s">
        <v>266</v>
      </c>
      <c r="G383" t="s">
        <v>264</v>
      </c>
      <c r="H383">
        <v>23</v>
      </c>
      <c r="I383" s="24">
        <v>6.6180555555555465E-2</v>
      </c>
      <c r="J383">
        <f t="shared" si="12"/>
        <v>0</v>
      </c>
      <c r="K383">
        <f t="shared" si="13"/>
        <v>0</v>
      </c>
    </row>
    <row r="384" spans="1:11" x14ac:dyDescent="0.25">
      <c r="A384">
        <v>1</v>
      </c>
      <c r="B384" t="s">
        <v>29</v>
      </c>
      <c r="C384" s="4">
        <v>0.86143518518518514</v>
      </c>
      <c r="D384" s="23">
        <v>0.86148148148148151</v>
      </c>
      <c r="E384" s="23">
        <v>0.95283564814814814</v>
      </c>
      <c r="F384" t="s">
        <v>269</v>
      </c>
      <c r="G384" t="s">
        <v>270</v>
      </c>
      <c r="H384">
        <v>22</v>
      </c>
      <c r="I384" s="24">
        <v>9.1400462962963003E-2</v>
      </c>
      <c r="J384">
        <f t="shared" si="12"/>
        <v>0</v>
      </c>
      <c r="K384">
        <f t="shared" si="13"/>
        <v>0</v>
      </c>
    </row>
    <row r="385" spans="1:11" x14ac:dyDescent="0.25">
      <c r="A385">
        <v>2</v>
      </c>
      <c r="B385" t="s">
        <v>5</v>
      </c>
      <c r="C385" s="4">
        <v>0.86143518518518514</v>
      </c>
      <c r="D385" s="23">
        <v>0.86148148148148151</v>
      </c>
      <c r="E385" s="23">
        <v>0.95283564814814814</v>
      </c>
      <c r="F385" t="s">
        <v>272</v>
      </c>
      <c r="G385" t="s">
        <v>270</v>
      </c>
      <c r="H385">
        <v>22</v>
      </c>
      <c r="I385" s="24">
        <v>9.1400462962963003E-2</v>
      </c>
      <c r="J385">
        <f t="shared" si="12"/>
        <v>0</v>
      </c>
      <c r="K385">
        <f t="shared" si="13"/>
        <v>0</v>
      </c>
    </row>
    <row r="386" spans="1:11" x14ac:dyDescent="0.25">
      <c r="A386">
        <v>3</v>
      </c>
      <c r="B386" t="s">
        <v>9</v>
      </c>
      <c r="C386" s="4">
        <v>0.86143518518518514</v>
      </c>
      <c r="D386" s="23">
        <v>0.86148148148148151</v>
      </c>
      <c r="E386" s="23">
        <v>0.95283564814814814</v>
      </c>
      <c r="F386" t="s">
        <v>273</v>
      </c>
      <c r="G386" t="s">
        <v>270</v>
      </c>
      <c r="H386">
        <v>22</v>
      </c>
      <c r="I386" s="24">
        <v>9.1400462962963003E-2</v>
      </c>
      <c r="J386">
        <f t="shared" si="12"/>
        <v>0</v>
      </c>
      <c r="K386">
        <f t="shared" si="13"/>
        <v>0</v>
      </c>
    </row>
    <row r="387" spans="1:11" x14ac:dyDescent="0.25">
      <c r="A387">
        <v>4</v>
      </c>
      <c r="B387" t="s">
        <v>11</v>
      </c>
      <c r="C387" s="4">
        <v>0.86143518518518514</v>
      </c>
      <c r="D387" s="23">
        <v>0.86148148148148151</v>
      </c>
      <c r="E387" s="23">
        <v>0.95283564814814814</v>
      </c>
      <c r="F387" t="s">
        <v>274</v>
      </c>
      <c r="G387" t="s">
        <v>270</v>
      </c>
      <c r="H387">
        <v>22</v>
      </c>
      <c r="I387" s="24">
        <v>9.1400462962963003E-2</v>
      </c>
      <c r="J387">
        <f t="shared" si="12"/>
        <v>0</v>
      </c>
      <c r="K387">
        <f t="shared" si="13"/>
        <v>0</v>
      </c>
    </row>
    <row r="388" spans="1:11" x14ac:dyDescent="0.25">
      <c r="A388">
        <v>5</v>
      </c>
      <c r="B388" t="s">
        <v>35</v>
      </c>
      <c r="C388" s="4">
        <v>0.86143518518518514</v>
      </c>
      <c r="D388" s="23">
        <v>0.86148148148148151</v>
      </c>
      <c r="E388" s="23">
        <v>0.95283564814814814</v>
      </c>
      <c r="F388" t="s">
        <v>155</v>
      </c>
      <c r="G388" t="s">
        <v>270</v>
      </c>
      <c r="H388">
        <v>22</v>
      </c>
      <c r="I388" s="24">
        <v>9.1400462962963003E-2</v>
      </c>
      <c r="J388">
        <f t="shared" si="12"/>
        <v>0</v>
      </c>
      <c r="K388">
        <f t="shared" si="13"/>
        <v>0</v>
      </c>
    </row>
    <row r="389" spans="1:11" x14ac:dyDescent="0.25">
      <c r="A389">
        <v>7</v>
      </c>
      <c r="B389" t="s">
        <v>70</v>
      </c>
      <c r="C389" s="4">
        <v>0.86143518518518514</v>
      </c>
      <c r="D389" s="23">
        <v>0.86148148148148151</v>
      </c>
      <c r="E389" s="23">
        <v>0.95283564814814814</v>
      </c>
      <c r="F389" t="s">
        <v>275</v>
      </c>
      <c r="G389" t="s">
        <v>270</v>
      </c>
      <c r="H389">
        <v>22</v>
      </c>
      <c r="I389" s="24">
        <v>9.1400462962963003E-2</v>
      </c>
      <c r="J389">
        <f t="shared" si="12"/>
        <v>0</v>
      </c>
      <c r="K389">
        <f t="shared" si="13"/>
        <v>0</v>
      </c>
    </row>
    <row r="390" spans="1:11" x14ac:dyDescent="0.25">
      <c r="A390">
        <v>8</v>
      </c>
      <c r="B390" t="s">
        <v>59</v>
      </c>
      <c r="C390" s="4">
        <v>0.86143518518518514</v>
      </c>
      <c r="D390" s="23">
        <v>0.86148148148148151</v>
      </c>
      <c r="E390" s="23">
        <v>0.95283564814814814</v>
      </c>
      <c r="F390" t="s">
        <v>275</v>
      </c>
      <c r="G390" t="s">
        <v>270</v>
      </c>
      <c r="H390">
        <v>22</v>
      </c>
      <c r="I390" s="24">
        <v>9.1400462962963003E-2</v>
      </c>
      <c r="J390">
        <f t="shared" si="12"/>
        <v>0</v>
      </c>
      <c r="K390">
        <f t="shared" si="13"/>
        <v>0</v>
      </c>
    </row>
    <row r="391" spans="1:11" x14ac:dyDescent="0.25">
      <c r="A391">
        <v>9</v>
      </c>
      <c r="B391" t="s">
        <v>97</v>
      </c>
      <c r="C391" s="4">
        <v>0.86143518518518514</v>
      </c>
      <c r="D391" s="23">
        <v>0.86148148148148151</v>
      </c>
      <c r="E391" s="23">
        <v>0.95283564814814814</v>
      </c>
      <c r="F391" t="s">
        <v>275</v>
      </c>
      <c r="G391" t="s">
        <v>270</v>
      </c>
      <c r="H391">
        <v>22</v>
      </c>
      <c r="I391" s="24">
        <v>9.1400462962963003E-2</v>
      </c>
      <c r="J391">
        <f t="shared" si="12"/>
        <v>0</v>
      </c>
      <c r="K391">
        <f t="shared" si="13"/>
        <v>0</v>
      </c>
    </row>
    <row r="392" spans="1:11" x14ac:dyDescent="0.25">
      <c r="A392">
        <v>10</v>
      </c>
      <c r="B392" t="s">
        <v>181</v>
      </c>
      <c r="C392" s="4">
        <v>0.86143518518518514</v>
      </c>
      <c r="D392" s="23">
        <v>0.86148148148148151</v>
      </c>
      <c r="E392" s="23">
        <v>0.95283564814814814</v>
      </c>
      <c r="F392" t="s">
        <v>276</v>
      </c>
      <c r="G392" t="s">
        <v>270</v>
      </c>
      <c r="H392">
        <v>22</v>
      </c>
      <c r="I392" s="24">
        <v>9.1400462962963003E-2</v>
      </c>
      <c r="J392">
        <f t="shared" si="12"/>
        <v>0</v>
      </c>
      <c r="K392">
        <f t="shared" si="13"/>
        <v>0</v>
      </c>
    </row>
    <row r="393" spans="1:11" x14ac:dyDescent="0.25">
      <c r="A393">
        <v>11</v>
      </c>
      <c r="B393" t="s">
        <v>36</v>
      </c>
      <c r="C393" s="4">
        <v>0.86143518518518514</v>
      </c>
      <c r="D393" s="23">
        <v>0.86148148148148151</v>
      </c>
      <c r="E393" s="23">
        <v>0.95283564814814814</v>
      </c>
      <c r="F393" t="s">
        <v>275</v>
      </c>
      <c r="G393" t="s">
        <v>270</v>
      </c>
      <c r="H393">
        <v>22</v>
      </c>
      <c r="I393" s="24">
        <v>9.1400462962963003E-2</v>
      </c>
      <c r="J393">
        <f t="shared" si="12"/>
        <v>0</v>
      </c>
      <c r="K393">
        <f t="shared" si="13"/>
        <v>0</v>
      </c>
    </row>
    <row r="394" spans="1:11" x14ac:dyDescent="0.25">
      <c r="A394">
        <v>12</v>
      </c>
      <c r="B394" t="s">
        <v>37</v>
      </c>
      <c r="C394" s="4">
        <v>0.86143518518518514</v>
      </c>
      <c r="D394" s="23">
        <v>0.86148148148148151</v>
      </c>
      <c r="E394" s="23">
        <v>0.95283564814814814</v>
      </c>
      <c r="F394" t="s">
        <v>274</v>
      </c>
      <c r="G394" t="s">
        <v>270</v>
      </c>
      <c r="H394">
        <v>22</v>
      </c>
      <c r="I394" s="24">
        <v>9.1400462962963003E-2</v>
      </c>
      <c r="J394">
        <f t="shared" si="12"/>
        <v>0</v>
      </c>
      <c r="K394">
        <f t="shared" si="13"/>
        <v>0</v>
      </c>
    </row>
    <row r="395" spans="1:11" x14ac:dyDescent="0.25">
      <c r="A395">
        <v>13</v>
      </c>
      <c r="B395" t="s">
        <v>16</v>
      </c>
      <c r="C395" s="4">
        <v>0.86143518518518514</v>
      </c>
      <c r="D395" s="23">
        <v>0.86148148148148151</v>
      </c>
      <c r="E395" s="23">
        <v>0.95283564814814814</v>
      </c>
      <c r="F395" t="s">
        <v>277</v>
      </c>
      <c r="G395" t="s">
        <v>270</v>
      </c>
      <c r="H395">
        <v>22</v>
      </c>
      <c r="I395" s="24">
        <v>9.1400462962963003E-2</v>
      </c>
      <c r="J395">
        <f t="shared" si="12"/>
        <v>0</v>
      </c>
      <c r="K395">
        <f t="shared" si="13"/>
        <v>0</v>
      </c>
    </row>
    <row r="396" spans="1:11" x14ac:dyDescent="0.25">
      <c r="A396">
        <v>14</v>
      </c>
      <c r="B396" t="s">
        <v>186</v>
      </c>
      <c r="C396" s="4">
        <v>0.86143518518518514</v>
      </c>
      <c r="D396" s="23">
        <v>0.86148148148148151</v>
      </c>
      <c r="E396" s="23">
        <v>0.95283564814814814</v>
      </c>
      <c r="F396" t="s">
        <v>278</v>
      </c>
      <c r="G396" t="s">
        <v>270</v>
      </c>
      <c r="H396">
        <v>22</v>
      </c>
      <c r="I396" s="24">
        <v>9.1400462962963003E-2</v>
      </c>
      <c r="J396">
        <f t="shared" si="12"/>
        <v>0</v>
      </c>
      <c r="K396">
        <f t="shared" si="13"/>
        <v>0</v>
      </c>
    </row>
    <row r="397" spans="1:11" x14ac:dyDescent="0.25">
      <c r="A397">
        <v>15</v>
      </c>
      <c r="B397" t="s">
        <v>18</v>
      </c>
      <c r="C397" s="4">
        <v>0.86143518518518514</v>
      </c>
      <c r="D397" s="23">
        <v>0.86148148148148151</v>
      </c>
      <c r="E397" s="23">
        <v>0.95283564814814814</v>
      </c>
      <c r="F397" t="s">
        <v>279</v>
      </c>
      <c r="G397" t="s">
        <v>270</v>
      </c>
      <c r="H397">
        <v>22</v>
      </c>
      <c r="I397" s="24">
        <v>9.1400462962963003E-2</v>
      </c>
      <c r="J397">
        <f t="shared" si="12"/>
        <v>0</v>
      </c>
      <c r="K397">
        <f t="shared" si="13"/>
        <v>0</v>
      </c>
    </row>
    <row r="398" spans="1:11" x14ac:dyDescent="0.25">
      <c r="A398">
        <v>16</v>
      </c>
      <c r="B398" t="s">
        <v>41</v>
      </c>
      <c r="C398" s="4">
        <v>0.86143518518518514</v>
      </c>
      <c r="D398" s="23">
        <v>0.86148148148148151</v>
      </c>
      <c r="E398" s="23">
        <v>0.95283564814814814</v>
      </c>
      <c r="F398" t="s">
        <v>280</v>
      </c>
      <c r="G398" t="s">
        <v>270</v>
      </c>
      <c r="H398">
        <v>22</v>
      </c>
      <c r="I398" s="24">
        <v>9.1400462962963003E-2</v>
      </c>
      <c r="J398">
        <f t="shared" si="12"/>
        <v>0</v>
      </c>
      <c r="K398">
        <f t="shared" si="13"/>
        <v>0</v>
      </c>
    </row>
    <row r="399" spans="1:11" x14ac:dyDescent="0.25">
      <c r="A399">
        <v>17</v>
      </c>
      <c r="B399" t="s">
        <v>60</v>
      </c>
      <c r="C399" s="4">
        <v>0.86143518518518514</v>
      </c>
      <c r="D399" s="23">
        <v>0.86148148148148151</v>
      </c>
      <c r="E399" s="23">
        <v>0.95283564814814814</v>
      </c>
      <c r="F399" t="s">
        <v>275</v>
      </c>
      <c r="G399" t="s">
        <v>270</v>
      </c>
      <c r="H399">
        <v>22</v>
      </c>
      <c r="I399" s="24">
        <v>9.1400462962963003E-2</v>
      </c>
      <c r="J399">
        <f t="shared" si="12"/>
        <v>0</v>
      </c>
      <c r="K399">
        <f t="shared" si="13"/>
        <v>0</v>
      </c>
    </row>
    <row r="400" spans="1:11" x14ac:dyDescent="0.25">
      <c r="A400">
        <v>18</v>
      </c>
      <c r="B400" t="s">
        <v>20</v>
      </c>
      <c r="C400" s="4">
        <v>0.86143518518518514</v>
      </c>
      <c r="D400" s="23">
        <v>0.86148148148148151</v>
      </c>
      <c r="E400" s="23">
        <v>0.95283564814814814</v>
      </c>
      <c r="F400" t="s">
        <v>277</v>
      </c>
      <c r="G400" t="s">
        <v>270</v>
      </c>
      <c r="H400">
        <v>22</v>
      </c>
      <c r="I400" s="24">
        <v>9.1400462962963003E-2</v>
      </c>
      <c r="J400">
        <f t="shared" si="12"/>
        <v>0</v>
      </c>
      <c r="K400">
        <f t="shared" si="13"/>
        <v>0</v>
      </c>
    </row>
    <row r="401" spans="1:11" x14ac:dyDescent="0.25">
      <c r="A401">
        <v>19</v>
      </c>
      <c r="B401" t="s">
        <v>44</v>
      </c>
      <c r="C401" s="4">
        <v>0.86143518518518514</v>
      </c>
      <c r="D401" s="23">
        <v>0.86148148148148151</v>
      </c>
      <c r="E401" s="23">
        <v>0.95283564814814814</v>
      </c>
      <c r="F401" t="s">
        <v>281</v>
      </c>
      <c r="G401" t="s">
        <v>270</v>
      </c>
      <c r="H401">
        <v>22</v>
      </c>
      <c r="I401" s="24">
        <v>9.1400462962963003E-2</v>
      </c>
      <c r="J401">
        <f t="shared" si="12"/>
        <v>0</v>
      </c>
      <c r="K401">
        <f t="shared" si="13"/>
        <v>0</v>
      </c>
    </row>
    <row r="402" spans="1:11" x14ac:dyDescent="0.25">
      <c r="A402">
        <v>20</v>
      </c>
      <c r="B402" t="s">
        <v>99</v>
      </c>
      <c r="C402" s="4">
        <v>0.86143518518518514</v>
      </c>
      <c r="D402" s="23">
        <v>0.9152893518518519</v>
      </c>
      <c r="E402" s="23">
        <v>0.95283564814814814</v>
      </c>
      <c r="F402" t="s">
        <v>282</v>
      </c>
      <c r="G402" t="s">
        <v>270</v>
      </c>
      <c r="H402">
        <v>22</v>
      </c>
      <c r="I402" s="24">
        <v>9.1400462962963003E-2</v>
      </c>
      <c r="J402">
        <f t="shared" si="12"/>
        <v>0</v>
      </c>
      <c r="K402">
        <f t="shared" si="13"/>
        <v>0</v>
      </c>
    </row>
    <row r="403" spans="1:11" x14ac:dyDescent="0.25">
      <c r="A403">
        <v>21</v>
      </c>
      <c r="B403" t="s">
        <v>156</v>
      </c>
      <c r="C403" s="4">
        <v>0.86143518518518514</v>
      </c>
      <c r="D403" s="23">
        <v>0.86148148148148151</v>
      </c>
      <c r="E403" s="23">
        <v>0.95283564814814814</v>
      </c>
      <c r="F403" t="s">
        <v>275</v>
      </c>
      <c r="G403" t="s">
        <v>270</v>
      </c>
      <c r="H403">
        <v>22</v>
      </c>
      <c r="I403" s="24">
        <v>9.1400462962963003E-2</v>
      </c>
      <c r="J403">
        <f t="shared" si="12"/>
        <v>0</v>
      </c>
      <c r="K403">
        <f t="shared" si="13"/>
        <v>0</v>
      </c>
    </row>
    <row r="404" spans="1:11" x14ac:dyDescent="0.25">
      <c r="A404">
        <v>22</v>
      </c>
      <c r="B404" t="s">
        <v>22</v>
      </c>
      <c r="C404" s="4">
        <v>0.86143518518518514</v>
      </c>
      <c r="D404" s="23">
        <v>0.86148148148148151</v>
      </c>
      <c r="E404" s="23">
        <v>0.95283564814814814</v>
      </c>
      <c r="F404" t="s">
        <v>277</v>
      </c>
      <c r="G404" t="s">
        <v>270</v>
      </c>
      <c r="H404">
        <v>22</v>
      </c>
      <c r="I404" s="24">
        <v>9.1400462962963003E-2</v>
      </c>
      <c r="J404">
        <f t="shared" si="12"/>
        <v>0</v>
      </c>
      <c r="K404">
        <f t="shared" si="13"/>
        <v>0</v>
      </c>
    </row>
    <row r="405" spans="1:11" x14ac:dyDescent="0.25">
      <c r="A405">
        <v>23</v>
      </c>
      <c r="B405" t="s">
        <v>46</v>
      </c>
      <c r="C405" s="4">
        <v>0.86143518518518514</v>
      </c>
      <c r="D405" s="23">
        <v>0.9152893518518519</v>
      </c>
      <c r="E405" s="23">
        <v>0.95283564814814814</v>
      </c>
      <c r="F405" t="s">
        <v>282</v>
      </c>
      <c r="G405" t="s">
        <v>270</v>
      </c>
      <c r="H405">
        <v>22</v>
      </c>
      <c r="I405" s="24">
        <v>9.1400462962963003E-2</v>
      </c>
      <c r="J405">
        <f t="shared" si="12"/>
        <v>0</v>
      </c>
      <c r="K405">
        <f t="shared" si="13"/>
        <v>0</v>
      </c>
    </row>
    <row r="406" spans="1:11" x14ac:dyDescent="0.25">
      <c r="A406">
        <v>24</v>
      </c>
      <c r="B406" t="s">
        <v>23</v>
      </c>
      <c r="C406" s="4">
        <v>0.86143518518518514</v>
      </c>
      <c r="D406" s="23">
        <v>0.86148148148148151</v>
      </c>
      <c r="E406" s="23">
        <v>0.95283564814814814</v>
      </c>
      <c r="F406" t="s">
        <v>283</v>
      </c>
      <c r="G406" t="s">
        <v>270</v>
      </c>
      <c r="H406">
        <v>22</v>
      </c>
      <c r="I406" s="24">
        <v>9.1400462962963003E-2</v>
      </c>
      <c r="J406">
        <f t="shared" si="12"/>
        <v>0</v>
      </c>
      <c r="K406">
        <f t="shared" si="13"/>
        <v>0</v>
      </c>
    </row>
    <row r="407" spans="1:11" x14ac:dyDescent="0.25">
      <c r="A407">
        <v>25</v>
      </c>
      <c r="B407" t="s">
        <v>25</v>
      </c>
      <c r="C407" s="4">
        <v>0.86143518518518514</v>
      </c>
      <c r="D407" s="23">
        <v>0.86148148148148151</v>
      </c>
      <c r="E407" s="23">
        <v>0.95283564814814814</v>
      </c>
      <c r="F407" t="s">
        <v>284</v>
      </c>
      <c r="G407" t="s">
        <v>270</v>
      </c>
      <c r="H407">
        <v>22</v>
      </c>
      <c r="I407" s="24">
        <v>9.1400462962963003E-2</v>
      </c>
      <c r="J407">
        <f t="shared" si="12"/>
        <v>0</v>
      </c>
      <c r="K407">
        <f t="shared" si="13"/>
        <v>0</v>
      </c>
    </row>
    <row r="408" spans="1:11" x14ac:dyDescent="0.25">
      <c r="A408">
        <v>26</v>
      </c>
      <c r="B408" t="s">
        <v>193</v>
      </c>
      <c r="C408" s="4">
        <v>0.86143518518518514</v>
      </c>
      <c r="D408" s="23">
        <v>0.9152893518518519</v>
      </c>
      <c r="E408" s="23">
        <v>0.95283564814814814</v>
      </c>
      <c r="F408" t="s">
        <v>285</v>
      </c>
      <c r="G408" t="s">
        <v>270</v>
      </c>
      <c r="H408">
        <v>22</v>
      </c>
      <c r="I408" s="24">
        <v>9.1400462962963003E-2</v>
      </c>
      <c r="J408">
        <f t="shared" si="12"/>
        <v>0</v>
      </c>
      <c r="K408">
        <f t="shared" si="13"/>
        <v>0</v>
      </c>
    </row>
    <row r="409" spans="1:11" x14ac:dyDescent="0.25">
      <c r="A409">
        <v>27</v>
      </c>
      <c r="B409" t="s">
        <v>50</v>
      </c>
      <c r="C409" s="4">
        <v>0.86143518518518514</v>
      </c>
      <c r="D409" s="23">
        <v>0.86148148148148151</v>
      </c>
      <c r="E409" s="23">
        <v>0.95283564814814814</v>
      </c>
      <c r="F409" t="s">
        <v>275</v>
      </c>
      <c r="G409" t="s">
        <v>270</v>
      </c>
      <c r="H409">
        <v>22</v>
      </c>
      <c r="I409" s="24">
        <v>9.1400462962963003E-2</v>
      </c>
      <c r="J409">
        <f t="shared" si="12"/>
        <v>0</v>
      </c>
      <c r="K409">
        <f t="shared" si="13"/>
        <v>0</v>
      </c>
    </row>
    <row r="410" spans="1:11" x14ac:dyDescent="0.25">
      <c r="A410">
        <v>28</v>
      </c>
      <c r="B410" t="s">
        <v>62</v>
      </c>
      <c r="C410" s="4">
        <v>0.86143518518518514</v>
      </c>
      <c r="D410" s="23">
        <v>0.86148148148148151</v>
      </c>
      <c r="E410" s="23">
        <v>0.95283564814814814</v>
      </c>
      <c r="F410" t="s">
        <v>286</v>
      </c>
      <c r="G410" t="s">
        <v>270</v>
      </c>
      <c r="H410">
        <v>22</v>
      </c>
      <c r="I410" s="24">
        <v>9.1400462962963003E-2</v>
      </c>
      <c r="J410">
        <f t="shared" si="12"/>
        <v>0</v>
      </c>
      <c r="K410">
        <f t="shared" si="13"/>
        <v>0</v>
      </c>
    </row>
    <row r="411" spans="1:11" x14ac:dyDescent="0.25">
      <c r="A411">
        <v>29</v>
      </c>
      <c r="B411" t="s">
        <v>51</v>
      </c>
      <c r="C411" s="4">
        <v>0.86143518518518514</v>
      </c>
      <c r="D411" s="23">
        <v>0.9152893518518519</v>
      </c>
      <c r="E411" s="23">
        <v>0.95283564814814814</v>
      </c>
      <c r="F411" t="s">
        <v>287</v>
      </c>
      <c r="G411" t="s">
        <v>270</v>
      </c>
      <c r="H411">
        <v>22</v>
      </c>
      <c r="I411" s="24">
        <v>9.1400462962963003E-2</v>
      </c>
      <c r="J411">
        <f t="shared" si="12"/>
        <v>0</v>
      </c>
      <c r="K411">
        <f t="shared" si="13"/>
        <v>0</v>
      </c>
    </row>
    <row r="412" spans="1:11" x14ac:dyDescent="0.25">
      <c r="A412">
        <v>30</v>
      </c>
      <c r="B412" t="s">
        <v>83</v>
      </c>
      <c r="C412" s="4">
        <v>0.86143518518518514</v>
      </c>
      <c r="D412" s="23">
        <v>0.86148148148148151</v>
      </c>
      <c r="E412" s="23">
        <v>0.95283564814814814</v>
      </c>
      <c r="F412" t="s">
        <v>288</v>
      </c>
      <c r="G412" t="s">
        <v>270</v>
      </c>
      <c r="H412">
        <v>22</v>
      </c>
      <c r="I412" s="24">
        <v>9.1400462962963003E-2</v>
      </c>
      <c r="J412">
        <f t="shared" si="12"/>
        <v>0</v>
      </c>
      <c r="K412">
        <f t="shared" si="13"/>
        <v>0</v>
      </c>
    </row>
    <row r="413" spans="1:11" x14ac:dyDescent="0.25">
      <c r="A413">
        <v>31</v>
      </c>
      <c r="B413" t="s">
        <v>85</v>
      </c>
      <c r="C413" s="4">
        <v>0.86143518518518514</v>
      </c>
      <c r="D413" s="23">
        <v>0.86148148148148151</v>
      </c>
      <c r="E413" s="23">
        <v>0.95283564814814814</v>
      </c>
      <c r="F413" t="s">
        <v>289</v>
      </c>
      <c r="G413" t="s">
        <v>270</v>
      </c>
      <c r="H413">
        <v>22</v>
      </c>
      <c r="I413" s="24">
        <v>9.1400462962963003E-2</v>
      </c>
      <c r="J413">
        <f t="shared" si="12"/>
        <v>0</v>
      </c>
      <c r="K413">
        <f t="shared" si="13"/>
        <v>0</v>
      </c>
    </row>
    <row r="414" spans="1:11" x14ac:dyDescent="0.25">
      <c r="A414">
        <v>32</v>
      </c>
      <c r="B414" t="s">
        <v>134</v>
      </c>
      <c r="C414" s="4">
        <v>0.86143518518518514</v>
      </c>
      <c r="D414" s="23">
        <v>0.86148148148148151</v>
      </c>
      <c r="E414" s="23">
        <v>0.95283564814814814</v>
      </c>
      <c r="F414" t="s">
        <v>277</v>
      </c>
      <c r="G414" t="s">
        <v>270</v>
      </c>
      <c r="H414">
        <v>22</v>
      </c>
      <c r="I414" s="24">
        <v>9.1400462962963003E-2</v>
      </c>
      <c r="J414">
        <f t="shared" si="12"/>
        <v>0</v>
      </c>
      <c r="K414">
        <f t="shared" si="13"/>
        <v>0</v>
      </c>
    </row>
    <row r="415" spans="1:11" x14ac:dyDescent="0.25">
      <c r="A415">
        <v>33</v>
      </c>
      <c r="B415" t="s">
        <v>53</v>
      </c>
      <c r="C415" s="4">
        <v>0.86143518518518514</v>
      </c>
      <c r="D415" s="23">
        <v>0.86148148148148151</v>
      </c>
      <c r="E415" s="23">
        <v>0.95283564814814814</v>
      </c>
      <c r="F415" t="s">
        <v>290</v>
      </c>
      <c r="G415" t="s">
        <v>270</v>
      </c>
      <c r="H415">
        <v>22</v>
      </c>
      <c r="I415" s="24">
        <v>9.1400462962963003E-2</v>
      </c>
      <c r="J415">
        <f t="shared" si="12"/>
        <v>0</v>
      </c>
      <c r="K415">
        <f t="shared" si="13"/>
        <v>0</v>
      </c>
    </row>
    <row r="416" spans="1:11" x14ac:dyDescent="0.25">
      <c r="A416">
        <v>1</v>
      </c>
      <c r="B416" t="s">
        <v>5</v>
      </c>
      <c r="C416" s="4">
        <v>0.85841435185185189</v>
      </c>
      <c r="D416" s="23">
        <v>0.85846064814814815</v>
      </c>
      <c r="E416" s="23">
        <v>0.93445601851851856</v>
      </c>
      <c r="F416" t="s">
        <v>291</v>
      </c>
      <c r="G416" t="s">
        <v>292</v>
      </c>
      <c r="H416">
        <v>21</v>
      </c>
      <c r="I416" s="24">
        <v>7.6041666666666563E-2</v>
      </c>
      <c r="J416">
        <f t="shared" si="12"/>
        <v>0</v>
      </c>
      <c r="K416">
        <f t="shared" si="13"/>
        <v>0</v>
      </c>
    </row>
    <row r="417" spans="1:11" x14ac:dyDescent="0.25">
      <c r="A417">
        <v>2</v>
      </c>
      <c r="B417" t="s">
        <v>9</v>
      </c>
      <c r="C417" s="4">
        <v>0.85841435185185189</v>
      </c>
      <c r="D417" s="23">
        <v>0.85846064814814815</v>
      </c>
      <c r="E417" s="23">
        <v>0.93445601851851856</v>
      </c>
      <c r="F417" t="s">
        <v>294</v>
      </c>
      <c r="G417" t="s">
        <v>292</v>
      </c>
      <c r="H417">
        <v>21</v>
      </c>
      <c r="I417" s="24">
        <v>7.6041666666666563E-2</v>
      </c>
      <c r="J417">
        <f t="shared" si="12"/>
        <v>0</v>
      </c>
      <c r="K417">
        <f t="shared" si="13"/>
        <v>0</v>
      </c>
    </row>
    <row r="418" spans="1:11" x14ac:dyDescent="0.25">
      <c r="A418">
        <v>3</v>
      </c>
      <c r="B418" t="s">
        <v>11</v>
      </c>
      <c r="C418" s="4">
        <v>0.85841435185185189</v>
      </c>
      <c r="D418" s="23">
        <v>0.85846064814814815</v>
      </c>
      <c r="E418" s="23">
        <v>0.93445601851851856</v>
      </c>
      <c r="F418" t="s">
        <v>295</v>
      </c>
      <c r="G418" t="s">
        <v>292</v>
      </c>
      <c r="H418">
        <v>21</v>
      </c>
      <c r="I418" s="24">
        <v>7.6041666666666563E-2</v>
      </c>
      <c r="J418">
        <f t="shared" si="12"/>
        <v>0</v>
      </c>
      <c r="K418">
        <f t="shared" si="13"/>
        <v>0</v>
      </c>
    </row>
    <row r="419" spans="1:11" x14ac:dyDescent="0.25">
      <c r="A419">
        <v>4</v>
      </c>
      <c r="B419" t="s">
        <v>296</v>
      </c>
      <c r="C419" s="4">
        <v>0.85841435185185189</v>
      </c>
      <c r="D419" s="23">
        <v>0.85846064814814815</v>
      </c>
      <c r="E419" s="23">
        <v>0.93445601851851856</v>
      </c>
      <c r="F419" t="s">
        <v>297</v>
      </c>
      <c r="G419" t="s">
        <v>292</v>
      </c>
      <c r="H419">
        <v>21</v>
      </c>
      <c r="I419" s="24">
        <v>7.6041666666666563E-2</v>
      </c>
      <c r="J419">
        <f t="shared" si="12"/>
        <v>0</v>
      </c>
      <c r="K419">
        <f t="shared" si="13"/>
        <v>0</v>
      </c>
    </row>
    <row r="420" spans="1:11" x14ac:dyDescent="0.25">
      <c r="A420">
        <v>5</v>
      </c>
      <c r="B420" t="s">
        <v>35</v>
      </c>
      <c r="C420" s="4">
        <v>0.85841435185185189</v>
      </c>
      <c r="D420" s="23">
        <v>0.85846064814814815</v>
      </c>
      <c r="E420" s="23">
        <v>0.93445601851851856</v>
      </c>
      <c r="F420" t="s">
        <v>298</v>
      </c>
      <c r="G420" t="s">
        <v>292</v>
      </c>
      <c r="H420">
        <v>21</v>
      </c>
      <c r="I420" s="24">
        <v>7.6041666666666563E-2</v>
      </c>
      <c r="J420">
        <f t="shared" si="12"/>
        <v>0</v>
      </c>
      <c r="K420">
        <f t="shared" si="13"/>
        <v>0</v>
      </c>
    </row>
    <row r="421" spans="1:11" x14ac:dyDescent="0.25">
      <c r="A421">
        <v>6</v>
      </c>
      <c r="B421" t="s">
        <v>70</v>
      </c>
      <c r="C421" s="4">
        <v>0.85841435185185189</v>
      </c>
      <c r="D421" s="23">
        <v>0.85846064814814815</v>
      </c>
      <c r="E421" s="23">
        <v>0.93445601851851856</v>
      </c>
      <c r="F421" t="s">
        <v>299</v>
      </c>
      <c r="G421" t="s">
        <v>292</v>
      </c>
      <c r="H421">
        <v>21</v>
      </c>
      <c r="I421" s="24">
        <v>7.6041666666666563E-2</v>
      </c>
      <c r="J421">
        <f t="shared" si="12"/>
        <v>0</v>
      </c>
      <c r="K421">
        <f t="shared" si="13"/>
        <v>0</v>
      </c>
    </row>
    <row r="422" spans="1:11" x14ac:dyDescent="0.25">
      <c r="A422">
        <v>7</v>
      </c>
      <c r="B422" t="s">
        <v>97</v>
      </c>
      <c r="C422" s="4">
        <v>0.85841435185185189</v>
      </c>
      <c r="D422" s="23">
        <v>0.85846064814814815</v>
      </c>
      <c r="E422" s="23">
        <v>0.93445601851851856</v>
      </c>
      <c r="F422" t="s">
        <v>299</v>
      </c>
      <c r="G422" t="s">
        <v>292</v>
      </c>
      <c r="H422">
        <v>21</v>
      </c>
      <c r="I422" s="24">
        <v>7.6041666666666563E-2</v>
      </c>
      <c r="J422">
        <f t="shared" si="12"/>
        <v>0</v>
      </c>
      <c r="K422">
        <f t="shared" si="13"/>
        <v>0</v>
      </c>
    </row>
    <row r="423" spans="1:11" x14ac:dyDescent="0.25">
      <c r="A423">
        <v>8</v>
      </c>
      <c r="B423" t="s">
        <v>181</v>
      </c>
      <c r="C423" s="4">
        <v>0.85841435185185189</v>
      </c>
      <c r="D423" s="23">
        <v>0.85928240740740736</v>
      </c>
      <c r="E423" s="23">
        <v>0.93445601851851856</v>
      </c>
      <c r="F423" t="s">
        <v>300</v>
      </c>
      <c r="G423" t="s">
        <v>292</v>
      </c>
      <c r="H423">
        <v>21</v>
      </c>
      <c r="I423" s="24">
        <v>7.6041666666666563E-2</v>
      </c>
      <c r="J423">
        <f t="shared" si="12"/>
        <v>0</v>
      </c>
      <c r="K423">
        <f t="shared" si="13"/>
        <v>0</v>
      </c>
    </row>
    <row r="424" spans="1:11" x14ac:dyDescent="0.25">
      <c r="A424">
        <v>9</v>
      </c>
      <c r="B424" t="s">
        <v>36</v>
      </c>
      <c r="C424" s="4">
        <v>0.85841435185185189</v>
      </c>
      <c r="D424" s="23">
        <v>0.90365740740740741</v>
      </c>
      <c r="E424" s="23">
        <v>0.93445601851851856</v>
      </c>
      <c r="F424" t="s">
        <v>301</v>
      </c>
      <c r="G424" t="s">
        <v>292</v>
      </c>
      <c r="H424">
        <v>21</v>
      </c>
      <c r="I424" s="24">
        <v>7.6041666666666563E-2</v>
      </c>
      <c r="J424">
        <f t="shared" si="12"/>
        <v>0</v>
      </c>
      <c r="K424">
        <f t="shared" si="13"/>
        <v>0</v>
      </c>
    </row>
    <row r="425" spans="1:11" x14ac:dyDescent="0.25">
      <c r="A425">
        <v>10</v>
      </c>
      <c r="B425" t="s">
        <v>222</v>
      </c>
      <c r="C425" s="4">
        <v>0.85841435185185189</v>
      </c>
      <c r="D425" s="23">
        <v>0.90365740740740741</v>
      </c>
      <c r="E425" s="23">
        <v>0.93445601851851856</v>
      </c>
      <c r="F425" t="s">
        <v>301</v>
      </c>
      <c r="G425" t="s">
        <v>292</v>
      </c>
      <c r="H425">
        <v>21</v>
      </c>
      <c r="I425" s="24">
        <v>7.6041666666666563E-2</v>
      </c>
      <c r="J425">
        <f t="shared" si="12"/>
        <v>0</v>
      </c>
      <c r="K425">
        <f t="shared" si="13"/>
        <v>0</v>
      </c>
    </row>
    <row r="426" spans="1:11" x14ac:dyDescent="0.25">
      <c r="A426">
        <v>11</v>
      </c>
      <c r="B426" t="s">
        <v>37</v>
      </c>
      <c r="C426" s="4">
        <v>0.85841435185185189</v>
      </c>
      <c r="D426" s="23">
        <v>0.85846064814814815</v>
      </c>
      <c r="E426" s="23">
        <v>0.93445601851851856</v>
      </c>
      <c r="F426" t="s">
        <v>302</v>
      </c>
      <c r="G426" t="s">
        <v>292</v>
      </c>
      <c r="H426">
        <v>21</v>
      </c>
      <c r="I426" s="24">
        <v>7.6041666666666563E-2</v>
      </c>
      <c r="J426">
        <f t="shared" si="12"/>
        <v>0</v>
      </c>
      <c r="K426">
        <f t="shared" si="13"/>
        <v>0</v>
      </c>
    </row>
    <row r="427" spans="1:11" x14ac:dyDescent="0.25">
      <c r="A427">
        <v>12</v>
      </c>
      <c r="B427" t="s">
        <v>16</v>
      </c>
      <c r="C427" s="4">
        <v>0.85841435185185189</v>
      </c>
      <c r="D427" s="23">
        <v>0.85846064814814815</v>
      </c>
      <c r="E427" s="23">
        <v>0.93445601851851856</v>
      </c>
      <c r="F427" t="s">
        <v>294</v>
      </c>
      <c r="G427" t="s">
        <v>292</v>
      </c>
      <c r="H427">
        <v>21</v>
      </c>
      <c r="I427" s="24">
        <v>7.6041666666666563E-2</v>
      </c>
      <c r="J427">
        <f t="shared" si="12"/>
        <v>0</v>
      </c>
      <c r="K427">
        <f t="shared" si="13"/>
        <v>0</v>
      </c>
    </row>
    <row r="428" spans="1:11" x14ac:dyDescent="0.25">
      <c r="A428">
        <v>13</v>
      </c>
      <c r="B428" t="s">
        <v>186</v>
      </c>
      <c r="C428" s="4">
        <v>0.85841435185185189</v>
      </c>
      <c r="D428" s="23">
        <v>0.85846064814814815</v>
      </c>
      <c r="E428" s="23">
        <v>0.93445601851851856</v>
      </c>
      <c r="F428" t="s">
        <v>299</v>
      </c>
      <c r="G428" t="s">
        <v>292</v>
      </c>
      <c r="H428">
        <v>21</v>
      </c>
      <c r="I428" s="24">
        <v>7.6041666666666563E-2</v>
      </c>
      <c r="J428">
        <f t="shared" si="12"/>
        <v>0</v>
      </c>
      <c r="K428">
        <f t="shared" si="13"/>
        <v>0</v>
      </c>
    </row>
    <row r="429" spans="1:11" x14ac:dyDescent="0.25">
      <c r="A429">
        <v>14</v>
      </c>
      <c r="B429" t="s">
        <v>114</v>
      </c>
      <c r="C429" s="4">
        <v>0.85841435185185189</v>
      </c>
      <c r="D429" s="23">
        <v>0.85846064814814815</v>
      </c>
      <c r="E429" s="23">
        <v>0.93445601851851856</v>
      </c>
      <c r="F429" t="s">
        <v>303</v>
      </c>
      <c r="G429" t="s">
        <v>292</v>
      </c>
      <c r="H429">
        <v>21</v>
      </c>
      <c r="I429" s="24">
        <v>7.6041666666666563E-2</v>
      </c>
      <c r="J429">
        <f t="shared" si="12"/>
        <v>0</v>
      </c>
      <c r="K429">
        <f t="shared" si="13"/>
        <v>0</v>
      </c>
    </row>
    <row r="430" spans="1:11" x14ac:dyDescent="0.25">
      <c r="A430">
        <v>15</v>
      </c>
      <c r="B430" t="s">
        <v>18</v>
      </c>
      <c r="C430" s="4">
        <v>0.85841435185185189</v>
      </c>
      <c r="D430" s="23">
        <v>0.85846064814814815</v>
      </c>
      <c r="E430" s="23">
        <v>0.93445601851851856</v>
      </c>
      <c r="F430" t="s">
        <v>304</v>
      </c>
      <c r="G430" t="s">
        <v>292</v>
      </c>
      <c r="H430">
        <v>21</v>
      </c>
      <c r="I430" s="24">
        <v>7.6041666666666563E-2</v>
      </c>
      <c r="J430">
        <f t="shared" si="12"/>
        <v>0</v>
      </c>
      <c r="K430">
        <f t="shared" si="13"/>
        <v>0</v>
      </c>
    </row>
    <row r="431" spans="1:11" x14ac:dyDescent="0.25">
      <c r="A431">
        <v>16</v>
      </c>
      <c r="B431" t="s">
        <v>41</v>
      </c>
      <c r="C431" s="4">
        <v>0.85841435185185189</v>
      </c>
      <c r="D431" s="23">
        <v>0.85846064814814815</v>
      </c>
      <c r="E431" s="23">
        <v>0.93445601851851856</v>
      </c>
      <c r="F431" t="s">
        <v>294</v>
      </c>
      <c r="G431" t="s">
        <v>292</v>
      </c>
      <c r="H431">
        <v>21</v>
      </c>
      <c r="I431" s="24">
        <v>7.6041666666666563E-2</v>
      </c>
      <c r="J431">
        <f t="shared" si="12"/>
        <v>0</v>
      </c>
      <c r="K431">
        <f t="shared" si="13"/>
        <v>0</v>
      </c>
    </row>
    <row r="432" spans="1:11" x14ac:dyDescent="0.25">
      <c r="A432">
        <v>17</v>
      </c>
      <c r="B432" t="s">
        <v>267</v>
      </c>
      <c r="C432" s="4">
        <v>0.85841435185185189</v>
      </c>
      <c r="D432" s="23">
        <v>0.85846064814814815</v>
      </c>
      <c r="E432" s="23">
        <v>0.93445601851851856</v>
      </c>
      <c r="F432" t="s">
        <v>305</v>
      </c>
      <c r="G432" t="s">
        <v>292</v>
      </c>
      <c r="H432">
        <v>21</v>
      </c>
      <c r="I432" s="24">
        <v>7.6041666666666563E-2</v>
      </c>
      <c r="J432">
        <f t="shared" si="12"/>
        <v>0</v>
      </c>
      <c r="K432">
        <f t="shared" si="13"/>
        <v>0</v>
      </c>
    </row>
    <row r="433" spans="1:11" x14ac:dyDescent="0.25">
      <c r="A433">
        <v>18</v>
      </c>
      <c r="B433" t="s">
        <v>60</v>
      </c>
      <c r="C433" s="4">
        <v>0.85841435185185189</v>
      </c>
      <c r="D433" s="23">
        <v>0.90365740740740741</v>
      </c>
      <c r="E433" s="23">
        <v>0.93445601851851856</v>
      </c>
      <c r="F433" t="s">
        <v>301</v>
      </c>
      <c r="G433" t="s">
        <v>292</v>
      </c>
      <c r="H433">
        <v>21</v>
      </c>
      <c r="I433" s="24">
        <v>7.6041666666666563E-2</v>
      </c>
      <c r="J433">
        <f t="shared" si="12"/>
        <v>0</v>
      </c>
      <c r="K433">
        <f t="shared" si="13"/>
        <v>0</v>
      </c>
    </row>
    <row r="434" spans="1:11" x14ac:dyDescent="0.25">
      <c r="A434">
        <v>19</v>
      </c>
      <c r="B434" t="s">
        <v>20</v>
      </c>
      <c r="C434" s="4">
        <v>0.85841435185185189</v>
      </c>
      <c r="D434" s="23">
        <v>0.85846064814814815</v>
      </c>
      <c r="E434" s="23">
        <v>0.93445601851851856</v>
      </c>
      <c r="F434" t="s">
        <v>306</v>
      </c>
      <c r="G434" t="s">
        <v>292</v>
      </c>
      <c r="H434">
        <v>21</v>
      </c>
      <c r="I434" s="24">
        <v>7.6041666666666563E-2</v>
      </c>
      <c r="J434">
        <f t="shared" si="12"/>
        <v>0</v>
      </c>
      <c r="K434">
        <f t="shared" si="13"/>
        <v>0</v>
      </c>
    </row>
    <row r="435" spans="1:11" x14ac:dyDescent="0.25">
      <c r="A435">
        <v>20</v>
      </c>
      <c r="B435" t="s">
        <v>43</v>
      </c>
      <c r="C435" s="4">
        <v>0.85841435185185189</v>
      </c>
      <c r="D435" s="23">
        <v>0.85881944444444447</v>
      </c>
      <c r="E435" s="23">
        <v>0.93445601851851856</v>
      </c>
      <c r="F435" t="s">
        <v>307</v>
      </c>
      <c r="G435" t="s">
        <v>292</v>
      </c>
      <c r="H435">
        <v>21</v>
      </c>
      <c r="I435" s="24">
        <v>7.6041666666666563E-2</v>
      </c>
      <c r="J435">
        <f t="shared" si="12"/>
        <v>0</v>
      </c>
      <c r="K435">
        <f t="shared" si="13"/>
        <v>0</v>
      </c>
    </row>
    <row r="436" spans="1:11" x14ac:dyDescent="0.25">
      <c r="A436">
        <v>21</v>
      </c>
      <c r="B436" t="s">
        <v>44</v>
      </c>
      <c r="C436" s="4">
        <v>0.85841435185185189</v>
      </c>
      <c r="D436" s="23">
        <v>0.85846064814814815</v>
      </c>
      <c r="E436" s="23">
        <v>0.93445601851851856</v>
      </c>
      <c r="F436" t="s">
        <v>308</v>
      </c>
      <c r="G436" t="s">
        <v>292</v>
      </c>
      <c r="H436">
        <v>21</v>
      </c>
      <c r="I436" s="24">
        <v>7.6041666666666563E-2</v>
      </c>
      <c r="J436">
        <f t="shared" si="12"/>
        <v>0</v>
      </c>
      <c r="K436">
        <f t="shared" si="13"/>
        <v>0</v>
      </c>
    </row>
    <row r="437" spans="1:11" x14ac:dyDescent="0.25">
      <c r="A437">
        <v>22</v>
      </c>
      <c r="B437" t="s">
        <v>156</v>
      </c>
      <c r="C437" s="4">
        <v>0.85841435185185189</v>
      </c>
      <c r="D437" s="23">
        <v>0.85846064814814815</v>
      </c>
      <c r="E437" s="23">
        <v>0.93445601851851856</v>
      </c>
      <c r="F437" t="s">
        <v>299</v>
      </c>
      <c r="G437" t="s">
        <v>292</v>
      </c>
      <c r="H437">
        <v>21</v>
      </c>
      <c r="I437" s="24">
        <v>7.6041666666666563E-2</v>
      </c>
      <c r="J437">
        <f t="shared" si="12"/>
        <v>0</v>
      </c>
      <c r="K437">
        <f t="shared" si="13"/>
        <v>0</v>
      </c>
    </row>
    <row r="438" spans="1:11" x14ac:dyDescent="0.25">
      <c r="A438">
        <v>23</v>
      </c>
      <c r="B438" t="s">
        <v>238</v>
      </c>
      <c r="C438" s="4">
        <v>0.85841435185185189</v>
      </c>
      <c r="D438" s="23">
        <v>0.85846064814814815</v>
      </c>
      <c r="E438" s="23">
        <v>0.93445601851851856</v>
      </c>
      <c r="F438" t="s">
        <v>309</v>
      </c>
      <c r="G438" t="s">
        <v>292</v>
      </c>
      <c r="H438">
        <v>21</v>
      </c>
      <c r="I438" s="24">
        <v>7.6041666666666563E-2</v>
      </c>
      <c r="J438">
        <f t="shared" si="12"/>
        <v>0</v>
      </c>
      <c r="K438">
        <f t="shared" si="13"/>
        <v>0</v>
      </c>
    </row>
    <row r="439" spans="1:11" x14ac:dyDescent="0.25">
      <c r="A439">
        <v>24</v>
      </c>
      <c r="B439" t="s">
        <v>22</v>
      </c>
      <c r="C439" s="4">
        <v>0.85841435185185189</v>
      </c>
      <c r="D439" s="23">
        <v>0.85914351851851856</v>
      </c>
      <c r="E439" s="23">
        <v>0.93445601851851856</v>
      </c>
      <c r="F439" t="s">
        <v>310</v>
      </c>
      <c r="G439" t="s">
        <v>292</v>
      </c>
      <c r="H439">
        <v>21</v>
      </c>
      <c r="I439" s="24">
        <v>7.6041666666666563E-2</v>
      </c>
      <c r="J439">
        <f t="shared" si="12"/>
        <v>0</v>
      </c>
      <c r="K439">
        <f t="shared" si="13"/>
        <v>0</v>
      </c>
    </row>
    <row r="440" spans="1:11" x14ac:dyDescent="0.25">
      <c r="A440">
        <v>25</v>
      </c>
      <c r="B440" t="s">
        <v>61</v>
      </c>
      <c r="C440" s="4">
        <v>0.85841435185185189</v>
      </c>
      <c r="D440" s="23">
        <v>0.90365740740740741</v>
      </c>
      <c r="E440" s="23">
        <v>0.93445601851851856</v>
      </c>
      <c r="F440" t="s">
        <v>311</v>
      </c>
      <c r="G440" t="s">
        <v>292</v>
      </c>
      <c r="H440">
        <v>21</v>
      </c>
      <c r="I440" s="24">
        <v>7.6041666666666563E-2</v>
      </c>
      <c r="J440">
        <f t="shared" ref="J440:J499" si="14">IF(AND(H440&gt;=1,H440&lt;=7),1,0)</f>
        <v>0</v>
      </c>
      <c r="K440">
        <f t="shared" ref="K440:K499" si="15">IF(AND(H440&gt;=30,H440&lt;=36),1,0)</f>
        <v>0</v>
      </c>
    </row>
    <row r="441" spans="1:11" x14ac:dyDescent="0.25">
      <c r="A441">
        <v>26</v>
      </c>
      <c r="B441" t="s">
        <v>46</v>
      </c>
      <c r="C441" s="4">
        <v>0.85841435185185189</v>
      </c>
      <c r="D441" s="23">
        <v>0.85899305555555561</v>
      </c>
      <c r="E441" s="23">
        <v>0.93445601851851856</v>
      </c>
      <c r="F441" t="s">
        <v>312</v>
      </c>
      <c r="G441" t="s">
        <v>292</v>
      </c>
      <c r="H441">
        <v>21</v>
      </c>
      <c r="I441" s="24">
        <v>7.6041666666666563E-2</v>
      </c>
      <c r="J441">
        <f t="shared" si="14"/>
        <v>0</v>
      </c>
      <c r="K441">
        <f t="shared" si="15"/>
        <v>0</v>
      </c>
    </row>
    <row r="442" spans="1:11" x14ac:dyDescent="0.25">
      <c r="A442">
        <v>27</v>
      </c>
      <c r="B442" t="s">
        <v>23</v>
      </c>
      <c r="C442" s="4">
        <v>0.85841435185185189</v>
      </c>
      <c r="D442" s="23">
        <v>0.85846064814814815</v>
      </c>
      <c r="E442" s="23">
        <v>0.93445601851851856</v>
      </c>
      <c r="F442" t="s">
        <v>294</v>
      </c>
      <c r="G442" t="s">
        <v>292</v>
      </c>
      <c r="H442">
        <v>21</v>
      </c>
      <c r="I442" s="24">
        <v>7.6041666666666563E-2</v>
      </c>
      <c r="J442">
        <f t="shared" si="14"/>
        <v>0</v>
      </c>
      <c r="K442">
        <f t="shared" si="15"/>
        <v>0</v>
      </c>
    </row>
    <row r="443" spans="1:11" x14ac:dyDescent="0.25">
      <c r="A443">
        <v>28</v>
      </c>
      <c r="B443" t="s">
        <v>200</v>
      </c>
      <c r="C443" s="4">
        <v>0.85841435185185189</v>
      </c>
      <c r="D443" s="23">
        <v>0.90365740740740741</v>
      </c>
      <c r="E443" s="23">
        <v>0.93445601851851856</v>
      </c>
      <c r="F443" t="s">
        <v>301</v>
      </c>
      <c r="G443" t="s">
        <v>292</v>
      </c>
      <c r="H443">
        <v>21</v>
      </c>
      <c r="I443" s="24">
        <v>7.6041666666666563E-2</v>
      </c>
      <c r="J443">
        <f t="shared" si="14"/>
        <v>0</v>
      </c>
      <c r="K443">
        <f t="shared" si="15"/>
        <v>0</v>
      </c>
    </row>
    <row r="444" spans="1:11" x14ac:dyDescent="0.25">
      <c r="A444">
        <v>29</v>
      </c>
      <c r="B444" t="s">
        <v>25</v>
      </c>
      <c r="C444" s="4">
        <v>0.85841435185185189</v>
      </c>
      <c r="D444" s="23">
        <v>0.90365740740740741</v>
      </c>
      <c r="E444" s="23">
        <v>0.93445601851851856</v>
      </c>
      <c r="F444" t="s">
        <v>313</v>
      </c>
      <c r="G444" t="s">
        <v>292</v>
      </c>
      <c r="H444">
        <v>21</v>
      </c>
      <c r="I444" s="24">
        <v>7.6041666666666563E-2</v>
      </c>
      <c r="J444">
        <f t="shared" si="14"/>
        <v>0</v>
      </c>
      <c r="K444">
        <f t="shared" si="15"/>
        <v>0</v>
      </c>
    </row>
    <row r="445" spans="1:11" x14ac:dyDescent="0.25">
      <c r="A445">
        <v>30</v>
      </c>
      <c r="B445" t="s">
        <v>50</v>
      </c>
      <c r="C445" s="4">
        <v>0.85841435185185189</v>
      </c>
      <c r="D445" s="23">
        <v>0.90365740740740741</v>
      </c>
      <c r="E445" s="23">
        <v>0.93445601851851856</v>
      </c>
      <c r="F445" t="s">
        <v>314</v>
      </c>
      <c r="G445" t="s">
        <v>292</v>
      </c>
      <c r="H445">
        <v>21</v>
      </c>
      <c r="I445" s="24">
        <v>7.6041666666666563E-2</v>
      </c>
      <c r="J445">
        <f t="shared" si="14"/>
        <v>0</v>
      </c>
      <c r="K445">
        <f t="shared" si="15"/>
        <v>0</v>
      </c>
    </row>
    <row r="446" spans="1:11" x14ac:dyDescent="0.25">
      <c r="A446">
        <v>31</v>
      </c>
      <c r="B446" t="s">
        <v>62</v>
      </c>
      <c r="C446" s="4">
        <v>0.85841435185185189</v>
      </c>
      <c r="D446" s="23">
        <v>0.85846064814814815</v>
      </c>
      <c r="E446" s="23">
        <v>0.93445601851851856</v>
      </c>
      <c r="F446" t="s">
        <v>302</v>
      </c>
      <c r="G446" t="s">
        <v>292</v>
      </c>
      <c r="H446">
        <v>21</v>
      </c>
      <c r="I446" s="24">
        <v>7.6041666666666563E-2</v>
      </c>
      <c r="J446">
        <f t="shared" si="14"/>
        <v>0</v>
      </c>
      <c r="K446">
        <f t="shared" si="15"/>
        <v>0</v>
      </c>
    </row>
    <row r="447" spans="1:11" x14ac:dyDescent="0.25">
      <c r="A447">
        <v>32</v>
      </c>
      <c r="B447" t="s">
        <v>315</v>
      </c>
      <c r="C447" s="4">
        <v>0.85841435185185189</v>
      </c>
      <c r="D447" s="23">
        <v>0.90365740740740741</v>
      </c>
      <c r="E447" s="23">
        <v>0.93445601851851856</v>
      </c>
      <c r="F447" t="s">
        <v>316</v>
      </c>
      <c r="G447" t="s">
        <v>292</v>
      </c>
      <c r="H447">
        <v>21</v>
      </c>
      <c r="I447" s="24">
        <v>7.6041666666666563E-2</v>
      </c>
      <c r="J447">
        <f t="shared" si="14"/>
        <v>0</v>
      </c>
      <c r="K447">
        <f t="shared" si="15"/>
        <v>0</v>
      </c>
    </row>
    <row r="448" spans="1:11" x14ac:dyDescent="0.25">
      <c r="A448">
        <v>33</v>
      </c>
      <c r="B448" t="s">
        <v>83</v>
      </c>
      <c r="C448" s="4">
        <v>0.85841435185185189</v>
      </c>
      <c r="D448" s="23">
        <v>0.85846064814814815</v>
      </c>
      <c r="E448" s="23">
        <v>0.93445601851851856</v>
      </c>
      <c r="F448" t="s">
        <v>317</v>
      </c>
      <c r="G448" t="s">
        <v>292</v>
      </c>
      <c r="H448">
        <v>21</v>
      </c>
      <c r="I448" s="24">
        <v>7.6041666666666563E-2</v>
      </c>
      <c r="J448">
        <f t="shared" si="14"/>
        <v>0</v>
      </c>
      <c r="K448">
        <f t="shared" si="15"/>
        <v>0</v>
      </c>
    </row>
    <row r="449" spans="1:11" x14ac:dyDescent="0.25">
      <c r="A449">
        <v>34</v>
      </c>
      <c r="B449" t="s">
        <v>261</v>
      </c>
      <c r="C449" s="4">
        <v>0.85841435185185189</v>
      </c>
      <c r="D449" s="23">
        <v>0.85846064814814815</v>
      </c>
      <c r="E449" s="23">
        <v>0.93445601851851856</v>
      </c>
      <c r="F449" t="s">
        <v>318</v>
      </c>
      <c r="G449" t="s">
        <v>292</v>
      </c>
      <c r="H449">
        <v>21</v>
      </c>
      <c r="I449" s="24">
        <v>7.6041666666666563E-2</v>
      </c>
      <c r="J449">
        <f t="shared" si="14"/>
        <v>0</v>
      </c>
      <c r="K449">
        <f t="shared" si="15"/>
        <v>0</v>
      </c>
    </row>
    <row r="450" spans="1:11" x14ac:dyDescent="0.25">
      <c r="A450">
        <v>35</v>
      </c>
      <c r="B450" t="s">
        <v>85</v>
      </c>
      <c r="C450" s="4">
        <v>0.85841435185185189</v>
      </c>
      <c r="D450" s="23">
        <v>0.85846064814814815</v>
      </c>
      <c r="E450" s="23">
        <v>0.93445601851851856</v>
      </c>
      <c r="F450" t="s">
        <v>319</v>
      </c>
      <c r="G450" t="s">
        <v>292</v>
      </c>
      <c r="H450">
        <v>21</v>
      </c>
      <c r="I450" s="24">
        <v>7.6041666666666563E-2</v>
      </c>
      <c r="J450">
        <f t="shared" si="14"/>
        <v>0</v>
      </c>
      <c r="K450">
        <f t="shared" si="15"/>
        <v>0</v>
      </c>
    </row>
    <row r="451" spans="1:11" x14ac:dyDescent="0.25">
      <c r="A451">
        <v>36</v>
      </c>
      <c r="B451" t="s">
        <v>134</v>
      </c>
      <c r="C451" s="4">
        <v>0.85841435185185189</v>
      </c>
      <c r="D451" s="23">
        <v>0.85846064814814815</v>
      </c>
      <c r="E451" s="23">
        <v>0.93445601851851856</v>
      </c>
      <c r="F451" t="s">
        <v>297</v>
      </c>
      <c r="G451" t="s">
        <v>292</v>
      </c>
      <c r="H451">
        <v>21</v>
      </c>
      <c r="I451" s="24">
        <v>7.6041666666666563E-2</v>
      </c>
      <c r="J451">
        <f t="shared" si="14"/>
        <v>0</v>
      </c>
      <c r="K451">
        <f t="shared" si="15"/>
        <v>0</v>
      </c>
    </row>
    <row r="452" spans="1:11" x14ac:dyDescent="0.25">
      <c r="A452">
        <v>37</v>
      </c>
      <c r="B452" t="s">
        <v>53</v>
      </c>
      <c r="C452" s="4">
        <v>0.85841435185185189</v>
      </c>
      <c r="D452" s="23">
        <v>0.90365740740740741</v>
      </c>
      <c r="E452" s="23">
        <v>0.93445601851851856</v>
      </c>
      <c r="F452" t="s">
        <v>320</v>
      </c>
      <c r="G452" t="s">
        <v>292</v>
      </c>
      <c r="H452">
        <v>21</v>
      </c>
      <c r="I452" s="24">
        <v>7.6041666666666563E-2</v>
      </c>
      <c r="J452">
        <f t="shared" si="14"/>
        <v>0</v>
      </c>
      <c r="K452">
        <f t="shared" si="15"/>
        <v>0</v>
      </c>
    </row>
    <row r="453" spans="1:11" x14ac:dyDescent="0.25">
      <c r="A453">
        <v>38</v>
      </c>
      <c r="B453" t="s">
        <v>321</v>
      </c>
      <c r="C453" s="4">
        <v>0.85841435185185189</v>
      </c>
      <c r="D453" s="23">
        <v>0.85846064814814815</v>
      </c>
      <c r="E453" s="23">
        <v>0.93445601851851856</v>
      </c>
      <c r="F453" t="s">
        <v>297</v>
      </c>
      <c r="G453" t="s">
        <v>292</v>
      </c>
      <c r="H453">
        <v>21</v>
      </c>
      <c r="I453" s="24">
        <v>7.6041666666666563E-2</v>
      </c>
      <c r="J453">
        <f t="shared" si="14"/>
        <v>0</v>
      </c>
      <c r="K453">
        <f t="shared" si="15"/>
        <v>0</v>
      </c>
    </row>
    <row r="454" spans="1:11" x14ac:dyDescent="0.25">
      <c r="A454">
        <v>1</v>
      </c>
      <c r="B454" t="s">
        <v>5</v>
      </c>
      <c r="C454" s="4">
        <v>0.85865740740740737</v>
      </c>
      <c r="D454" s="23">
        <v>0.8586921296296296</v>
      </c>
      <c r="E454" s="23">
        <v>0.94177083333333333</v>
      </c>
      <c r="F454" t="s">
        <v>322</v>
      </c>
      <c r="G454" t="s">
        <v>323</v>
      </c>
      <c r="H454">
        <v>20</v>
      </c>
      <c r="I454" s="24">
        <v>8.3113425925925855E-2</v>
      </c>
      <c r="J454">
        <f t="shared" si="14"/>
        <v>0</v>
      </c>
      <c r="K454">
        <f t="shared" si="15"/>
        <v>0</v>
      </c>
    </row>
    <row r="455" spans="1:11" x14ac:dyDescent="0.25">
      <c r="A455">
        <v>2</v>
      </c>
      <c r="B455" t="s">
        <v>9</v>
      </c>
      <c r="C455" s="4">
        <v>0.85865740740740737</v>
      </c>
      <c r="D455" s="23">
        <v>0.86534722222222227</v>
      </c>
      <c r="E455" s="23">
        <v>0.94177083333333333</v>
      </c>
      <c r="F455" t="s">
        <v>325</v>
      </c>
      <c r="G455" t="s">
        <v>323</v>
      </c>
      <c r="H455">
        <v>20</v>
      </c>
      <c r="I455" s="24">
        <v>8.3113425925925855E-2</v>
      </c>
      <c r="J455">
        <f t="shared" si="14"/>
        <v>0</v>
      </c>
      <c r="K455">
        <f t="shared" si="15"/>
        <v>0</v>
      </c>
    </row>
    <row r="456" spans="1:11" x14ac:dyDescent="0.25">
      <c r="A456">
        <v>3</v>
      </c>
      <c r="B456" t="s">
        <v>11</v>
      </c>
      <c r="C456" s="4">
        <v>0.85865740740740737</v>
      </c>
      <c r="D456" s="23">
        <v>0.8586921296296296</v>
      </c>
      <c r="E456" s="23">
        <v>0.94177083333333333</v>
      </c>
      <c r="F456" t="s">
        <v>326</v>
      </c>
      <c r="G456" t="s">
        <v>323</v>
      </c>
      <c r="H456">
        <v>20</v>
      </c>
      <c r="I456" s="24">
        <v>8.3113425925925855E-2</v>
      </c>
      <c r="J456">
        <f t="shared" si="14"/>
        <v>0</v>
      </c>
      <c r="K456">
        <f t="shared" si="15"/>
        <v>0</v>
      </c>
    </row>
    <row r="457" spans="1:11" x14ac:dyDescent="0.25">
      <c r="A457">
        <v>5</v>
      </c>
      <c r="B457" t="s">
        <v>70</v>
      </c>
      <c r="C457" s="4">
        <v>0.85865740740740737</v>
      </c>
      <c r="D457" s="23">
        <v>0.8586921296296296</v>
      </c>
      <c r="E457" s="23">
        <v>0.94177083333333333</v>
      </c>
      <c r="F457" t="s">
        <v>327</v>
      </c>
      <c r="G457" t="s">
        <v>323</v>
      </c>
      <c r="H457">
        <v>20</v>
      </c>
      <c r="I457" s="24">
        <v>8.3113425925925855E-2</v>
      </c>
      <c r="J457">
        <f t="shared" si="14"/>
        <v>0</v>
      </c>
      <c r="K457">
        <f t="shared" si="15"/>
        <v>0</v>
      </c>
    </row>
    <row r="458" spans="1:11" x14ac:dyDescent="0.25">
      <c r="A458">
        <v>6</v>
      </c>
      <c r="B458" t="s">
        <v>59</v>
      </c>
      <c r="C458" s="4">
        <v>0.85865740740740737</v>
      </c>
      <c r="D458" s="23">
        <v>0.8586921296296296</v>
      </c>
      <c r="E458" s="23">
        <v>0.94177083333333333</v>
      </c>
      <c r="F458" t="s">
        <v>328</v>
      </c>
      <c r="G458" t="s">
        <v>323</v>
      </c>
      <c r="H458">
        <v>20</v>
      </c>
      <c r="I458" s="24">
        <v>8.3113425925925855E-2</v>
      </c>
      <c r="J458">
        <f t="shared" si="14"/>
        <v>0</v>
      </c>
      <c r="K458">
        <f t="shared" si="15"/>
        <v>0</v>
      </c>
    </row>
    <row r="459" spans="1:11" x14ac:dyDescent="0.25">
      <c r="A459">
        <v>7</v>
      </c>
      <c r="B459" t="s">
        <v>97</v>
      </c>
      <c r="C459" s="4">
        <v>0.85865740740740737</v>
      </c>
      <c r="D459" s="23">
        <v>0.86534722222222227</v>
      </c>
      <c r="E459" s="23">
        <v>0.94177083333333333</v>
      </c>
      <c r="F459" t="s">
        <v>329</v>
      </c>
      <c r="G459" t="s">
        <v>323</v>
      </c>
      <c r="H459">
        <v>20</v>
      </c>
      <c r="I459" s="24">
        <v>8.3113425925925855E-2</v>
      </c>
      <c r="J459">
        <f t="shared" si="14"/>
        <v>0</v>
      </c>
      <c r="K459">
        <f t="shared" si="15"/>
        <v>0</v>
      </c>
    </row>
    <row r="460" spans="1:11" x14ac:dyDescent="0.25">
      <c r="A460">
        <v>8</v>
      </c>
      <c r="B460" t="s">
        <v>181</v>
      </c>
      <c r="C460" s="4">
        <v>0.85865740740740737</v>
      </c>
      <c r="D460" s="23">
        <v>0.8586921296296296</v>
      </c>
      <c r="E460" s="23">
        <v>0.94177083333333333</v>
      </c>
      <c r="F460" t="s">
        <v>330</v>
      </c>
      <c r="G460" t="s">
        <v>323</v>
      </c>
      <c r="H460">
        <v>20</v>
      </c>
      <c r="I460" s="24">
        <v>8.3113425925925855E-2</v>
      </c>
      <c r="J460">
        <f t="shared" si="14"/>
        <v>0</v>
      </c>
      <c r="K460">
        <f t="shared" si="15"/>
        <v>0</v>
      </c>
    </row>
    <row r="461" spans="1:11" x14ac:dyDescent="0.25">
      <c r="A461">
        <v>9</v>
      </c>
      <c r="B461" t="s">
        <v>36</v>
      </c>
      <c r="C461" s="4">
        <v>0.85865740740740737</v>
      </c>
      <c r="D461" s="23">
        <v>0.8586921296296296</v>
      </c>
      <c r="E461" s="23">
        <v>0.94177083333333333</v>
      </c>
      <c r="F461" t="s">
        <v>331</v>
      </c>
      <c r="G461" t="s">
        <v>323</v>
      </c>
      <c r="H461">
        <v>20</v>
      </c>
      <c r="I461" s="24">
        <v>8.3113425925925855E-2</v>
      </c>
      <c r="J461">
        <f t="shared" si="14"/>
        <v>0</v>
      </c>
      <c r="K461">
        <f t="shared" si="15"/>
        <v>0</v>
      </c>
    </row>
    <row r="462" spans="1:11" x14ac:dyDescent="0.25">
      <c r="A462">
        <v>10</v>
      </c>
      <c r="B462" t="s">
        <v>222</v>
      </c>
      <c r="C462" s="4">
        <v>0.85865740740740737</v>
      </c>
      <c r="D462" s="23">
        <v>0.8586921296296296</v>
      </c>
      <c r="E462" s="23">
        <v>0.94177083333333333</v>
      </c>
      <c r="F462" t="s">
        <v>332</v>
      </c>
      <c r="G462" t="s">
        <v>323</v>
      </c>
      <c r="H462">
        <v>20</v>
      </c>
      <c r="I462" s="24">
        <v>8.3113425925925855E-2</v>
      </c>
      <c r="J462">
        <f t="shared" si="14"/>
        <v>0</v>
      </c>
      <c r="K462">
        <f t="shared" si="15"/>
        <v>0</v>
      </c>
    </row>
    <row r="463" spans="1:11" x14ac:dyDescent="0.25">
      <c r="A463">
        <v>11</v>
      </c>
      <c r="B463" t="s">
        <v>16</v>
      </c>
      <c r="C463" s="4">
        <v>0.85865740740740737</v>
      </c>
      <c r="D463" s="23">
        <v>0.8586921296296296</v>
      </c>
      <c r="E463" s="23">
        <v>0.94177083333333333</v>
      </c>
      <c r="F463" t="s">
        <v>333</v>
      </c>
      <c r="G463" t="s">
        <v>323</v>
      </c>
      <c r="H463">
        <v>20</v>
      </c>
      <c r="I463" s="24">
        <v>8.3113425925925855E-2</v>
      </c>
      <c r="J463">
        <f t="shared" si="14"/>
        <v>0</v>
      </c>
      <c r="K463">
        <f t="shared" si="15"/>
        <v>0</v>
      </c>
    </row>
    <row r="464" spans="1:11" x14ac:dyDescent="0.25">
      <c r="A464">
        <v>12</v>
      </c>
      <c r="B464" t="s">
        <v>184</v>
      </c>
      <c r="C464" s="4">
        <v>0.85865740740740737</v>
      </c>
      <c r="D464" s="23">
        <v>0.8586921296296296</v>
      </c>
      <c r="E464" s="23">
        <v>0.94177083333333333</v>
      </c>
      <c r="F464" t="s">
        <v>334</v>
      </c>
      <c r="G464" t="s">
        <v>323</v>
      </c>
      <c r="H464">
        <v>20</v>
      </c>
      <c r="I464" s="24">
        <v>8.3113425925925855E-2</v>
      </c>
      <c r="J464">
        <f t="shared" si="14"/>
        <v>0</v>
      </c>
      <c r="K464">
        <f t="shared" si="15"/>
        <v>0</v>
      </c>
    </row>
    <row r="465" spans="1:11" x14ac:dyDescent="0.25">
      <c r="A465">
        <v>13</v>
      </c>
      <c r="B465" t="s">
        <v>186</v>
      </c>
      <c r="C465" s="4">
        <v>0.85865740740740737</v>
      </c>
      <c r="D465" s="23">
        <v>0.85881944444444447</v>
      </c>
      <c r="E465" s="23">
        <v>0.94177083333333333</v>
      </c>
      <c r="F465" t="s">
        <v>307</v>
      </c>
      <c r="G465" t="s">
        <v>323</v>
      </c>
      <c r="H465">
        <v>20</v>
      </c>
      <c r="I465" s="24">
        <v>8.3113425925925855E-2</v>
      </c>
      <c r="J465">
        <f t="shared" si="14"/>
        <v>0</v>
      </c>
      <c r="K465">
        <f t="shared" si="15"/>
        <v>0</v>
      </c>
    </row>
    <row r="466" spans="1:11" x14ac:dyDescent="0.25">
      <c r="A466">
        <v>14</v>
      </c>
      <c r="B466" t="s">
        <v>335</v>
      </c>
      <c r="C466" s="4">
        <v>0.85865740740740737</v>
      </c>
      <c r="D466" s="23">
        <v>0.86534722222222227</v>
      </c>
      <c r="E466" s="23">
        <v>0.94177083333333333</v>
      </c>
      <c r="F466" t="s">
        <v>336</v>
      </c>
      <c r="G466" t="s">
        <v>323</v>
      </c>
      <c r="H466">
        <v>20</v>
      </c>
      <c r="I466" s="24">
        <v>8.3113425925925855E-2</v>
      </c>
      <c r="J466">
        <f t="shared" si="14"/>
        <v>0</v>
      </c>
      <c r="K466">
        <f t="shared" si="15"/>
        <v>0</v>
      </c>
    </row>
    <row r="467" spans="1:11" x14ac:dyDescent="0.25">
      <c r="A467">
        <v>15</v>
      </c>
      <c r="B467" t="s">
        <v>18</v>
      </c>
      <c r="C467" s="4">
        <v>0.85865740740740737</v>
      </c>
      <c r="D467" s="23">
        <v>0.8586921296296296</v>
      </c>
      <c r="E467" s="23">
        <v>0.94177083333333333</v>
      </c>
      <c r="F467" t="s">
        <v>337</v>
      </c>
      <c r="G467" t="s">
        <v>323</v>
      </c>
      <c r="H467">
        <v>20</v>
      </c>
      <c r="I467" s="24">
        <v>8.3113425925925855E-2</v>
      </c>
      <c r="J467">
        <f t="shared" si="14"/>
        <v>0</v>
      </c>
      <c r="K467">
        <f t="shared" si="15"/>
        <v>0</v>
      </c>
    </row>
    <row r="468" spans="1:11" x14ac:dyDescent="0.25">
      <c r="A468">
        <v>16</v>
      </c>
      <c r="B468" t="s">
        <v>41</v>
      </c>
      <c r="C468" s="4">
        <v>0.85865740740740737</v>
      </c>
      <c r="D468" s="23">
        <v>0.8586921296296296</v>
      </c>
      <c r="E468" s="23">
        <v>0.94177083333333333</v>
      </c>
      <c r="F468" t="s">
        <v>333</v>
      </c>
      <c r="G468" t="s">
        <v>323</v>
      </c>
      <c r="H468">
        <v>20</v>
      </c>
      <c r="I468" s="24">
        <v>8.3113425925925855E-2</v>
      </c>
      <c r="J468">
        <f t="shared" si="14"/>
        <v>0</v>
      </c>
      <c r="K468">
        <f t="shared" si="15"/>
        <v>0</v>
      </c>
    </row>
    <row r="469" spans="1:11" x14ac:dyDescent="0.25">
      <c r="A469">
        <v>17</v>
      </c>
      <c r="B469" t="s">
        <v>60</v>
      </c>
      <c r="C469" s="4">
        <v>0.85865740740740737</v>
      </c>
      <c r="D469" s="23">
        <v>0.87761574074074078</v>
      </c>
      <c r="E469" s="23">
        <v>0.94177083333333333</v>
      </c>
      <c r="F469" t="s">
        <v>338</v>
      </c>
      <c r="G469" t="s">
        <v>323</v>
      </c>
      <c r="H469">
        <v>20</v>
      </c>
      <c r="I469" s="24">
        <v>8.3113425925925855E-2</v>
      </c>
      <c r="J469">
        <f t="shared" si="14"/>
        <v>0</v>
      </c>
      <c r="K469">
        <f t="shared" si="15"/>
        <v>0</v>
      </c>
    </row>
    <row r="470" spans="1:11" x14ac:dyDescent="0.25">
      <c r="A470">
        <v>18</v>
      </c>
      <c r="B470" t="s">
        <v>20</v>
      </c>
      <c r="C470" s="4">
        <v>0.85865740740740737</v>
      </c>
      <c r="D470" s="23">
        <v>0.8586921296296296</v>
      </c>
      <c r="E470" s="23">
        <v>0.94177083333333333</v>
      </c>
      <c r="F470" t="s">
        <v>339</v>
      </c>
      <c r="G470" t="s">
        <v>323</v>
      </c>
      <c r="H470">
        <v>20</v>
      </c>
      <c r="I470" s="24">
        <v>8.3113425925925855E-2</v>
      </c>
      <c r="J470">
        <f t="shared" si="14"/>
        <v>0</v>
      </c>
      <c r="K470">
        <f t="shared" si="15"/>
        <v>0</v>
      </c>
    </row>
    <row r="471" spans="1:11" x14ac:dyDescent="0.25">
      <c r="A471">
        <v>19</v>
      </c>
      <c r="B471" t="s">
        <v>44</v>
      </c>
      <c r="C471" s="4">
        <v>0.85865740740740737</v>
      </c>
      <c r="D471" s="23">
        <v>0.8586921296296296</v>
      </c>
      <c r="E471" s="23">
        <v>0.94177083333333333</v>
      </c>
      <c r="F471" t="s">
        <v>333</v>
      </c>
      <c r="G471" t="s">
        <v>323</v>
      </c>
      <c r="H471">
        <v>20</v>
      </c>
      <c r="I471" s="24">
        <v>8.3113425925925855E-2</v>
      </c>
      <c r="J471">
        <f t="shared" si="14"/>
        <v>0</v>
      </c>
      <c r="K471">
        <f t="shared" si="15"/>
        <v>0</v>
      </c>
    </row>
    <row r="472" spans="1:11" x14ac:dyDescent="0.25">
      <c r="A472">
        <v>20</v>
      </c>
      <c r="B472" t="s">
        <v>22</v>
      </c>
      <c r="C472" s="4">
        <v>0.85865740740740737</v>
      </c>
      <c r="D472" s="23">
        <v>0.8586921296296296</v>
      </c>
      <c r="E472" s="23">
        <v>0.94177083333333333</v>
      </c>
      <c r="F472" t="s">
        <v>333</v>
      </c>
      <c r="G472" t="s">
        <v>323</v>
      </c>
      <c r="H472">
        <v>20</v>
      </c>
      <c r="I472" s="24">
        <v>8.3113425925925855E-2</v>
      </c>
      <c r="J472">
        <f t="shared" si="14"/>
        <v>0</v>
      </c>
      <c r="K472">
        <f t="shared" si="15"/>
        <v>0</v>
      </c>
    </row>
    <row r="473" spans="1:11" x14ac:dyDescent="0.25">
      <c r="A473">
        <v>21</v>
      </c>
      <c r="B473" t="s">
        <v>46</v>
      </c>
      <c r="C473" s="4">
        <v>0.85865740740740737</v>
      </c>
      <c r="D473" s="23">
        <v>0.8586921296296296</v>
      </c>
      <c r="E473" s="23">
        <v>0.94177083333333333</v>
      </c>
      <c r="F473" t="s">
        <v>333</v>
      </c>
      <c r="G473" t="s">
        <v>323</v>
      </c>
      <c r="H473">
        <v>20</v>
      </c>
      <c r="I473" s="24">
        <v>8.3113425925925855E-2</v>
      </c>
      <c r="J473">
        <f t="shared" si="14"/>
        <v>0</v>
      </c>
      <c r="K473">
        <f t="shared" si="15"/>
        <v>0</v>
      </c>
    </row>
    <row r="474" spans="1:11" x14ac:dyDescent="0.25">
      <c r="A474">
        <v>22</v>
      </c>
      <c r="B474" t="s">
        <v>23</v>
      </c>
      <c r="C474" s="4">
        <v>0.85865740740740737</v>
      </c>
      <c r="D474" s="23">
        <v>0.8586921296296296</v>
      </c>
      <c r="E474" s="23">
        <v>0.94177083333333333</v>
      </c>
      <c r="F474" t="s">
        <v>206</v>
      </c>
      <c r="G474" t="s">
        <v>323</v>
      </c>
      <c r="H474">
        <v>20</v>
      </c>
      <c r="I474" s="24">
        <v>8.3113425925925855E-2</v>
      </c>
      <c r="J474">
        <f t="shared" si="14"/>
        <v>0</v>
      </c>
      <c r="K474">
        <f t="shared" si="15"/>
        <v>0</v>
      </c>
    </row>
    <row r="475" spans="1:11" x14ac:dyDescent="0.25">
      <c r="A475">
        <v>23</v>
      </c>
      <c r="B475" t="s">
        <v>78</v>
      </c>
      <c r="C475" s="4">
        <v>0.85865740740740737</v>
      </c>
      <c r="D475" s="23">
        <v>0.8586921296296296</v>
      </c>
      <c r="E475" s="23">
        <v>0.94177083333333333</v>
      </c>
      <c r="F475" t="s">
        <v>340</v>
      </c>
      <c r="G475" t="s">
        <v>323</v>
      </c>
      <c r="H475">
        <v>20</v>
      </c>
      <c r="I475" s="24">
        <v>8.3113425925925855E-2</v>
      </c>
      <c r="J475">
        <f t="shared" si="14"/>
        <v>0</v>
      </c>
      <c r="K475">
        <f t="shared" si="15"/>
        <v>0</v>
      </c>
    </row>
    <row r="476" spans="1:11" x14ac:dyDescent="0.25">
      <c r="A476">
        <v>24</v>
      </c>
      <c r="B476" t="s">
        <v>25</v>
      </c>
      <c r="C476" s="4">
        <v>0.85865740740740737</v>
      </c>
      <c r="D476" s="23">
        <v>0.8586921296296296</v>
      </c>
      <c r="E476" s="23">
        <v>0.94177083333333333</v>
      </c>
      <c r="F476" t="s">
        <v>341</v>
      </c>
      <c r="G476" t="s">
        <v>323</v>
      </c>
      <c r="H476">
        <v>20</v>
      </c>
      <c r="I476" s="24">
        <v>8.3113425925925855E-2</v>
      </c>
      <c r="J476">
        <f t="shared" si="14"/>
        <v>0</v>
      </c>
      <c r="K476">
        <f t="shared" si="15"/>
        <v>0</v>
      </c>
    </row>
    <row r="477" spans="1:11" x14ac:dyDescent="0.25">
      <c r="A477">
        <v>25</v>
      </c>
      <c r="B477" t="s">
        <v>62</v>
      </c>
      <c r="C477" s="4">
        <v>0.85865740740740737</v>
      </c>
      <c r="D477" s="23">
        <v>0.8586921296296296</v>
      </c>
      <c r="E477" s="23">
        <v>0.94177083333333333</v>
      </c>
      <c r="F477" t="s">
        <v>342</v>
      </c>
      <c r="G477" t="s">
        <v>323</v>
      </c>
      <c r="H477">
        <v>20</v>
      </c>
      <c r="I477" s="24">
        <v>8.3113425925925855E-2</v>
      </c>
      <c r="J477">
        <f t="shared" si="14"/>
        <v>0</v>
      </c>
      <c r="K477">
        <f t="shared" si="15"/>
        <v>0</v>
      </c>
    </row>
    <row r="478" spans="1:11" x14ac:dyDescent="0.25">
      <c r="A478">
        <v>27</v>
      </c>
      <c r="B478" t="s">
        <v>83</v>
      </c>
      <c r="C478" s="4">
        <v>0.85865740740740737</v>
      </c>
      <c r="D478" s="23">
        <v>0.86534722222222227</v>
      </c>
      <c r="E478" s="23">
        <v>0.94177083333333333</v>
      </c>
      <c r="F478" t="s">
        <v>343</v>
      </c>
      <c r="G478" t="s">
        <v>323</v>
      </c>
      <c r="H478">
        <v>20</v>
      </c>
      <c r="I478" s="24">
        <v>8.3113425925925855E-2</v>
      </c>
      <c r="J478">
        <f t="shared" si="14"/>
        <v>0</v>
      </c>
      <c r="K478">
        <f t="shared" si="15"/>
        <v>0</v>
      </c>
    </row>
    <row r="479" spans="1:11" x14ac:dyDescent="0.25">
      <c r="A479">
        <v>28</v>
      </c>
      <c r="B479" t="s">
        <v>261</v>
      </c>
      <c r="C479" s="4">
        <v>0.85865740740740737</v>
      </c>
      <c r="D479" s="23">
        <v>0.8586921296296296</v>
      </c>
      <c r="E479" s="23">
        <v>0.94177083333333333</v>
      </c>
      <c r="F479" t="s">
        <v>344</v>
      </c>
      <c r="G479" t="s">
        <v>323</v>
      </c>
      <c r="H479">
        <v>20</v>
      </c>
      <c r="I479" s="24">
        <v>8.3113425925925855E-2</v>
      </c>
      <c r="J479">
        <f t="shared" si="14"/>
        <v>0</v>
      </c>
      <c r="K479">
        <f t="shared" si="15"/>
        <v>0</v>
      </c>
    </row>
    <row r="480" spans="1:11" x14ac:dyDescent="0.25">
      <c r="A480">
        <v>29</v>
      </c>
      <c r="B480" t="s">
        <v>85</v>
      </c>
      <c r="C480" s="4">
        <v>0.85865740740740737</v>
      </c>
      <c r="D480" s="23">
        <v>0.8586921296296296</v>
      </c>
      <c r="E480" s="23">
        <v>0.94177083333333333</v>
      </c>
      <c r="F480" t="s">
        <v>345</v>
      </c>
      <c r="G480" t="s">
        <v>323</v>
      </c>
      <c r="H480">
        <v>20</v>
      </c>
      <c r="I480" s="24">
        <v>8.3113425925925855E-2</v>
      </c>
      <c r="J480">
        <f t="shared" si="14"/>
        <v>0</v>
      </c>
      <c r="K480">
        <f t="shared" si="15"/>
        <v>0</v>
      </c>
    </row>
    <row r="481" spans="1:11" x14ac:dyDescent="0.25">
      <c r="A481">
        <v>30</v>
      </c>
      <c r="B481" t="s">
        <v>101</v>
      </c>
      <c r="C481" s="4">
        <v>0.85865740740740737</v>
      </c>
      <c r="D481" s="23">
        <v>0.8586921296296296</v>
      </c>
      <c r="E481" s="23">
        <v>0.94177083333333333</v>
      </c>
      <c r="F481" t="s">
        <v>346</v>
      </c>
      <c r="G481" t="s">
        <v>323</v>
      </c>
      <c r="H481">
        <v>20</v>
      </c>
      <c r="I481" s="24">
        <v>8.3113425925925855E-2</v>
      </c>
      <c r="J481">
        <f t="shared" si="14"/>
        <v>0</v>
      </c>
      <c r="K481">
        <f t="shared" si="15"/>
        <v>0</v>
      </c>
    </row>
    <row r="482" spans="1:11" x14ac:dyDescent="0.25">
      <c r="A482">
        <v>31</v>
      </c>
      <c r="B482" t="s">
        <v>53</v>
      </c>
      <c r="C482" s="4">
        <v>0.85865740740740737</v>
      </c>
      <c r="D482" s="23">
        <v>0.8586921296296296</v>
      </c>
      <c r="E482" s="23">
        <v>0.94177083333333333</v>
      </c>
      <c r="F482" t="s">
        <v>347</v>
      </c>
      <c r="G482" t="s">
        <v>323</v>
      </c>
      <c r="H482">
        <v>20</v>
      </c>
      <c r="I482" s="24">
        <v>8.3113425925925855E-2</v>
      </c>
      <c r="J482">
        <f t="shared" si="14"/>
        <v>0</v>
      </c>
      <c r="K482">
        <f t="shared" si="15"/>
        <v>0</v>
      </c>
    </row>
    <row r="483" spans="1:11" x14ac:dyDescent="0.25">
      <c r="A483">
        <v>32</v>
      </c>
      <c r="B483" t="s">
        <v>348</v>
      </c>
      <c r="C483" s="4">
        <v>0.85865740740740737</v>
      </c>
      <c r="D483" s="23">
        <v>0.86746527777777782</v>
      </c>
      <c r="E483" s="23">
        <v>0.94177083333333333</v>
      </c>
      <c r="F483" t="s">
        <v>349</v>
      </c>
      <c r="G483" t="s">
        <v>323</v>
      </c>
      <c r="H483">
        <v>20</v>
      </c>
      <c r="I483" s="24">
        <v>8.3113425925925855E-2</v>
      </c>
      <c r="J483">
        <f t="shared" si="14"/>
        <v>0</v>
      </c>
      <c r="K483">
        <f t="shared" si="15"/>
        <v>0</v>
      </c>
    </row>
    <row r="484" spans="1:11" x14ac:dyDescent="0.25">
      <c r="A484">
        <v>33</v>
      </c>
      <c r="B484" t="s">
        <v>321</v>
      </c>
      <c r="C484" s="4">
        <v>0.85865740740740737</v>
      </c>
      <c r="D484" s="23">
        <v>0.8586921296296296</v>
      </c>
      <c r="E484" s="23">
        <v>0.94177083333333333</v>
      </c>
      <c r="F484" t="s">
        <v>350</v>
      </c>
      <c r="G484" t="s">
        <v>323</v>
      </c>
      <c r="H484">
        <v>20</v>
      </c>
      <c r="I484" s="24">
        <v>8.3113425925925855E-2</v>
      </c>
      <c r="J484">
        <f t="shared" si="14"/>
        <v>0</v>
      </c>
      <c r="K484">
        <f t="shared" si="15"/>
        <v>0</v>
      </c>
    </row>
    <row r="485" spans="1:11" x14ac:dyDescent="0.25">
      <c r="A485">
        <v>34</v>
      </c>
      <c r="B485" t="s">
        <v>27</v>
      </c>
      <c r="C485" s="4">
        <v>0.85865740740740737</v>
      </c>
      <c r="D485" s="23">
        <v>0.8586921296296296</v>
      </c>
      <c r="E485" s="23">
        <v>0.94177083333333333</v>
      </c>
      <c r="F485" t="s">
        <v>333</v>
      </c>
      <c r="G485" t="s">
        <v>323</v>
      </c>
      <c r="H485">
        <v>20</v>
      </c>
      <c r="I485" s="24">
        <v>8.3113425925925855E-2</v>
      </c>
      <c r="J485">
        <f t="shared" si="14"/>
        <v>0</v>
      </c>
      <c r="K485">
        <f t="shared" si="15"/>
        <v>0</v>
      </c>
    </row>
    <row r="486" spans="1:11" x14ac:dyDescent="0.25">
      <c r="A486">
        <v>1</v>
      </c>
      <c r="B486" t="s">
        <v>5</v>
      </c>
      <c r="C486" s="4">
        <v>0.85910879629629633</v>
      </c>
      <c r="D486" s="23">
        <v>0.8591550925925926</v>
      </c>
      <c r="E486" s="23">
        <v>0.94414351851851852</v>
      </c>
      <c r="F486" t="s">
        <v>351</v>
      </c>
      <c r="G486" t="s">
        <v>352</v>
      </c>
      <c r="H486">
        <v>19</v>
      </c>
      <c r="I486" s="24">
        <v>8.5034722222222303E-2</v>
      </c>
      <c r="J486">
        <f t="shared" si="14"/>
        <v>0</v>
      </c>
      <c r="K486">
        <f t="shared" si="15"/>
        <v>0</v>
      </c>
    </row>
    <row r="487" spans="1:11" x14ac:dyDescent="0.25">
      <c r="A487">
        <v>2</v>
      </c>
      <c r="B487" t="s">
        <v>11</v>
      </c>
      <c r="C487" s="4">
        <v>0.85910879629629633</v>
      </c>
      <c r="D487" s="23">
        <v>0.8591550925925926</v>
      </c>
      <c r="E487" s="23">
        <v>0.94414351851851852</v>
      </c>
      <c r="F487" t="s">
        <v>354</v>
      </c>
      <c r="G487" t="s">
        <v>352</v>
      </c>
      <c r="H487">
        <v>19</v>
      </c>
      <c r="I487" s="24">
        <v>8.5034722222222303E-2</v>
      </c>
      <c r="J487">
        <f t="shared" si="14"/>
        <v>0</v>
      </c>
      <c r="K487">
        <f t="shared" si="15"/>
        <v>0</v>
      </c>
    </row>
    <row r="488" spans="1:11" x14ac:dyDescent="0.25">
      <c r="A488">
        <v>3</v>
      </c>
      <c r="B488" t="s">
        <v>35</v>
      </c>
      <c r="C488" s="4">
        <v>0.85910879629629633</v>
      </c>
      <c r="D488" s="23">
        <v>0.8591550925925926</v>
      </c>
      <c r="E488" s="23">
        <v>0.94414351851851852</v>
      </c>
      <c r="F488" t="s">
        <v>355</v>
      </c>
      <c r="G488" t="s">
        <v>352</v>
      </c>
      <c r="H488">
        <v>19</v>
      </c>
      <c r="I488" s="24">
        <v>8.5034722222222303E-2</v>
      </c>
      <c r="J488">
        <f t="shared" si="14"/>
        <v>0</v>
      </c>
      <c r="K488">
        <f t="shared" si="15"/>
        <v>0</v>
      </c>
    </row>
    <row r="489" spans="1:11" x14ac:dyDescent="0.25">
      <c r="A489">
        <v>5</v>
      </c>
      <c r="B489" t="s">
        <v>70</v>
      </c>
      <c r="C489" s="4">
        <v>0.85910879629629633</v>
      </c>
      <c r="D489" s="23">
        <v>0.8591550925925926</v>
      </c>
      <c r="E489" s="23">
        <v>0.94414351851851852</v>
      </c>
      <c r="F489" t="s">
        <v>357</v>
      </c>
      <c r="G489" t="s">
        <v>352</v>
      </c>
      <c r="H489">
        <v>19</v>
      </c>
      <c r="I489" s="24">
        <v>8.5034722222222303E-2</v>
      </c>
      <c r="J489">
        <f t="shared" si="14"/>
        <v>0</v>
      </c>
      <c r="K489">
        <f t="shared" si="15"/>
        <v>0</v>
      </c>
    </row>
    <row r="490" spans="1:11" x14ac:dyDescent="0.25">
      <c r="A490">
        <v>6</v>
      </c>
      <c r="B490" t="s">
        <v>59</v>
      </c>
      <c r="C490" s="4">
        <v>0.85910879629629633</v>
      </c>
      <c r="D490" s="23">
        <v>0.8591550925925926</v>
      </c>
      <c r="E490" s="23">
        <v>0.94414351851851852</v>
      </c>
      <c r="F490" t="s">
        <v>358</v>
      </c>
      <c r="G490" t="s">
        <v>352</v>
      </c>
      <c r="H490">
        <v>19</v>
      </c>
      <c r="I490" s="24">
        <v>8.5034722222222303E-2</v>
      </c>
      <c r="J490">
        <f t="shared" si="14"/>
        <v>0</v>
      </c>
      <c r="K490">
        <f t="shared" si="15"/>
        <v>0</v>
      </c>
    </row>
    <row r="491" spans="1:11" x14ac:dyDescent="0.25">
      <c r="A491">
        <v>7</v>
      </c>
      <c r="B491" t="s">
        <v>97</v>
      </c>
      <c r="C491" s="4">
        <v>0.85910879629629633</v>
      </c>
      <c r="D491" s="23">
        <v>0.8591550925925926</v>
      </c>
      <c r="E491" s="23">
        <v>0.94414351851851852</v>
      </c>
      <c r="F491" t="s">
        <v>358</v>
      </c>
      <c r="G491" t="s">
        <v>352</v>
      </c>
      <c r="H491">
        <v>19</v>
      </c>
      <c r="I491" s="24">
        <v>8.5034722222222303E-2</v>
      </c>
      <c r="J491">
        <f t="shared" si="14"/>
        <v>0</v>
      </c>
      <c r="K491">
        <f t="shared" si="15"/>
        <v>0</v>
      </c>
    </row>
    <row r="492" spans="1:11" x14ac:dyDescent="0.25">
      <c r="A492">
        <v>8</v>
      </c>
      <c r="B492" t="s">
        <v>181</v>
      </c>
      <c r="C492" s="4">
        <v>0.85910879629629633</v>
      </c>
      <c r="D492" s="23">
        <v>0.8591550925925926</v>
      </c>
      <c r="E492" s="23">
        <v>0.94414351851851852</v>
      </c>
      <c r="F492" t="s">
        <v>356</v>
      </c>
      <c r="G492" t="s">
        <v>352</v>
      </c>
      <c r="H492">
        <v>19</v>
      </c>
      <c r="I492" s="24">
        <v>8.5034722222222303E-2</v>
      </c>
      <c r="J492">
        <f t="shared" si="14"/>
        <v>0</v>
      </c>
      <c r="K492">
        <f t="shared" si="15"/>
        <v>0</v>
      </c>
    </row>
    <row r="493" spans="1:11" x14ac:dyDescent="0.25">
      <c r="A493">
        <v>10</v>
      </c>
      <c r="B493" t="s">
        <v>36</v>
      </c>
      <c r="C493" s="4">
        <v>0.85910879629629633</v>
      </c>
      <c r="D493" s="23">
        <v>0.8591550925925926</v>
      </c>
      <c r="E493" s="23">
        <v>0.94414351851851852</v>
      </c>
      <c r="F493" t="s">
        <v>358</v>
      </c>
      <c r="G493" t="s">
        <v>352</v>
      </c>
      <c r="H493">
        <v>19</v>
      </c>
      <c r="I493" s="24">
        <v>8.5034722222222303E-2</v>
      </c>
      <c r="J493">
        <f t="shared" si="14"/>
        <v>0</v>
      </c>
      <c r="K493">
        <f t="shared" si="15"/>
        <v>0</v>
      </c>
    </row>
    <row r="494" spans="1:11" x14ac:dyDescent="0.25">
      <c r="A494">
        <v>11</v>
      </c>
      <c r="B494" t="s">
        <v>222</v>
      </c>
      <c r="C494" s="4">
        <v>0.85910879629629633</v>
      </c>
      <c r="D494" s="23">
        <v>0.86062499999999997</v>
      </c>
      <c r="E494" s="23">
        <v>0.94414351851851852</v>
      </c>
      <c r="F494" t="s">
        <v>361</v>
      </c>
      <c r="G494" t="s">
        <v>352</v>
      </c>
      <c r="H494">
        <v>19</v>
      </c>
      <c r="I494" s="24">
        <v>8.5034722222222303E-2</v>
      </c>
      <c r="J494">
        <f t="shared" si="14"/>
        <v>0</v>
      </c>
      <c r="K494">
        <f t="shared" si="15"/>
        <v>0</v>
      </c>
    </row>
    <row r="495" spans="1:11" x14ac:dyDescent="0.25">
      <c r="A495">
        <v>12</v>
      </c>
      <c r="B495" t="s">
        <v>16</v>
      </c>
      <c r="C495" s="4">
        <v>0.85910879629629633</v>
      </c>
      <c r="D495" s="23">
        <v>0.8591550925925926</v>
      </c>
      <c r="E495" s="23">
        <v>0.94414351851851852</v>
      </c>
      <c r="F495" t="s">
        <v>351</v>
      </c>
      <c r="G495" t="s">
        <v>352</v>
      </c>
      <c r="H495">
        <v>19</v>
      </c>
      <c r="I495" s="24">
        <v>8.5034722222222303E-2</v>
      </c>
      <c r="J495">
        <f t="shared" si="14"/>
        <v>0</v>
      </c>
      <c r="K495">
        <f t="shared" si="15"/>
        <v>0</v>
      </c>
    </row>
    <row r="496" spans="1:11" x14ac:dyDescent="0.25">
      <c r="A496">
        <v>13</v>
      </c>
      <c r="B496" t="s">
        <v>184</v>
      </c>
      <c r="C496" s="4">
        <v>0.85910879629629633</v>
      </c>
      <c r="D496" s="23">
        <v>0.86061342592592593</v>
      </c>
      <c r="E496" s="23">
        <v>0.94414351851851852</v>
      </c>
      <c r="F496" t="s">
        <v>362</v>
      </c>
      <c r="G496" t="s">
        <v>352</v>
      </c>
      <c r="H496">
        <v>19</v>
      </c>
      <c r="I496" s="24">
        <v>8.5034722222222303E-2</v>
      </c>
      <c r="J496">
        <f t="shared" si="14"/>
        <v>0</v>
      </c>
      <c r="K496">
        <f t="shared" si="15"/>
        <v>0</v>
      </c>
    </row>
    <row r="497" spans="1:11" x14ac:dyDescent="0.25">
      <c r="A497">
        <v>14</v>
      </c>
      <c r="B497" t="s">
        <v>186</v>
      </c>
      <c r="C497" s="4">
        <v>0.85910879629629633</v>
      </c>
      <c r="D497" s="23">
        <v>0.8591550925925926</v>
      </c>
      <c r="E497" s="23">
        <v>0.94414351851851852</v>
      </c>
      <c r="F497" t="s">
        <v>363</v>
      </c>
      <c r="G497" t="s">
        <v>352</v>
      </c>
      <c r="H497">
        <v>19</v>
      </c>
      <c r="I497" s="24">
        <v>8.5034722222222303E-2</v>
      </c>
      <c r="J497">
        <f t="shared" si="14"/>
        <v>0</v>
      </c>
      <c r="K497">
        <f t="shared" si="15"/>
        <v>0</v>
      </c>
    </row>
    <row r="498" spans="1:11" x14ac:dyDescent="0.25">
      <c r="A498">
        <v>15</v>
      </c>
      <c r="B498" t="s">
        <v>18</v>
      </c>
      <c r="C498" s="4">
        <v>0.85910879629629633</v>
      </c>
      <c r="D498" s="23">
        <v>0.8591550925925926</v>
      </c>
      <c r="E498" s="23">
        <v>0.94414351851851852</v>
      </c>
      <c r="F498" t="s">
        <v>364</v>
      </c>
      <c r="G498" t="s">
        <v>352</v>
      </c>
      <c r="H498">
        <v>19</v>
      </c>
      <c r="I498" s="24">
        <v>8.5034722222222303E-2</v>
      </c>
      <c r="J498">
        <f t="shared" si="14"/>
        <v>0</v>
      </c>
      <c r="K498">
        <f t="shared" si="15"/>
        <v>0</v>
      </c>
    </row>
    <row r="499" spans="1:11" x14ac:dyDescent="0.25">
      <c r="A499">
        <v>16</v>
      </c>
      <c r="B499" t="s">
        <v>41</v>
      </c>
      <c r="C499" s="4">
        <v>0.85910879629629633</v>
      </c>
      <c r="D499" s="23">
        <v>0.8591550925925926</v>
      </c>
      <c r="E499" s="23">
        <v>0.94414351851851852</v>
      </c>
      <c r="F499" t="s">
        <v>351</v>
      </c>
      <c r="G499" t="s">
        <v>352</v>
      </c>
      <c r="H499">
        <v>19</v>
      </c>
      <c r="I499" s="24">
        <v>8.5034722222222303E-2</v>
      </c>
      <c r="J499">
        <f t="shared" si="14"/>
        <v>0</v>
      </c>
      <c r="K499">
        <f t="shared" si="15"/>
        <v>0</v>
      </c>
    </row>
    <row r="500" spans="1:11" x14ac:dyDescent="0.25">
      <c r="A500">
        <v>17</v>
      </c>
      <c r="B500" t="s">
        <v>60</v>
      </c>
      <c r="C500" s="4">
        <v>0.85910879629629633</v>
      </c>
      <c r="D500" s="23">
        <v>0.8591550925925926</v>
      </c>
      <c r="E500" s="23">
        <v>0.94414351851851852</v>
      </c>
      <c r="F500" t="s">
        <v>356</v>
      </c>
      <c r="G500" t="s">
        <v>352</v>
      </c>
      <c r="H500">
        <v>19</v>
      </c>
      <c r="I500" s="24">
        <v>8.5034722222222303E-2</v>
      </c>
      <c r="J500">
        <f t="shared" ref="J500:J562" si="16">IF(AND(H500&gt;=1,H500&lt;=7),1,0)</f>
        <v>0</v>
      </c>
      <c r="K500">
        <f t="shared" ref="K500:K562" si="17">IF(AND(H500&gt;=30,H500&lt;=36),1,0)</f>
        <v>0</v>
      </c>
    </row>
    <row r="501" spans="1:11" x14ac:dyDescent="0.25">
      <c r="A501">
        <v>18</v>
      </c>
      <c r="B501" t="s">
        <v>20</v>
      </c>
      <c r="C501" s="4">
        <v>0.85910879629629633</v>
      </c>
      <c r="D501" s="23">
        <v>0.8591550925925926</v>
      </c>
      <c r="E501" s="23">
        <v>0.94414351851851852</v>
      </c>
      <c r="F501" t="s">
        <v>358</v>
      </c>
      <c r="G501" t="s">
        <v>352</v>
      </c>
      <c r="H501">
        <v>19</v>
      </c>
      <c r="I501" s="24">
        <v>8.5034722222222303E-2</v>
      </c>
      <c r="J501">
        <f t="shared" si="16"/>
        <v>0</v>
      </c>
      <c r="K501">
        <f t="shared" si="17"/>
        <v>0</v>
      </c>
    </row>
    <row r="502" spans="1:11" x14ac:dyDescent="0.25">
      <c r="A502">
        <v>19</v>
      </c>
      <c r="B502" t="s">
        <v>44</v>
      </c>
      <c r="C502" s="4">
        <v>0.85910879629629633</v>
      </c>
      <c r="D502" s="23">
        <v>0.8591550925925926</v>
      </c>
      <c r="E502" s="23">
        <v>0.94414351851851852</v>
      </c>
      <c r="F502" t="s">
        <v>365</v>
      </c>
      <c r="G502" t="s">
        <v>352</v>
      </c>
      <c r="H502">
        <v>19</v>
      </c>
      <c r="I502" s="24">
        <v>8.5034722222222303E-2</v>
      </c>
      <c r="J502">
        <f t="shared" si="16"/>
        <v>0</v>
      </c>
      <c r="K502">
        <f t="shared" si="17"/>
        <v>0</v>
      </c>
    </row>
    <row r="503" spans="1:11" x14ac:dyDescent="0.25">
      <c r="A503">
        <v>20</v>
      </c>
      <c r="B503" t="s">
        <v>156</v>
      </c>
      <c r="C503" s="4">
        <v>0.85910879629629633</v>
      </c>
      <c r="D503" s="23">
        <v>0.8591550925925926</v>
      </c>
      <c r="E503" s="23">
        <v>0.94414351851851852</v>
      </c>
      <c r="F503" t="s">
        <v>356</v>
      </c>
      <c r="G503" t="s">
        <v>352</v>
      </c>
      <c r="H503">
        <v>19</v>
      </c>
      <c r="I503" s="24">
        <v>8.5034722222222303E-2</v>
      </c>
      <c r="J503">
        <f t="shared" si="16"/>
        <v>0</v>
      </c>
      <c r="K503">
        <f t="shared" si="17"/>
        <v>0</v>
      </c>
    </row>
    <row r="504" spans="1:11" x14ac:dyDescent="0.25">
      <c r="A504">
        <v>21</v>
      </c>
      <c r="B504" t="s">
        <v>238</v>
      </c>
      <c r="C504" s="4">
        <v>0.85910879629629633</v>
      </c>
      <c r="D504" s="23">
        <v>0.8591550925925926</v>
      </c>
      <c r="E504" s="23">
        <v>0.94414351851851852</v>
      </c>
      <c r="F504" t="s">
        <v>356</v>
      </c>
      <c r="G504" t="s">
        <v>352</v>
      </c>
      <c r="H504">
        <v>19</v>
      </c>
      <c r="I504" s="24">
        <v>8.5034722222222303E-2</v>
      </c>
      <c r="J504">
        <f t="shared" si="16"/>
        <v>0</v>
      </c>
      <c r="K504">
        <f t="shared" si="17"/>
        <v>0</v>
      </c>
    </row>
    <row r="505" spans="1:11" x14ac:dyDescent="0.25">
      <c r="A505">
        <v>22</v>
      </c>
      <c r="B505" t="s">
        <v>22</v>
      </c>
      <c r="C505" s="4">
        <v>0.85910879629629633</v>
      </c>
      <c r="D505" s="23">
        <v>0.8591550925925926</v>
      </c>
      <c r="E505" s="23">
        <v>0.94414351851851852</v>
      </c>
      <c r="F505" t="s">
        <v>351</v>
      </c>
      <c r="G505" t="s">
        <v>352</v>
      </c>
      <c r="H505">
        <v>19</v>
      </c>
      <c r="I505" s="24">
        <v>8.5034722222222303E-2</v>
      </c>
      <c r="J505">
        <f t="shared" si="16"/>
        <v>0</v>
      </c>
      <c r="K505">
        <f t="shared" si="17"/>
        <v>0</v>
      </c>
    </row>
    <row r="506" spans="1:11" x14ac:dyDescent="0.25">
      <c r="A506">
        <v>23</v>
      </c>
      <c r="B506" t="s">
        <v>46</v>
      </c>
      <c r="C506" s="4">
        <v>0.85910879629629633</v>
      </c>
      <c r="D506" s="23">
        <v>0.8591550925925926</v>
      </c>
      <c r="E506" s="23">
        <v>0.94414351851851852</v>
      </c>
      <c r="F506" t="s">
        <v>351</v>
      </c>
      <c r="G506" t="s">
        <v>352</v>
      </c>
      <c r="H506">
        <v>19</v>
      </c>
      <c r="I506" s="24">
        <v>8.5034722222222303E-2</v>
      </c>
      <c r="J506">
        <f t="shared" si="16"/>
        <v>0</v>
      </c>
      <c r="K506">
        <f t="shared" si="17"/>
        <v>0</v>
      </c>
    </row>
    <row r="507" spans="1:11" x14ac:dyDescent="0.25">
      <c r="A507">
        <v>24</v>
      </c>
      <c r="B507" t="s">
        <v>23</v>
      </c>
      <c r="C507" s="4">
        <v>0.85910879629629633</v>
      </c>
      <c r="D507" s="23">
        <v>0.8591550925925926</v>
      </c>
      <c r="E507" s="23">
        <v>0.94414351851851852</v>
      </c>
      <c r="F507" t="s">
        <v>356</v>
      </c>
      <c r="G507" t="s">
        <v>352</v>
      </c>
      <c r="H507">
        <v>19</v>
      </c>
      <c r="I507" s="24">
        <v>8.5034722222222303E-2</v>
      </c>
      <c r="J507">
        <f t="shared" si="16"/>
        <v>0</v>
      </c>
      <c r="K507">
        <f t="shared" si="17"/>
        <v>0</v>
      </c>
    </row>
    <row r="508" spans="1:11" x14ac:dyDescent="0.25">
      <c r="A508">
        <v>25</v>
      </c>
      <c r="B508" t="s">
        <v>78</v>
      </c>
      <c r="C508" s="4">
        <v>0.85910879629629633</v>
      </c>
      <c r="D508" s="23">
        <v>0.90354166666666669</v>
      </c>
      <c r="E508" s="23">
        <v>0.94414351851851852</v>
      </c>
      <c r="F508" t="s">
        <v>360</v>
      </c>
      <c r="G508" t="s">
        <v>352</v>
      </c>
      <c r="H508">
        <v>19</v>
      </c>
      <c r="I508" s="24">
        <v>8.5034722222222303E-2</v>
      </c>
      <c r="J508">
        <f t="shared" si="16"/>
        <v>0</v>
      </c>
      <c r="K508">
        <f t="shared" si="17"/>
        <v>0</v>
      </c>
    </row>
    <row r="509" spans="1:11" x14ac:dyDescent="0.25">
      <c r="A509">
        <v>26</v>
      </c>
      <c r="B509" t="s">
        <v>268</v>
      </c>
      <c r="C509" s="4">
        <v>0.85910879629629633</v>
      </c>
      <c r="D509" s="23">
        <v>0.8591550925925926</v>
      </c>
      <c r="E509" s="23">
        <v>0.94414351851851852</v>
      </c>
      <c r="F509" t="s">
        <v>366</v>
      </c>
      <c r="G509" t="s">
        <v>352</v>
      </c>
      <c r="H509">
        <v>19</v>
      </c>
      <c r="I509" s="24">
        <v>8.5034722222222303E-2</v>
      </c>
      <c r="J509">
        <f t="shared" si="16"/>
        <v>0</v>
      </c>
      <c r="K509">
        <f t="shared" si="17"/>
        <v>0</v>
      </c>
    </row>
    <row r="510" spans="1:11" x14ac:dyDescent="0.25">
      <c r="A510">
        <v>27</v>
      </c>
      <c r="B510" t="s">
        <v>200</v>
      </c>
      <c r="C510" s="4">
        <v>0.85910879629629633</v>
      </c>
      <c r="D510" s="23">
        <v>0.8591550925925926</v>
      </c>
      <c r="E510" s="23">
        <v>0.94414351851851852</v>
      </c>
      <c r="F510" t="s">
        <v>367</v>
      </c>
      <c r="G510" t="s">
        <v>352</v>
      </c>
      <c r="H510">
        <v>19</v>
      </c>
      <c r="I510" s="24">
        <v>8.5034722222222303E-2</v>
      </c>
      <c r="J510">
        <f t="shared" si="16"/>
        <v>0</v>
      </c>
      <c r="K510">
        <f t="shared" si="17"/>
        <v>0</v>
      </c>
    </row>
    <row r="511" spans="1:11" x14ac:dyDescent="0.25">
      <c r="A511">
        <v>28</v>
      </c>
      <c r="B511" t="s">
        <v>25</v>
      </c>
      <c r="C511" s="4">
        <v>0.85910879629629633</v>
      </c>
      <c r="D511" s="23">
        <v>0.90354166666666669</v>
      </c>
      <c r="E511" s="23">
        <v>0.94414351851851852</v>
      </c>
      <c r="F511" t="s">
        <v>368</v>
      </c>
      <c r="G511" t="s">
        <v>352</v>
      </c>
      <c r="H511">
        <v>19</v>
      </c>
      <c r="I511" s="24">
        <v>8.5034722222222303E-2</v>
      </c>
      <c r="J511">
        <f t="shared" si="16"/>
        <v>0</v>
      </c>
      <c r="K511">
        <f t="shared" si="17"/>
        <v>0</v>
      </c>
    </row>
    <row r="512" spans="1:11" x14ac:dyDescent="0.25">
      <c r="A512">
        <v>29</v>
      </c>
      <c r="B512" t="s">
        <v>50</v>
      </c>
      <c r="C512" s="4">
        <v>0.85910879629629633</v>
      </c>
      <c r="D512" s="23">
        <v>0.8591550925925926</v>
      </c>
      <c r="E512" s="23">
        <v>0.94414351851851852</v>
      </c>
      <c r="F512" t="s">
        <v>358</v>
      </c>
      <c r="G512" t="s">
        <v>352</v>
      </c>
      <c r="H512">
        <v>19</v>
      </c>
      <c r="I512" s="24">
        <v>8.5034722222222303E-2</v>
      </c>
      <c r="J512">
        <f t="shared" si="16"/>
        <v>0</v>
      </c>
      <c r="K512">
        <f t="shared" si="17"/>
        <v>0</v>
      </c>
    </row>
    <row r="513" spans="1:11" x14ac:dyDescent="0.25">
      <c r="A513">
        <v>31</v>
      </c>
      <c r="B513" t="s">
        <v>83</v>
      </c>
      <c r="C513" s="4">
        <v>0.85910879629629633</v>
      </c>
      <c r="D513" s="23">
        <v>0.8591550925925926</v>
      </c>
      <c r="E513" s="23">
        <v>0.94414351851851852</v>
      </c>
      <c r="F513" t="s">
        <v>369</v>
      </c>
      <c r="G513" t="s">
        <v>352</v>
      </c>
      <c r="H513">
        <v>19</v>
      </c>
      <c r="I513" s="24">
        <v>8.5034722222222303E-2</v>
      </c>
      <c r="J513">
        <f t="shared" si="16"/>
        <v>0</v>
      </c>
      <c r="K513">
        <f t="shared" si="17"/>
        <v>0</v>
      </c>
    </row>
    <row r="514" spans="1:11" x14ac:dyDescent="0.25">
      <c r="A514">
        <v>32</v>
      </c>
      <c r="B514" t="s">
        <v>261</v>
      </c>
      <c r="C514" s="4">
        <v>0.85910879629629633</v>
      </c>
      <c r="D514" s="23">
        <v>0.8591550925925926</v>
      </c>
      <c r="E514" s="23">
        <v>0.94414351851851852</v>
      </c>
      <c r="F514" t="s">
        <v>370</v>
      </c>
      <c r="G514" t="s">
        <v>352</v>
      </c>
      <c r="H514">
        <v>19</v>
      </c>
      <c r="I514" s="24">
        <v>8.5034722222222303E-2</v>
      </c>
      <c r="J514">
        <f t="shared" si="16"/>
        <v>0</v>
      </c>
      <c r="K514">
        <f t="shared" si="17"/>
        <v>0</v>
      </c>
    </row>
    <row r="515" spans="1:11" x14ac:dyDescent="0.25">
      <c r="A515">
        <v>33</v>
      </c>
      <c r="B515" t="s">
        <v>85</v>
      </c>
      <c r="C515" s="4">
        <v>0.85910879629629633</v>
      </c>
      <c r="D515" s="23">
        <v>0.8591550925925926</v>
      </c>
      <c r="E515" s="23">
        <v>0.94414351851851852</v>
      </c>
      <c r="F515" t="s">
        <v>371</v>
      </c>
      <c r="G515" t="s">
        <v>352</v>
      </c>
      <c r="H515">
        <v>19</v>
      </c>
      <c r="I515" s="24">
        <v>8.5034722222222303E-2</v>
      </c>
      <c r="J515">
        <f t="shared" si="16"/>
        <v>0</v>
      </c>
      <c r="K515">
        <f t="shared" si="17"/>
        <v>0</v>
      </c>
    </row>
    <row r="516" spans="1:11" x14ac:dyDescent="0.25">
      <c r="A516">
        <v>34</v>
      </c>
      <c r="B516" t="s">
        <v>53</v>
      </c>
      <c r="C516" s="4">
        <v>0.85910879629629633</v>
      </c>
      <c r="D516" s="23">
        <v>0.90354166666666669</v>
      </c>
      <c r="E516" s="23">
        <v>0.94414351851851852</v>
      </c>
      <c r="F516" t="s">
        <v>360</v>
      </c>
      <c r="G516" t="s">
        <v>352</v>
      </c>
      <c r="H516">
        <v>19</v>
      </c>
      <c r="I516" s="24">
        <v>8.5034722222222303E-2</v>
      </c>
      <c r="J516">
        <f t="shared" si="16"/>
        <v>0</v>
      </c>
      <c r="K516">
        <f t="shared" si="17"/>
        <v>0</v>
      </c>
    </row>
    <row r="517" spans="1:11" x14ac:dyDescent="0.25">
      <c r="A517">
        <v>35</v>
      </c>
      <c r="B517" t="s">
        <v>89</v>
      </c>
      <c r="C517" s="4">
        <v>0.85910879629629633</v>
      </c>
      <c r="D517" s="23">
        <v>0.90354166666666669</v>
      </c>
      <c r="E517" s="23">
        <v>0.94414351851851852</v>
      </c>
      <c r="F517" t="s">
        <v>372</v>
      </c>
      <c r="G517" t="s">
        <v>352</v>
      </c>
      <c r="H517">
        <v>19</v>
      </c>
      <c r="I517" s="24">
        <v>8.5034722222222303E-2</v>
      </c>
      <c r="J517">
        <f t="shared" si="16"/>
        <v>0</v>
      </c>
      <c r="K517">
        <f t="shared" si="17"/>
        <v>0</v>
      </c>
    </row>
    <row r="518" spans="1:11" x14ac:dyDescent="0.25">
      <c r="A518">
        <v>1</v>
      </c>
      <c r="B518" t="s">
        <v>29</v>
      </c>
      <c r="C518" s="4">
        <v>0.8604398148148148</v>
      </c>
      <c r="D518" s="23">
        <v>0.86047453703703702</v>
      </c>
      <c r="E518" s="23">
        <v>0.92939814814814814</v>
      </c>
      <c r="F518" t="s">
        <v>373</v>
      </c>
      <c r="G518" t="s">
        <v>374</v>
      </c>
      <c r="H518">
        <v>18</v>
      </c>
      <c r="I518" s="24">
        <v>6.8958333333333233E-2</v>
      </c>
      <c r="J518">
        <f t="shared" si="16"/>
        <v>0</v>
      </c>
      <c r="K518">
        <f t="shared" si="17"/>
        <v>0</v>
      </c>
    </row>
    <row r="519" spans="1:11" x14ac:dyDescent="0.25">
      <c r="A519">
        <v>2</v>
      </c>
      <c r="B519" t="s">
        <v>5</v>
      </c>
      <c r="C519" s="4">
        <v>0.8604398148148148</v>
      </c>
      <c r="D519" s="23">
        <v>0.86047453703703702</v>
      </c>
      <c r="E519" s="23">
        <v>0.92939814814814814</v>
      </c>
      <c r="F519" t="s">
        <v>376</v>
      </c>
      <c r="G519" t="s">
        <v>374</v>
      </c>
      <c r="H519">
        <v>18</v>
      </c>
      <c r="I519" s="24">
        <v>6.8958333333333233E-2</v>
      </c>
      <c r="J519">
        <f t="shared" si="16"/>
        <v>0</v>
      </c>
      <c r="K519">
        <f t="shared" si="17"/>
        <v>0</v>
      </c>
    </row>
    <row r="520" spans="1:11" x14ac:dyDescent="0.25">
      <c r="A520">
        <v>3</v>
      </c>
      <c r="B520" t="s">
        <v>9</v>
      </c>
      <c r="C520" s="4">
        <v>0.8604398148148148</v>
      </c>
      <c r="D520" s="23">
        <v>0.86047453703703702</v>
      </c>
      <c r="E520" s="23">
        <v>0.92939814814814814</v>
      </c>
      <c r="F520" t="s">
        <v>377</v>
      </c>
      <c r="G520" t="s">
        <v>374</v>
      </c>
      <c r="H520">
        <v>18</v>
      </c>
      <c r="I520" s="24">
        <v>6.8958333333333233E-2</v>
      </c>
      <c r="J520">
        <f t="shared" si="16"/>
        <v>0</v>
      </c>
      <c r="K520">
        <f t="shared" si="17"/>
        <v>0</v>
      </c>
    </row>
    <row r="521" spans="1:11" x14ac:dyDescent="0.25">
      <c r="A521">
        <v>4</v>
      </c>
      <c r="B521" t="s">
        <v>11</v>
      </c>
      <c r="C521" s="4">
        <v>0.8604398148148148</v>
      </c>
      <c r="D521" s="23">
        <v>0.9281018518518519</v>
      </c>
      <c r="E521" s="23">
        <v>0.92939814814814814</v>
      </c>
      <c r="F521" t="s">
        <v>349</v>
      </c>
      <c r="G521" t="s">
        <v>374</v>
      </c>
      <c r="H521">
        <v>18</v>
      </c>
      <c r="I521" s="24">
        <v>6.8958333333333233E-2</v>
      </c>
      <c r="J521">
        <f t="shared" si="16"/>
        <v>0</v>
      </c>
      <c r="K521">
        <f t="shared" si="17"/>
        <v>0</v>
      </c>
    </row>
    <row r="522" spans="1:11" x14ac:dyDescent="0.25">
      <c r="A522">
        <v>5</v>
      </c>
      <c r="B522" t="s">
        <v>35</v>
      </c>
      <c r="C522" s="4">
        <v>0.8604398148148148</v>
      </c>
      <c r="D522" s="23">
        <v>0.86047453703703702</v>
      </c>
      <c r="E522" s="23">
        <v>0.92939814814814814</v>
      </c>
      <c r="F522" t="s">
        <v>378</v>
      </c>
      <c r="G522" t="s">
        <v>374</v>
      </c>
      <c r="H522">
        <v>18</v>
      </c>
      <c r="I522" s="24">
        <v>6.8958333333333233E-2</v>
      </c>
      <c r="J522">
        <f t="shared" si="16"/>
        <v>0</v>
      </c>
      <c r="K522">
        <f t="shared" si="17"/>
        <v>0</v>
      </c>
    </row>
    <row r="523" spans="1:11" x14ac:dyDescent="0.25">
      <c r="A523">
        <v>6</v>
      </c>
      <c r="B523" t="s">
        <v>379</v>
      </c>
      <c r="C523" s="4">
        <v>0.8604398148148148</v>
      </c>
      <c r="D523" s="23">
        <v>0.86047453703703702</v>
      </c>
      <c r="E523" s="23">
        <v>0.92939814814814814</v>
      </c>
      <c r="F523" t="s">
        <v>378</v>
      </c>
      <c r="G523" t="s">
        <v>374</v>
      </c>
      <c r="H523">
        <v>18</v>
      </c>
      <c r="I523" s="24">
        <v>6.8958333333333233E-2</v>
      </c>
      <c r="J523">
        <f t="shared" si="16"/>
        <v>0</v>
      </c>
      <c r="K523">
        <f t="shared" si="17"/>
        <v>0</v>
      </c>
    </row>
    <row r="524" spans="1:11" x14ac:dyDescent="0.25">
      <c r="A524">
        <v>7</v>
      </c>
      <c r="B524" t="s">
        <v>70</v>
      </c>
      <c r="C524" s="4">
        <v>0.8604398148148148</v>
      </c>
      <c r="D524" s="23">
        <v>0.86047453703703702</v>
      </c>
      <c r="E524" s="23">
        <v>0.92939814814814814</v>
      </c>
      <c r="F524" t="s">
        <v>377</v>
      </c>
      <c r="G524" t="s">
        <v>374</v>
      </c>
      <c r="H524">
        <v>18</v>
      </c>
      <c r="I524" s="24">
        <v>6.8958333333333233E-2</v>
      </c>
      <c r="J524">
        <f t="shared" si="16"/>
        <v>0</v>
      </c>
      <c r="K524">
        <f t="shared" si="17"/>
        <v>0</v>
      </c>
    </row>
    <row r="525" spans="1:11" x14ac:dyDescent="0.25">
      <c r="A525">
        <v>8</v>
      </c>
      <c r="B525" t="s">
        <v>59</v>
      </c>
      <c r="C525" s="4">
        <v>0.8604398148148148</v>
      </c>
      <c r="D525" s="23">
        <v>0.86047453703703702</v>
      </c>
      <c r="E525" s="23">
        <v>0.92939814814814814</v>
      </c>
      <c r="F525" t="s">
        <v>377</v>
      </c>
      <c r="G525" t="s">
        <v>374</v>
      </c>
      <c r="H525">
        <v>18</v>
      </c>
      <c r="I525" s="24">
        <v>6.8958333333333233E-2</v>
      </c>
      <c r="J525">
        <f t="shared" si="16"/>
        <v>0</v>
      </c>
      <c r="K525">
        <f t="shared" si="17"/>
        <v>0</v>
      </c>
    </row>
    <row r="526" spans="1:11" x14ac:dyDescent="0.25">
      <c r="A526">
        <v>9</v>
      </c>
      <c r="B526" t="s">
        <v>380</v>
      </c>
      <c r="C526" s="4">
        <v>0.8604398148148148</v>
      </c>
      <c r="D526" s="23">
        <v>0.86047453703703702</v>
      </c>
      <c r="E526" s="23">
        <v>0.92939814814814814</v>
      </c>
      <c r="F526" t="s">
        <v>377</v>
      </c>
      <c r="G526" t="s">
        <v>374</v>
      </c>
      <c r="H526">
        <v>18</v>
      </c>
      <c r="I526" s="24">
        <v>6.8958333333333233E-2</v>
      </c>
      <c r="J526">
        <f t="shared" si="16"/>
        <v>0</v>
      </c>
      <c r="K526">
        <f t="shared" si="17"/>
        <v>0</v>
      </c>
    </row>
    <row r="527" spans="1:11" x14ac:dyDescent="0.25">
      <c r="A527">
        <v>10</v>
      </c>
      <c r="B527" t="s">
        <v>181</v>
      </c>
      <c r="C527" s="4">
        <v>0.8604398148148148</v>
      </c>
      <c r="D527" s="23">
        <v>0.86047453703703702</v>
      </c>
      <c r="E527" s="23">
        <v>0.92939814814814814</v>
      </c>
      <c r="F527" t="s">
        <v>381</v>
      </c>
      <c r="G527" t="s">
        <v>374</v>
      </c>
      <c r="H527">
        <v>18</v>
      </c>
      <c r="I527" s="24">
        <v>6.8958333333333233E-2</v>
      </c>
      <c r="J527">
        <f t="shared" si="16"/>
        <v>0</v>
      </c>
      <c r="K527">
        <f t="shared" si="17"/>
        <v>0</v>
      </c>
    </row>
    <row r="528" spans="1:11" x14ac:dyDescent="0.25">
      <c r="A528">
        <v>11</v>
      </c>
      <c r="B528" t="s">
        <v>36</v>
      </c>
      <c r="C528" s="4">
        <v>0.8604398148148148</v>
      </c>
      <c r="D528" s="23">
        <v>0.86047453703703702</v>
      </c>
      <c r="E528" s="23">
        <v>0.92939814814814814</v>
      </c>
      <c r="F528" t="s">
        <v>377</v>
      </c>
      <c r="G528" t="s">
        <v>374</v>
      </c>
      <c r="H528">
        <v>18</v>
      </c>
      <c r="I528" s="24">
        <v>6.8958333333333233E-2</v>
      </c>
      <c r="J528">
        <f t="shared" si="16"/>
        <v>0</v>
      </c>
      <c r="K528">
        <f t="shared" si="17"/>
        <v>0</v>
      </c>
    </row>
    <row r="529" spans="1:11" x14ac:dyDescent="0.25">
      <c r="A529">
        <v>12</v>
      </c>
      <c r="B529" t="s">
        <v>222</v>
      </c>
      <c r="C529" s="4">
        <v>0.8604398148148148</v>
      </c>
      <c r="D529" s="23">
        <v>0.86047453703703702</v>
      </c>
      <c r="E529" s="23">
        <v>0.92939814814814814</v>
      </c>
      <c r="F529" t="s">
        <v>377</v>
      </c>
      <c r="G529" t="s">
        <v>374</v>
      </c>
      <c r="H529">
        <v>18</v>
      </c>
      <c r="I529" s="24">
        <v>6.8958333333333233E-2</v>
      </c>
      <c r="J529">
        <f t="shared" si="16"/>
        <v>0</v>
      </c>
      <c r="K529">
        <f t="shared" si="17"/>
        <v>0</v>
      </c>
    </row>
    <row r="530" spans="1:11" x14ac:dyDescent="0.25">
      <c r="A530">
        <v>13</v>
      </c>
      <c r="B530" t="s">
        <v>37</v>
      </c>
      <c r="C530" s="4">
        <v>0.8604398148148148</v>
      </c>
      <c r="D530" s="23">
        <v>0.86047453703703702</v>
      </c>
      <c r="E530" s="23">
        <v>0.92939814814814814</v>
      </c>
      <c r="F530" t="s">
        <v>378</v>
      </c>
      <c r="G530" t="s">
        <v>374</v>
      </c>
      <c r="H530">
        <v>18</v>
      </c>
      <c r="I530" s="24">
        <v>6.8958333333333233E-2</v>
      </c>
      <c r="J530">
        <f t="shared" si="16"/>
        <v>0</v>
      </c>
      <c r="K530">
        <f t="shared" si="17"/>
        <v>0</v>
      </c>
    </row>
    <row r="531" spans="1:11" x14ac:dyDescent="0.25">
      <c r="A531">
        <v>14</v>
      </c>
      <c r="B531" t="s">
        <v>16</v>
      </c>
      <c r="C531" s="4">
        <v>0.8604398148148148</v>
      </c>
      <c r="D531" s="23">
        <v>0.86047453703703702</v>
      </c>
      <c r="E531" s="23">
        <v>0.92939814814814814</v>
      </c>
      <c r="F531" t="s">
        <v>378</v>
      </c>
      <c r="G531" t="s">
        <v>374</v>
      </c>
      <c r="H531">
        <v>18</v>
      </c>
      <c r="I531" s="24">
        <v>6.8958333333333233E-2</v>
      </c>
      <c r="J531">
        <f t="shared" si="16"/>
        <v>0</v>
      </c>
      <c r="K531">
        <f t="shared" si="17"/>
        <v>0</v>
      </c>
    </row>
    <row r="532" spans="1:11" x14ac:dyDescent="0.25">
      <c r="A532">
        <v>15</v>
      </c>
      <c r="B532" t="s">
        <v>114</v>
      </c>
      <c r="C532" s="4">
        <v>0.8604398148148148</v>
      </c>
      <c r="D532" s="23">
        <v>0.86047453703703702</v>
      </c>
      <c r="E532" s="23">
        <v>0.92939814814814814</v>
      </c>
      <c r="F532" t="s">
        <v>377</v>
      </c>
      <c r="G532" t="s">
        <v>374</v>
      </c>
      <c r="H532">
        <v>18</v>
      </c>
      <c r="I532" s="24">
        <v>6.8958333333333233E-2</v>
      </c>
      <c r="J532">
        <f t="shared" si="16"/>
        <v>0</v>
      </c>
      <c r="K532">
        <f t="shared" si="17"/>
        <v>0</v>
      </c>
    </row>
    <row r="533" spans="1:11" x14ac:dyDescent="0.25">
      <c r="A533">
        <v>16</v>
      </c>
      <c r="B533" t="s">
        <v>18</v>
      </c>
      <c r="C533" s="4">
        <v>0.8604398148148148</v>
      </c>
      <c r="D533" s="23">
        <v>0.86047453703703702</v>
      </c>
      <c r="E533" s="23">
        <v>0.92939814814814814</v>
      </c>
      <c r="F533" t="s">
        <v>382</v>
      </c>
      <c r="G533" t="s">
        <v>374</v>
      </c>
      <c r="H533">
        <v>18</v>
      </c>
      <c r="I533" s="24">
        <v>6.8958333333333233E-2</v>
      </c>
      <c r="J533">
        <f t="shared" si="16"/>
        <v>0</v>
      </c>
      <c r="K533">
        <f t="shared" si="17"/>
        <v>0</v>
      </c>
    </row>
    <row r="534" spans="1:11" x14ac:dyDescent="0.25">
      <c r="A534">
        <v>17</v>
      </c>
      <c r="B534" t="s">
        <v>41</v>
      </c>
      <c r="C534" s="4">
        <v>0.8604398148148148</v>
      </c>
      <c r="D534" s="23">
        <v>0.86047453703703702</v>
      </c>
      <c r="E534" s="23">
        <v>0.92939814814814814</v>
      </c>
      <c r="F534" t="s">
        <v>378</v>
      </c>
      <c r="G534" t="s">
        <v>374</v>
      </c>
      <c r="H534">
        <v>18</v>
      </c>
      <c r="I534" s="24">
        <v>6.8958333333333233E-2</v>
      </c>
      <c r="J534">
        <f t="shared" si="16"/>
        <v>0</v>
      </c>
      <c r="K534">
        <f t="shared" si="17"/>
        <v>0</v>
      </c>
    </row>
    <row r="535" spans="1:11" x14ac:dyDescent="0.25">
      <c r="A535">
        <v>18</v>
      </c>
      <c r="B535" t="s">
        <v>383</v>
      </c>
      <c r="C535" s="4">
        <v>0.8604398148148148</v>
      </c>
      <c r="D535" s="23">
        <v>0.86047453703703702</v>
      </c>
      <c r="E535" s="23">
        <v>0.92939814814814814</v>
      </c>
      <c r="F535" t="s">
        <v>377</v>
      </c>
      <c r="G535" t="s">
        <v>374</v>
      </c>
      <c r="H535">
        <v>18</v>
      </c>
      <c r="I535" s="24">
        <v>6.8958333333333233E-2</v>
      </c>
      <c r="J535">
        <f t="shared" si="16"/>
        <v>0</v>
      </c>
      <c r="K535">
        <f t="shared" si="17"/>
        <v>0</v>
      </c>
    </row>
    <row r="536" spans="1:11" x14ac:dyDescent="0.25">
      <c r="A536">
        <v>19</v>
      </c>
      <c r="B536" t="s">
        <v>60</v>
      </c>
      <c r="C536" s="4">
        <v>0.8604398148148148</v>
      </c>
      <c r="D536" s="23">
        <v>0.86047453703703702</v>
      </c>
      <c r="E536" s="23">
        <v>0.92939814814814814</v>
      </c>
      <c r="F536" t="s">
        <v>377</v>
      </c>
      <c r="G536" t="s">
        <v>374</v>
      </c>
      <c r="H536">
        <v>18</v>
      </c>
      <c r="I536" s="24">
        <v>6.8958333333333233E-2</v>
      </c>
      <c r="J536">
        <f t="shared" si="16"/>
        <v>0</v>
      </c>
      <c r="K536">
        <f t="shared" si="17"/>
        <v>0</v>
      </c>
    </row>
    <row r="537" spans="1:11" x14ac:dyDescent="0.25">
      <c r="A537">
        <v>20</v>
      </c>
      <c r="B537" t="s">
        <v>20</v>
      </c>
      <c r="C537" s="4">
        <v>0.8604398148148148</v>
      </c>
      <c r="D537" s="23">
        <v>0.86047453703703702</v>
      </c>
      <c r="E537" s="23">
        <v>0.92939814814814814</v>
      </c>
      <c r="F537" t="s">
        <v>378</v>
      </c>
      <c r="G537" t="s">
        <v>374</v>
      </c>
      <c r="H537">
        <v>18</v>
      </c>
      <c r="I537" s="24">
        <v>6.8958333333333233E-2</v>
      </c>
      <c r="J537">
        <f t="shared" si="16"/>
        <v>0</v>
      </c>
      <c r="K537">
        <f t="shared" si="17"/>
        <v>0</v>
      </c>
    </row>
    <row r="538" spans="1:11" x14ac:dyDescent="0.25">
      <c r="A538">
        <v>21</v>
      </c>
      <c r="B538" t="s">
        <v>43</v>
      </c>
      <c r="C538" s="4">
        <v>0.8604398148148148</v>
      </c>
      <c r="D538" s="23">
        <v>0.86047453703703702</v>
      </c>
      <c r="E538" s="23">
        <v>0.92939814814814814</v>
      </c>
      <c r="F538" t="s">
        <v>377</v>
      </c>
      <c r="G538" t="s">
        <v>374</v>
      </c>
      <c r="H538">
        <v>18</v>
      </c>
      <c r="I538" s="24">
        <v>6.8958333333333233E-2</v>
      </c>
      <c r="J538">
        <f t="shared" si="16"/>
        <v>0</v>
      </c>
      <c r="K538">
        <f t="shared" si="17"/>
        <v>0</v>
      </c>
    </row>
    <row r="539" spans="1:11" x14ac:dyDescent="0.25">
      <c r="A539">
        <v>22</v>
      </c>
      <c r="B539" t="s">
        <v>384</v>
      </c>
      <c r="C539" s="4">
        <v>0.8604398148148148</v>
      </c>
      <c r="D539" s="23">
        <v>0.9281018518518519</v>
      </c>
      <c r="E539" s="23">
        <v>0.92939814814814814</v>
      </c>
      <c r="F539" t="s">
        <v>349</v>
      </c>
      <c r="G539" t="s">
        <v>374</v>
      </c>
      <c r="H539">
        <v>18</v>
      </c>
      <c r="I539" s="24">
        <v>6.8958333333333233E-2</v>
      </c>
      <c r="J539">
        <f t="shared" si="16"/>
        <v>0</v>
      </c>
      <c r="K539">
        <f t="shared" si="17"/>
        <v>0</v>
      </c>
    </row>
    <row r="540" spans="1:11" x14ac:dyDescent="0.25">
      <c r="A540">
        <v>23</v>
      </c>
      <c r="B540" t="s">
        <v>238</v>
      </c>
      <c r="C540" s="4">
        <v>0.8604398148148148</v>
      </c>
      <c r="D540" s="23">
        <v>0.86047453703703702</v>
      </c>
      <c r="E540" s="23">
        <v>0.92939814814814814</v>
      </c>
      <c r="F540" t="s">
        <v>377</v>
      </c>
      <c r="G540" t="s">
        <v>374</v>
      </c>
      <c r="H540">
        <v>18</v>
      </c>
      <c r="I540" s="24">
        <v>6.8958333333333233E-2</v>
      </c>
      <c r="J540">
        <f t="shared" si="16"/>
        <v>0</v>
      </c>
      <c r="K540">
        <f t="shared" si="17"/>
        <v>0</v>
      </c>
    </row>
    <row r="541" spans="1:11" x14ac:dyDescent="0.25">
      <c r="A541">
        <v>24</v>
      </c>
      <c r="B541" t="s">
        <v>22</v>
      </c>
      <c r="C541" s="4">
        <v>0.8604398148148148</v>
      </c>
      <c r="D541" s="23">
        <v>0.9281018518518519</v>
      </c>
      <c r="E541" s="23">
        <v>0.92939814814814814</v>
      </c>
      <c r="F541" t="s">
        <v>349</v>
      </c>
      <c r="G541" t="s">
        <v>374</v>
      </c>
      <c r="H541">
        <v>18</v>
      </c>
      <c r="I541" s="24">
        <v>6.8958333333333233E-2</v>
      </c>
      <c r="J541">
        <f t="shared" si="16"/>
        <v>0</v>
      </c>
      <c r="K541">
        <f t="shared" si="17"/>
        <v>0</v>
      </c>
    </row>
    <row r="542" spans="1:11" x14ac:dyDescent="0.25">
      <c r="A542">
        <v>25</v>
      </c>
      <c r="B542" t="s">
        <v>61</v>
      </c>
      <c r="C542" s="4">
        <v>0.8604398148148148</v>
      </c>
      <c r="D542" s="23">
        <v>0.86047453703703702</v>
      </c>
      <c r="E542" s="23">
        <v>0.92939814814814814</v>
      </c>
      <c r="F542" t="s">
        <v>377</v>
      </c>
      <c r="G542" t="s">
        <v>374</v>
      </c>
      <c r="H542">
        <v>18</v>
      </c>
      <c r="I542" s="24">
        <v>6.8958333333333233E-2</v>
      </c>
      <c r="J542">
        <f t="shared" si="16"/>
        <v>0</v>
      </c>
      <c r="K542">
        <f t="shared" si="17"/>
        <v>0</v>
      </c>
    </row>
    <row r="543" spans="1:11" x14ac:dyDescent="0.25">
      <c r="A543">
        <v>26</v>
      </c>
      <c r="B543" t="s">
        <v>46</v>
      </c>
      <c r="C543" s="4">
        <v>0.8604398148148148</v>
      </c>
      <c r="D543" s="23">
        <v>0.86047453703703702</v>
      </c>
      <c r="E543" s="23">
        <v>0.92939814814814814</v>
      </c>
      <c r="F543" t="s">
        <v>378</v>
      </c>
      <c r="G543" t="s">
        <v>374</v>
      </c>
      <c r="H543">
        <v>18</v>
      </c>
      <c r="I543" s="24">
        <v>6.8958333333333233E-2</v>
      </c>
      <c r="J543">
        <f t="shared" si="16"/>
        <v>0</v>
      </c>
      <c r="K543">
        <f t="shared" si="17"/>
        <v>0</v>
      </c>
    </row>
    <row r="544" spans="1:11" x14ac:dyDescent="0.25">
      <c r="A544">
        <v>27</v>
      </c>
      <c r="B544" t="s">
        <v>23</v>
      </c>
      <c r="C544" s="4">
        <v>0.8604398148148148</v>
      </c>
      <c r="D544" s="23">
        <v>0.86047453703703702</v>
      </c>
      <c r="E544" s="23">
        <v>0.92939814814814814</v>
      </c>
      <c r="F544" t="s">
        <v>385</v>
      </c>
      <c r="G544" t="s">
        <v>374</v>
      </c>
      <c r="H544">
        <v>18</v>
      </c>
      <c r="I544" s="24">
        <v>6.8958333333333233E-2</v>
      </c>
      <c r="J544">
        <f t="shared" si="16"/>
        <v>0</v>
      </c>
      <c r="K544">
        <f t="shared" si="17"/>
        <v>0</v>
      </c>
    </row>
    <row r="545" spans="1:11" x14ac:dyDescent="0.25">
      <c r="A545">
        <v>28</v>
      </c>
      <c r="B545" t="s">
        <v>268</v>
      </c>
      <c r="C545" s="4">
        <v>0.8604398148148148</v>
      </c>
      <c r="D545" s="23">
        <v>0.86047453703703702</v>
      </c>
      <c r="E545" s="23">
        <v>0.92939814814814814</v>
      </c>
      <c r="F545" t="s">
        <v>377</v>
      </c>
      <c r="G545" t="s">
        <v>374</v>
      </c>
      <c r="H545">
        <v>18</v>
      </c>
      <c r="I545" s="24">
        <v>6.8958333333333233E-2</v>
      </c>
      <c r="J545">
        <f t="shared" si="16"/>
        <v>0</v>
      </c>
      <c r="K545">
        <f t="shared" si="17"/>
        <v>0</v>
      </c>
    </row>
    <row r="546" spans="1:11" x14ac:dyDescent="0.25">
      <c r="A546">
        <v>29</v>
      </c>
      <c r="B546" t="s">
        <v>200</v>
      </c>
      <c r="C546" s="4">
        <v>0.8604398148148148</v>
      </c>
      <c r="D546" s="23">
        <v>0.86047453703703702</v>
      </c>
      <c r="E546" s="23">
        <v>0.92939814814814814</v>
      </c>
      <c r="F546" t="s">
        <v>377</v>
      </c>
      <c r="G546" t="s">
        <v>374</v>
      </c>
      <c r="H546">
        <v>18</v>
      </c>
      <c r="I546" s="24">
        <v>6.8958333333333233E-2</v>
      </c>
      <c r="J546">
        <f t="shared" si="16"/>
        <v>0</v>
      </c>
      <c r="K546">
        <f t="shared" si="17"/>
        <v>0</v>
      </c>
    </row>
    <row r="547" spans="1:11" x14ac:dyDescent="0.25">
      <c r="A547">
        <v>30</v>
      </c>
      <c r="B547" t="s">
        <v>25</v>
      </c>
      <c r="C547" s="4">
        <v>0.8604398148148148</v>
      </c>
      <c r="D547" s="23">
        <v>0.86047453703703702</v>
      </c>
      <c r="E547" s="23">
        <v>0.92939814814814814</v>
      </c>
      <c r="F547" t="s">
        <v>378</v>
      </c>
      <c r="G547" t="s">
        <v>374</v>
      </c>
      <c r="H547">
        <v>18</v>
      </c>
      <c r="I547" s="24">
        <v>6.8958333333333233E-2</v>
      </c>
      <c r="J547">
        <f t="shared" si="16"/>
        <v>0</v>
      </c>
      <c r="K547">
        <f t="shared" si="17"/>
        <v>0</v>
      </c>
    </row>
    <row r="548" spans="1:11" x14ac:dyDescent="0.25">
      <c r="A548">
        <v>31</v>
      </c>
      <c r="B548" t="s">
        <v>50</v>
      </c>
      <c r="C548" s="4">
        <v>0.8604398148148148</v>
      </c>
      <c r="D548" s="23">
        <v>0.86047453703703702</v>
      </c>
      <c r="E548" s="23">
        <v>0.92939814814814814</v>
      </c>
      <c r="F548" t="s">
        <v>377</v>
      </c>
      <c r="G548" t="s">
        <v>374</v>
      </c>
      <c r="H548">
        <v>18</v>
      </c>
      <c r="I548" s="24">
        <v>6.8958333333333233E-2</v>
      </c>
      <c r="J548">
        <f t="shared" si="16"/>
        <v>0</v>
      </c>
      <c r="K548">
        <f t="shared" si="17"/>
        <v>0</v>
      </c>
    </row>
    <row r="549" spans="1:11" x14ac:dyDescent="0.25">
      <c r="A549">
        <v>32</v>
      </c>
      <c r="B549" t="s">
        <v>62</v>
      </c>
      <c r="C549" s="4">
        <v>0.8604398148148148</v>
      </c>
      <c r="D549" s="23">
        <v>0.86047453703703702</v>
      </c>
      <c r="E549" s="23">
        <v>0.92939814814814814</v>
      </c>
      <c r="F549" t="s">
        <v>378</v>
      </c>
      <c r="G549" t="s">
        <v>374</v>
      </c>
      <c r="H549">
        <v>18</v>
      </c>
      <c r="I549" s="24">
        <v>6.8958333333333233E-2</v>
      </c>
      <c r="J549">
        <f t="shared" si="16"/>
        <v>0</v>
      </c>
      <c r="K549">
        <f t="shared" si="17"/>
        <v>0</v>
      </c>
    </row>
    <row r="550" spans="1:11" x14ac:dyDescent="0.25">
      <c r="A550">
        <v>33</v>
      </c>
      <c r="B550" t="s">
        <v>51</v>
      </c>
      <c r="C550" s="4">
        <v>0.8604398148148148</v>
      </c>
      <c r="D550" s="23">
        <v>0.86047453703703702</v>
      </c>
      <c r="E550" s="23">
        <v>0.92939814814814814</v>
      </c>
      <c r="F550" t="s">
        <v>386</v>
      </c>
      <c r="G550" t="s">
        <v>374</v>
      </c>
      <c r="H550">
        <v>18</v>
      </c>
      <c r="I550" s="24">
        <v>6.8958333333333233E-2</v>
      </c>
      <c r="J550">
        <f t="shared" si="16"/>
        <v>0</v>
      </c>
      <c r="K550">
        <f t="shared" si="17"/>
        <v>0</v>
      </c>
    </row>
    <row r="551" spans="1:11" x14ac:dyDescent="0.25">
      <c r="A551">
        <v>34</v>
      </c>
      <c r="B551" t="s">
        <v>83</v>
      </c>
      <c r="C551" s="4">
        <v>0.8604398148148148</v>
      </c>
      <c r="D551" s="23">
        <v>0.86047453703703702</v>
      </c>
      <c r="E551" s="23">
        <v>0.92939814814814814</v>
      </c>
      <c r="F551" t="s">
        <v>377</v>
      </c>
      <c r="G551" t="s">
        <v>374</v>
      </c>
      <c r="H551">
        <v>18</v>
      </c>
      <c r="I551" s="24">
        <v>6.8958333333333233E-2</v>
      </c>
      <c r="J551">
        <f t="shared" si="16"/>
        <v>0</v>
      </c>
      <c r="K551">
        <f t="shared" si="17"/>
        <v>0</v>
      </c>
    </row>
    <row r="552" spans="1:11" x14ac:dyDescent="0.25">
      <c r="A552">
        <v>35</v>
      </c>
      <c r="B552" t="s">
        <v>261</v>
      </c>
      <c r="C552" s="4">
        <v>0.8604398148148148</v>
      </c>
      <c r="D552" s="23">
        <v>0.86047453703703702</v>
      </c>
      <c r="E552" s="23">
        <v>0.92939814814814814</v>
      </c>
      <c r="F552" t="s">
        <v>387</v>
      </c>
      <c r="G552" t="s">
        <v>374</v>
      </c>
      <c r="H552">
        <v>18</v>
      </c>
      <c r="I552" s="24">
        <v>6.8958333333333233E-2</v>
      </c>
      <c r="J552">
        <f t="shared" si="16"/>
        <v>0</v>
      </c>
      <c r="K552">
        <f t="shared" si="17"/>
        <v>0</v>
      </c>
    </row>
    <row r="553" spans="1:11" x14ac:dyDescent="0.25">
      <c r="A553">
        <v>36</v>
      </c>
      <c r="B553" t="s">
        <v>85</v>
      </c>
      <c r="C553" s="4">
        <v>0.8604398148148148</v>
      </c>
      <c r="D553" s="23">
        <v>0.86047453703703702</v>
      </c>
      <c r="E553" s="23">
        <v>0.92939814814814814</v>
      </c>
      <c r="F553" t="s">
        <v>385</v>
      </c>
      <c r="G553" t="s">
        <v>374</v>
      </c>
      <c r="H553">
        <v>18</v>
      </c>
      <c r="I553" s="24">
        <v>6.8958333333333233E-2</v>
      </c>
      <c r="J553">
        <f t="shared" si="16"/>
        <v>0</v>
      </c>
      <c r="K553">
        <f t="shared" si="17"/>
        <v>0</v>
      </c>
    </row>
    <row r="554" spans="1:11" x14ac:dyDescent="0.25">
      <c r="A554">
        <v>37</v>
      </c>
      <c r="B554" t="s">
        <v>53</v>
      </c>
      <c r="C554" s="4">
        <v>0.8604398148148148</v>
      </c>
      <c r="D554" s="23">
        <v>0.86047453703703702</v>
      </c>
      <c r="E554" s="23">
        <v>0.92939814814814814</v>
      </c>
      <c r="F554" t="s">
        <v>378</v>
      </c>
      <c r="G554" t="s">
        <v>374</v>
      </c>
      <c r="H554">
        <v>18</v>
      </c>
      <c r="I554" s="24">
        <v>6.8958333333333233E-2</v>
      </c>
      <c r="J554">
        <f t="shared" si="16"/>
        <v>0</v>
      </c>
      <c r="K554">
        <f t="shared" si="17"/>
        <v>0</v>
      </c>
    </row>
    <row r="555" spans="1:11" x14ac:dyDescent="0.25">
      <c r="A555">
        <v>38</v>
      </c>
      <c r="B555" t="s">
        <v>321</v>
      </c>
      <c r="C555" s="4">
        <v>0.8604398148148148</v>
      </c>
      <c r="D555" s="23">
        <v>0.86047453703703702</v>
      </c>
      <c r="E555" s="23">
        <v>0.92939814814814814</v>
      </c>
      <c r="F555" t="s">
        <v>377</v>
      </c>
      <c r="G555" t="s">
        <v>374</v>
      </c>
      <c r="H555">
        <v>18</v>
      </c>
      <c r="I555" s="24">
        <v>6.8958333333333233E-2</v>
      </c>
      <c r="J555">
        <f t="shared" si="16"/>
        <v>0</v>
      </c>
      <c r="K555">
        <f t="shared" si="17"/>
        <v>0</v>
      </c>
    </row>
    <row r="556" spans="1:11" x14ac:dyDescent="0.25">
      <c r="A556">
        <v>39</v>
      </c>
      <c r="B556" t="s">
        <v>27</v>
      </c>
      <c r="C556" s="4">
        <v>0.8604398148148148</v>
      </c>
      <c r="D556" s="23">
        <v>0.86047453703703702</v>
      </c>
      <c r="E556" s="23">
        <v>0.92939814814814814</v>
      </c>
      <c r="F556" t="s">
        <v>377</v>
      </c>
      <c r="G556" t="s">
        <v>374</v>
      </c>
      <c r="H556">
        <v>18</v>
      </c>
      <c r="I556" s="24">
        <v>6.8958333333333233E-2</v>
      </c>
      <c r="J556">
        <f t="shared" si="16"/>
        <v>0</v>
      </c>
      <c r="K556">
        <f t="shared" si="17"/>
        <v>0</v>
      </c>
    </row>
    <row r="557" spans="1:11" x14ac:dyDescent="0.25">
      <c r="A557">
        <v>1</v>
      </c>
      <c r="B557" t="s">
        <v>29</v>
      </c>
      <c r="C557" s="4">
        <v>0.85854166666666665</v>
      </c>
      <c r="D557" s="23">
        <v>0.93056712962962962</v>
      </c>
      <c r="E557" s="23">
        <v>0.93059027777777781</v>
      </c>
      <c r="F557" t="s">
        <v>94</v>
      </c>
      <c r="G557" t="s">
        <v>388</v>
      </c>
      <c r="H557">
        <v>17</v>
      </c>
      <c r="I557" s="24">
        <v>7.204861111111116E-2</v>
      </c>
      <c r="J557">
        <f t="shared" si="16"/>
        <v>0</v>
      </c>
      <c r="K557">
        <f t="shared" si="17"/>
        <v>0</v>
      </c>
    </row>
    <row r="558" spans="1:11" x14ac:dyDescent="0.25">
      <c r="A558">
        <v>2</v>
      </c>
      <c r="B558" t="s">
        <v>5</v>
      </c>
      <c r="C558" s="4">
        <v>0.85854166666666665</v>
      </c>
      <c r="D558" s="23">
        <v>0.85859953703703706</v>
      </c>
      <c r="E558" s="23">
        <v>0.93059027777777781</v>
      </c>
      <c r="F558" t="s">
        <v>390</v>
      </c>
      <c r="G558" t="s">
        <v>388</v>
      </c>
      <c r="H558">
        <v>17</v>
      </c>
      <c r="I558" s="24">
        <v>7.204861111111116E-2</v>
      </c>
      <c r="J558">
        <f t="shared" si="16"/>
        <v>0</v>
      </c>
      <c r="K558">
        <f t="shared" si="17"/>
        <v>0</v>
      </c>
    </row>
    <row r="559" spans="1:11" x14ac:dyDescent="0.25">
      <c r="A559">
        <v>3</v>
      </c>
      <c r="B559" t="s">
        <v>9</v>
      </c>
      <c r="C559" s="4">
        <v>0.85854166666666665</v>
      </c>
      <c r="D559" s="23">
        <v>0.85859953703703706</v>
      </c>
      <c r="E559" s="23">
        <v>0.93059027777777781</v>
      </c>
      <c r="F559" t="s">
        <v>391</v>
      </c>
      <c r="G559" t="s">
        <v>388</v>
      </c>
      <c r="H559">
        <v>17</v>
      </c>
      <c r="I559" s="24">
        <v>7.204861111111116E-2</v>
      </c>
      <c r="J559">
        <f t="shared" si="16"/>
        <v>0</v>
      </c>
      <c r="K559">
        <f t="shared" si="17"/>
        <v>0</v>
      </c>
    </row>
    <row r="560" spans="1:11" x14ac:dyDescent="0.25">
      <c r="A560">
        <v>4</v>
      </c>
      <c r="B560" t="s">
        <v>11</v>
      </c>
      <c r="C560" s="4">
        <v>0.85854166666666665</v>
      </c>
      <c r="D560" s="23">
        <v>0.85859953703703706</v>
      </c>
      <c r="E560" s="23">
        <v>0.93059027777777781</v>
      </c>
      <c r="F560" t="s">
        <v>391</v>
      </c>
      <c r="G560" t="s">
        <v>388</v>
      </c>
      <c r="H560">
        <v>17</v>
      </c>
      <c r="I560" s="24">
        <v>7.204861111111116E-2</v>
      </c>
      <c r="J560">
        <f t="shared" si="16"/>
        <v>0</v>
      </c>
      <c r="K560">
        <f t="shared" si="17"/>
        <v>0</v>
      </c>
    </row>
    <row r="561" spans="1:11" x14ac:dyDescent="0.25">
      <c r="A561">
        <v>5</v>
      </c>
      <c r="B561" t="s">
        <v>296</v>
      </c>
      <c r="C561" s="4">
        <v>0.85854166666666665</v>
      </c>
      <c r="D561" s="23">
        <v>0.85859953703703706</v>
      </c>
      <c r="E561" s="23">
        <v>0.93059027777777781</v>
      </c>
      <c r="F561" t="s">
        <v>392</v>
      </c>
      <c r="G561" t="s">
        <v>388</v>
      </c>
      <c r="H561">
        <v>17</v>
      </c>
      <c r="I561" s="24">
        <v>7.204861111111116E-2</v>
      </c>
      <c r="J561">
        <f t="shared" si="16"/>
        <v>0</v>
      </c>
      <c r="K561">
        <f t="shared" si="17"/>
        <v>0</v>
      </c>
    </row>
    <row r="562" spans="1:11" x14ac:dyDescent="0.25">
      <c r="A562">
        <v>6</v>
      </c>
      <c r="B562" t="s">
        <v>35</v>
      </c>
      <c r="C562" s="4">
        <v>0.85854166666666665</v>
      </c>
      <c r="D562" s="23">
        <v>0.85859953703703706</v>
      </c>
      <c r="E562" s="23">
        <v>0.93059027777777781</v>
      </c>
      <c r="F562" t="s">
        <v>391</v>
      </c>
      <c r="G562" t="s">
        <v>388</v>
      </c>
      <c r="H562">
        <v>17</v>
      </c>
      <c r="I562" s="24">
        <v>7.204861111111116E-2</v>
      </c>
      <c r="J562">
        <f t="shared" si="16"/>
        <v>0</v>
      </c>
      <c r="K562">
        <f t="shared" si="17"/>
        <v>0</v>
      </c>
    </row>
    <row r="563" spans="1:11" x14ac:dyDescent="0.25">
      <c r="A563">
        <v>7</v>
      </c>
      <c r="B563" t="s">
        <v>70</v>
      </c>
      <c r="C563" s="4">
        <v>0.85854166666666665</v>
      </c>
      <c r="D563" s="23">
        <v>0.85859953703703706</v>
      </c>
      <c r="E563" s="23">
        <v>0.93059027777777781</v>
      </c>
      <c r="F563" t="s">
        <v>393</v>
      </c>
      <c r="G563" t="s">
        <v>388</v>
      </c>
      <c r="H563">
        <v>17</v>
      </c>
      <c r="I563" s="24">
        <v>7.204861111111116E-2</v>
      </c>
      <c r="J563">
        <f t="shared" ref="J563:J625" si="18">IF(AND(H563&gt;=1,H563&lt;=7),1,0)</f>
        <v>0</v>
      </c>
      <c r="K563">
        <f t="shared" ref="K563:K625" si="19">IF(AND(H563&gt;=30,H563&lt;=36),1,0)</f>
        <v>0</v>
      </c>
    </row>
    <row r="564" spans="1:11" x14ac:dyDescent="0.25">
      <c r="A564">
        <v>8</v>
      </c>
      <c r="B564" t="s">
        <v>394</v>
      </c>
      <c r="C564" s="4">
        <v>0.85854166666666665</v>
      </c>
      <c r="D564" s="23">
        <v>0.85859953703703706</v>
      </c>
      <c r="E564" s="23">
        <v>0.93059027777777781</v>
      </c>
      <c r="F564" t="s">
        <v>393</v>
      </c>
      <c r="G564" t="s">
        <v>388</v>
      </c>
      <c r="H564">
        <v>17</v>
      </c>
      <c r="I564" s="24">
        <v>7.204861111111116E-2</v>
      </c>
      <c r="J564">
        <f t="shared" si="18"/>
        <v>0</v>
      </c>
      <c r="K564">
        <f t="shared" si="19"/>
        <v>0</v>
      </c>
    </row>
    <row r="565" spans="1:11" x14ac:dyDescent="0.25">
      <c r="A565">
        <v>9</v>
      </c>
      <c r="B565" t="s">
        <v>380</v>
      </c>
      <c r="C565" s="4">
        <v>0.85854166666666665</v>
      </c>
      <c r="D565" s="23">
        <v>0.93056712962962962</v>
      </c>
      <c r="E565" s="23">
        <v>0.93059027777777781</v>
      </c>
      <c r="F565" t="s">
        <v>94</v>
      </c>
      <c r="G565" t="s">
        <v>388</v>
      </c>
      <c r="H565">
        <v>17</v>
      </c>
      <c r="I565" s="24">
        <v>7.204861111111116E-2</v>
      </c>
      <c r="J565">
        <f t="shared" si="18"/>
        <v>0</v>
      </c>
      <c r="K565">
        <f t="shared" si="19"/>
        <v>0</v>
      </c>
    </row>
    <row r="566" spans="1:11" x14ac:dyDescent="0.25">
      <c r="A566">
        <v>10</v>
      </c>
      <c r="B566" t="s">
        <v>181</v>
      </c>
      <c r="C566" s="4">
        <v>0.85854166666666665</v>
      </c>
      <c r="D566" s="23">
        <v>0.85859953703703706</v>
      </c>
      <c r="E566" s="23">
        <v>0.93059027777777781</v>
      </c>
      <c r="F566" t="s">
        <v>393</v>
      </c>
      <c r="G566" t="s">
        <v>388</v>
      </c>
      <c r="H566">
        <v>17</v>
      </c>
      <c r="I566" s="24">
        <v>7.204861111111116E-2</v>
      </c>
      <c r="J566">
        <f t="shared" si="18"/>
        <v>0</v>
      </c>
      <c r="K566">
        <f t="shared" si="19"/>
        <v>0</v>
      </c>
    </row>
    <row r="567" spans="1:11" x14ac:dyDescent="0.25">
      <c r="A567">
        <v>11</v>
      </c>
      <c r="B567" t="s">
        <v>36</v>
      </c>
      <c r="C567" s="4">
        <v>0.85854166666666665</v>
      </c>
      <c r="D567" s="23">
        <v>0.85859953703703706</v>
      </c>
      <c r="E567" s="23">
        <v>0.93059027777777781</v>
      </c>
      <c r="F567" t="s">
        <v>391</v>
      </c>
      <c r="G567" t="s">
        <v>388</v>
      </c>
      <c r="H567">
        <v>17</v>
      </c>
      <c r="I567" s="24">
        <v>7.204861111111116E-2</v>
      </c>
      <c r="J567">
        <f t="shared" si="18"/>
        <v>0</v>
      </c>
      <c r="K567">
        <f t="shared" si="19"/>
        <v>0</v>
      </c>
    </row>
    <row r="568" spans="1:11" x14ac:dyDescent="0.25">
      <c r="A568">
        <v>12</v>
      </c>
      <c r="B568" t="s">
        <v>208</v>
      </c>
      <c r="C568" s="4">
        <v>0.85854166666666665</v>
      </c>
      <c r="D568" s="23">
        <v>0.85859953703703706</v>
      </c>
      <c r="E568" s="23">
        <v>0.93059027777777781</v>
      </c>
      <c r="F568" t="s">
        <v>393</v>
      </c>
      <c r="G568" t="s">
        <v>388</v>
      </c>
      <c r="H568">
        <v>17</v>
      </c>
      <c r="I568" s="24">
        <v>7.204861111111116E-2</v>
      </c>
      <c r="J568">
        <f t="shared" si="18"/>
        <v>0</v>
      </c>
      <c r="K568">
        <f t="shared" si="19"/>
        <v>0</v>
      </c>
    </row>
    <row r="569" spans="1:11" x14ac:dyDescent="0.25">
      <c r="A569">
        <v>13</v>
      </c>
      <c r="B569" t="s">
        <v>37</v>
      </c>
      <c r="C569" s="4">
        <v>0.85854166666666665</v>
      </c>
      <c r="D569" s="23">
        <v>0.85859953703703706</v>
      </c>
      <c r="E569" s="23">
        <v>0.93059027777777781</v>
      </c>
      <c r="F569" t="s">
        <v>391</v>
      </c>
      <c r="G569" t="s">
        <v>388</v>
      </c>
      <c r="H569">
        <v>17</v>
      </c>
      <c r="I569" s="24">
        <v>7.204861111111116E-2</v>
      </c>
      <c r="J569">
        <f t="shared" si="18"/>
        <v>0</v>
      </c>
      <c r="K569">
        <f t="shared" si="19"/>
        <v>0</v>
      </c>
    </row>
    <row r="570" spans="1:11" x14ac:dyDescent="0.25">
      <c r="A570">
        <v>14</v>
      </c>
      <c r="B570" t="s">
        <v>16</v>
      </c>
      <c r="C570" s="4">
        <v>0.85854166666666665</v>
      </c>
      <c r="D570" s="23">
        <v>0.85859953703703706</v>
      </c>
      <c r="E570" s="23">
        <v>0.93059027777777781</v>
      </c>
      <c r="F570" t="s">
        <v>391</v>
      </c>
      <c r="G570" t="s">
        <v>388</v>
      </c>
      <c r="H570">
        <v>17</v>
      </c>
      <c r="I570" s="24">
        <v>7.204861111111116E-2</v>
      </c>
      <c r="J570">
        <f t="shared" si="18"/>
        <v>0</v>
      </c>
      <c r="K570">
        <f t="shared" si="19"/>
        <v>0</v>
      </c>
    </row>
    <row r="571" spans="1:11" x14ac:dyDescent="0.25">
      <c r="A571">
        <v>15</v>
      </c>
      <c r="B571" t="s">
        <v>186</v>
      </c>
      <c r="C571" s="4">
        <v>0.85854166666666665</v>
      </c>
      <c r="D571" s="23">
        <v>0.85859953703703706</v>
      </c>
      <c r="E571" s="23">
        <v>0.93059027777777781</v>
      </c>
      <c r="F571" t="s">
        <v>391</v>
      </c>
      <c r="G571" t="s">
        <v>388</v>
      </c>
      <c r="H571">
        <v>17</v>
      </c>
      <c r="I571" s="24">
        <v>7.204861111111116E-2</v>
      </c>
      <c r="J571">
        <f t="shared" si="18"/>
        <v>0</v>
      </c>
      <c r="K571">
        <f t="shared" si="19"/>
        <v>0</v>
      </c>
    </row>
    <row r="572" spans="1:11" x14ac:dyDescent="0.25">
      <c r="A572">
        <v>16</v>
      </c>
      <c r="B572" t="s">
        <v>114</v>
      </c>
      <c r="C572" s="4">
        <v>0.85854166666666665</v>
      </c>
      <c r="D572" s="23">
        <v>0.85859953703703706</v>
      </c>
      <c r="E572" s="23">
        <v>0.93059027777777781</v>
      </c>
      <c r="F572" t="s">
        <v>393</v>
      </c>
      <c r="G572" t="s">
        <v>388</v>
      </c>
      <c r="H572">
        <v>17</v>
      </c>
      <c r="I572" s="24">
        <v>7.204861111111116E-2</v>
      </c>
      <c r="J572">
        <f t="shared" si="18"/>
        <v>0</v>
      </c>
      <c r="K572">
        <f t="shared" si="19"/>
        <v>0</v>
      </c>
    </row>
    <row r="573" spans="1:11" x14ac:dyDescent="0.25">
      <c r="A573">
        <v>17</v>
      </c>
      <c r="B573" t="s">
        <v>335</v>
      </c>
      <c r="C573" s="4">
        <v>0.85854166666666665</v>
      </c>
      <c r="D573" s="23">
        <v>0.85859953703703706</v>
      </c>
      <c r="E573" s="23">
        <v>0.93059027777777781</v>
      </c>
      <c r="F573" t="s">
        <v>391</v>
      </c>
      <c r="G573" t="s">
        <v>388</v>
      </c>
      <c r="H573">
        <v>17</v>
      </c>
      <c r="I573" s="24">
        <v>7.204861111111116E-2</v>
      </c>
      <c r="J573">
        <f t="shared" si="18"/>
        <v>0</v>
      </c>
      <c r="K573">
        <f t="shared" si="19"/>
        <v>0</v>
      </c>
    </row>
    <row r="574" spans="1:11" x14ac:dyDescent="0.25">
      <c r="A574">
        <v>18</v>
      </c>
      <c r="B574" t="s">
        <v>18</v>
      </c>
      <c r="C574" s="4">
        <v>0.85854166666666665</v>
      </c>
      <c r="D574" s="23">
        <v>0.93056712962962962</v>
      </c>
      <c r="E574" s="23">
        <v>0.93059027777777781</v>
      </c>
      <c r="F574" t="s">
        <v>94</v>
      </c>
      <c r="G574" t="s">
        <v>388</v>
      </c>
      <c r="H574">
        <v>17</v>
      </c>
      <c r="I574" s="24">
        <v>7.204861111111116E-2</v>
      </c>
      <c r="J574">
        <f t="shared" si="18"/>
        <v>0</v>
      </c>
      <c r="K574">
        <f t="shared" si="19"/>
        <v>0</v>
      </c>
    </row>
    <row r="575" spans="1:11" x14ac:dyDescent="0.25">
      <c r="A575">
        <v>19</v>
      </c>
      <c r="B575" t="s">
        <v>41</v>
      </c>
      <c r="C575" s="4">
        <v>0.85854166666666665</v>
      </c>
      <c r="D575" s="23">
        <v>0.85859953703703706</v>
      </c>
      <c r="E575" s="23">
        <v>0.93059027777777781</v>
      </c>
      <c r="F575" t="s">
        <v>391</v>
      </c>
      <c r="G575" t="s">
        <v>388</v>
      </c>
      <c r="H575">
        <v>17</v>
      </c>
      <c r="I575" s="24">
        <v>7.204861111111116E-2</v>
      </c>
      <c r="J575">
        <f t="shared" si="18"/>
        <v>0</v>
      </c>
      <c r="K575">
        <f t="shared" si="19"/>
        <v>0</v>
      </c>
    </row>
    <row r="576" spans="1:11" x14ac:dyDescent="0.25">
      <c r="A576">
        <v>20</v>
      </c>
      <c r="B576" t="s">
        <v>118</v>
      </c>
      <c r="C576" s="4">
        <v>0.85854166666666665</v>
      </c>
      <c r="D576" s="23">
        <v>0.85872685185185182</v>
      </c>
      <c r="E576" s="23">
        <v>0.93059027777777781</v>
      </c>
      <c r="F576" t="s">
        <v>395</v>
      </c>
      <c r="G576" t="s">
        <v>388</v>
      </c>
      <c r="H576">
        <v>17</v>
      </c>
      <c r="I576" s="24">
        <v>7.204861111111116E-2</v>
      </c>
      <c r="J576">
        <f t="shared" si="18"/>
        <v>0</v>
      </c>
      <c r="K576">
        <f t="shared" si="19"/>
        <v>0</v>
      </c>
    </row>
    <row r="577" spans="1:11" x14ac:dyDescent="0.25">
      <c r="A577">
        <v>21</v>
      </c>
      <c r="B577" t="s">
        <v>20</v>
      </c>
      <c r="C577" s="4">
        <v>0.85854166666666665</v>
      </c>
      <c r="D577" s="23">
        <v>0.85859953703703706</v>
      </c>
      <c r="E577" s="23">
        <v>0.93059027777777781</v>
      </c>
      <c r="F577" t="s">
        <v>391</v>
      </c>
      <c r="G577" t="s">
        <v>388</v>
      </c>
      <c r="H577">
        <v>17</v>
      </c>
      <c r="I577" s="24">
        <v>7.204861111111116E-2</v>
      </c>
      <c r="J577">
        <f t="shared" si="18"/>
        <v>0</v>
      </c>
      <c r="K577">
        <f t="shared" si="19"/>
        <v>0</v>
      </c>
    </row>
    <row r="578" spans="1:11" x14ac:dyDescent="0.25">
      <c r="A578">
        <v>22</v>
      </c>
      <c r="B578" t="s">
        <v>43</v>
      </c>
      <c r="C578" s="4">
        <v>0.85854166666666665</v>
      </c>
      <c r="D578" s="23">
        <v>0.85859953703703706</v>
      </c>
      <c r="E578" s="23">
        <v>0.93059027777777781</v>
      </c>
      <c r="F578" t="s">
        <v>393</v>
      </c>
      <c r="G578" t="s">
        <v>388</v>
      </c>
      <c r="H578">
        <v>17</v>
      </c>
      <c r="I578" s="24">
        <v>7.204861111111116E-2</v>
      </c>
      <c r="J578">
        <f t="shared" si="18"/>
        <v>0</v>
      </c>
      <c r="K578">
        <f t="shared" si="19"/>
        <v>0</v>
      </c>
    </row>
    <row r="579" spans="1:11" x14ac:dyDescent="0.25">
      <c r="A579">
        <v>23</v>
      </c>
      <c r="B579" t="s">
        <v>99</v>
      </c>
      <c r="C579" s="4">
        <v>0.85854166666666665</v>
      </c>
      <c r="D579" s="23">
        <v>0.93056712962962962</v>
      </c>
      <c r="E579" s="23">
        <v>0.93059027777777781</v>
      </c>
      <c r="F579" t="s">
        <v>94</v>
      </c>
      <c r="G579" t="s">
        <v>388</v>
      </c>
      <c r="H579">
        <v>17</v>
      </c>
      <c r="I579" s="24">
        <v>7.204861111111116E-2</v>
      </c>
      <c r="J579">
        <f t="shared" si="18"/>
        <v>0</v>
      </c>
      <c r="K579">
        <f t="shared" si="19"/>
        <v>0</v>
      </c>
    </row>
    <row r="580" spans="1:11" x14ac:dyDescent="0.25">
      <c r="A580">
        <v>24</v>
      </c>
      <c r="B580" t="s">
        <v>156</v>
      </c>
      <c r="C580" s="4">
        <v>0.85854166666666665</v>
      </c>
      <c r="D580" s="23">
        <v>0.85859953703703706</v>
      </c>
      <c r="E580" s="23">
        <v>0.93059027777777781</v>
      </c>
      <c r="F580" t="s">
        <v>396</v>
      </c>
      <c r="G580" t="s">
        <v>388</v>
      </c>
      <c r="H580">
        <v>17</v>
      </c>
      <c r="I580" s="24">
        <v>7.204861111111116E-2</v>
      </c>
      <c r="J580">
        <f t="shared" si="18"/>
        <v>0</v>
      </c>
      <c r="K580">
        <f t="shared" si="19"/>
        <v>0</v>
      </c>
    </row>
    <row r="581" spans="1:11" x14ac:dyDescent="0.25">
      <c r="A581">
        <v>25</v>
      </c>
      <c r="B581" t="s">
        <v>238</v>
      </c>
      <c r="C581" s="4">
        <v>0.85854166666666665</v>
      </c>
      <c r="D581" s="23">
        <v>0.85859953703703706</v>
      </c>
      <c r="E581" s="23">
        <v>0.93059027777777781</v>
      </c>
      <c r="F581" t="s">
        <v>393</v>
      </c>
      <c r="G581" t="s">
        <v>388</v>
      </c>
      <c r="H581">
        <v>17</v>
      </c>
      <c r="I581" s="24">
        <v>7.204861111111116E-2</v>
      </c>
      <c r="J581">
        <f t="shared" si="18"/>
        <v>0</v>
      </c>
      <c r="K581">
        <f t="shared" si="19"/>
        <v>0</v>
      </c>
    </row>
    <row r="582" spans="1:11" x14ac:dyDescent="0.25">
      <c r="A582">
        <v>26</v>
      </c>
      <c r="B582" t="s">
        <v>46</v>
      </c>
      <c r="C582" s="4">
        <v>0.85854166666666665</v>
      </c>
      <c r="D582" s="23">
        <v>0.85859953703703706</v>
      </c>
      <c r="E582" s="23">
        <v>0.93059027777777781</v>
      </c>
      <c r="F582" t="s">
        <v>391</v>
      </c>
      <c r="G582" t="s">
        <v>388</v>
      </c>
      <c r="H582">
        <v>17</v>
      </c>
      <c r="I582" s="24">
        <v>7.204861111111116E-2</v>
      </c>
      <c r="J582">
        <f t="shared" si="18"/>
        <v>0</v>
      </c>
      <c r="K582">
        <f t="shared" si="19"/>
        <v>0</v>
      </c>
    </row>
    <row r="583" spans="1:11" x14ac:dyDescent="0.25">
      <c r="A583">
        <v>27</v>
      </c>
      <c r="B583" t="s">
        <v>100</v>
      </c>
      <c r="C583" s="4">
        <v>0.85854166666666665</v>
      </c>
      <c r="D583" s="23">
        <v>0.93056712962962962</v>
      </c>
      <c r="E583" s="23">
        <v>0.93059027777777781</v>
      </c>
      <c r="F583" t="s">
        <v>94</v>
      </c>
      <c r="G583" t="s">
        <v>388</v>
      </c>
      <c r="H583">
        <v>17</v>
      </c>
      <c r="I583" s="24">
        <v>7.204861111111116E-2</v>
      </c>
      <c r="J583">
        <f t="shared" si="18"/>
        <v>0</v>
      </c>
      <c r="K583">
        <f t="shared" si="19"/>
        <v>0</v>
      </c>
    </row>
    <row r="584" spans="1:11" x14ac:dyDescent="0.25">
      <c r="A584">
        <v>28</v>
      </c>
      <c r="B584" t="s">
        <v>23</v>
      </c>
      <c r="C584" s="4">
        <v>0.85854166666666665</v>
      </c>
      <c r="D584" s="23">
        <v>0.85859953703703706</v>
      </c>
      <c r="E584" s="23">
        <v>0.93059027777777781</v>
      </c>
      <c r="F584" t="s">
        <v>393</v>
      </c>
      <c r="G584" t="s">
        <v>388</v>
      </c>
      <c r="H584">
        <v>17</v>
      </c>
      <c r="I584" s="24">
        <v>7.204861111111116E-2</v>
      </c>
      <c r="J584">
        <f t="shared" si="18"/>
        <v>0</v>
      </c>
      <c r="K584">
        <f t="shared" si="19"/>
        <v>0</v>
      </c>
    </row>
    <row r="585" spans="1:11" x14ac:dyDescent="0.25">
      <c r="A585">
        <v>29</v>
      </c>
      <c r="B585" t="s">
        <v>49</v>
      </c>
      <c r="C585" s="4">
        <v>0.85854166666666665</v>
      </c>
      <c r="D585" s="23">
        <v>0.85859953703703706</v>
      </c>
      <c r="E585" s="23">
        <v>0.93059027777777781</v>
      </c>
      <c r="F585" t="s">
        <v>393</v>
      </c>
      <c r="G585" t="s">
        <v>388</v>
      </c>
      <c r="H585">
        <v>17</v>
      </c>
      <c r="I585" s="24">
        <v>7.204861111111116E-2</v>
      </c>
      <c r="J585">
        <f t="shared" si="18"/>
        <v>0</v>
      </c>
      <c r="K585">
        <f t="shared" si="19"/>
        <v>0</v>
      </c>
    </row>
    <row r="586" spans="1:11" x14ac:dyDescent="0.25">
      <c r="A586">
        <v>30</v>
      </c>
      <c r="B586" t="s">
        <v>268</v>
      </c>
      <c r="C586" s="4">
        <v>0.85854166666666665</v>
      </c>
      <c r="D586" s="23">
        <v>0.85859953703703706</v>
      </c>
      <c r="E586" s="23">
        <v>0.93059027777777781</v>
      </c>
      <c r="F586" t="s">
        <v>393</v>
      </c>
      <c r="G586" t="s">
        <v>388</v>
      </c>
      <c r="H586">
        <v>17</v>
      </c>
      <c r="I586" s="24">
        <v>7.204861111111116E-2</v>
      </c>
      <c r="J586">
        <f t="shared" si="18"/>
        <v>0</v>
      </c>
      <c r="K586">
        <f t="shared" si="19"/>
        <v>0</v>
      </c>
    </row>
    <row r="587" spans="1:11" x14ac:dyDescent="0.25">
      <c r="A587">
        <v>31</v>
      </c>
      <c r="B587" t="s">
        <v>25</v>
      </c>
      <c r="C587" s="4">
        <v>0.85854166666666665</v>
      </c>
      <c r="D587" s="23">
        <v>0.85859953703703706</v>
      </c>
      <c r="E587" s="23">
        <v>0.93059027777777781</v>
      </c>
      <c r="F587" t="s">
        <v>391</v>
      </c>
      <c r="G587" t="s">
        <v>388</v>
      </c>
      <c r="H587">
        <v>17</v>
      </c>
      <c r="I587" s="24">
        <v>7.204861111111116E-2</v>
      </c>
      <c r="J587">
        <f t="shared" si="18"/>
        <v>0</v>
      </c>
      <c r="K587">
        <f t="shared" si="19"/>
        <v>0</v>
      </c>
    </row>
    <row r="588" spans="1:11" x14ac:dyDescent="0.25">
      <c r="A588">
        <v>32</v>
      </c>
      <c r="B588" t="s">
        <v>193</v>
      </c>
      <c r="C588" s="4">
        <v>0.85854166666666665</v>
      </c>
      <c r="D588" s="23">
        <v>0.85859953703703706</v>
      </c>
      <c r="E588" s="23">
        <v>0.93059027777777781</v>
      </c>
      <c r="F588" t="s">
        <v>393</v>
      </c>
      <c r="G588" t="s">
        <v>388</v>
      </c>
      <c r="H588">
        <v>17</v>
      </c>
      <c r="I588" s="24">
        <v>7.204861111111116E-2</v>
      </c>
      <c r="J588">
        <f t="shared" si="18"/>
        <v>0</v>
      </c>
      <c r="K588">
        <f t="shared" si="19"/>
        <v>0</v>
      </c>
    </row>
    <row r="589" spans="1:11" x14ac:dyDescent="0.25">
      <c r="A589">
        <v>33</v>
      </c>
      <c r="B589" t="s">
        <v>62</v>
      </c>
      <c r="C589" s="4">
        <v>0.85854166666666665</v>
      </c>
      <c r="D589" s="23">
        <v>0.85859953703703706</v>
      </c>
      <c r="E589" s="23">
        <v>0.93059027777777781</v>
      </c>
      <c r="F589" t="s">
        <v>391</v>
      </c>
      <c r="G589" t="s">
        <v>388</v>
      </c>
      <c r="H589">
        <v>17</v>
      </c>
      <c r="I589" s="24">
        <v>7.204861111111116E-2</v>
      </c>
      <c r="J589">
        <f t="shared" si="18"/>
        <v>0</v>
      </c>
      <c r="K589">
        <f t="shared" si="19"/>
        <v>0</v>
      </c>
    </row>
    <row r="590" spans="1:11" x14ac:dyDescent="0.25">
      <c r="A590">
        <v>34</v>
      </c>
      <c r="B590" t="s">
        <v>51</v>
      </c>
      <c r="C590" s="4">
        <v>0.85854166666666665</v>
      </c>
      <c r="D590" s="23">
        <v>0.85859953703703706</v>
      </c>
      <c r="E590" s="23">
        <v>0.93059027777777781</v>
      </c>
      <c r="F590" t="s">
        <v>393</v>
      </c>
      <c r="G590" t="s">
        <v>388</v>
      </c>
      <c r="H590">
        <v>17</v>
      </c>
      <c r="I590" s="24">
        <v>7.204861111111116E-2</v>
      </c>
      <c r="J590">
        <f t="shared" si="18"/>
        <v>0</v>
      </c>
      <c r="K590">
        <f t="shared" si="19"/>
        <v>0</v>
      </c>
    </row>
    <row r="591" spans="1:11" x14ac:dyDescent="0.25">
      <c r="A591">
        <v>35</v>
      </c>
      <c r="B591" t="s">
        <v>83</v>
      </c>
      <c r="C591" s="4">
        <v>0.85854166666666665</v>
      </c>
      <c r="D591" s="23">
        <v>0.85859953703703706</v>
      </c>
      <c r="E591" s="23">
        <v>0.93059027777777781</v>
      </c>
      <c r="F591" t="s">
        <v>393</v>
      </c>
      <c r="G591" t="s">
        <v>388</v>
      </c>
      <c r="H591">
        <v>17</v>
      </c>
      <c r="I591" s="24">
        <v>7.204861111111116E-2</v>
      </c>
      <c r="J591">
        <f t="shared" si="18"/>
        <v>0</v>
      </c>
      <c r="K591">
        <f t="shared" si="19"/>
        <v>0</v>
      </c>
    </row>
    <row r="592" spans="1:11" x14ac:dyDescent="0.25">
      <c r="A592">
        <v>36</v>
      </c>
      <c r="B592" t="s">
        <v>261</v>
      </c>
      <c r="C592" s="4">
        <v>0.85854166666666665</v>
      </c>
      <c r="D592" s="23">
        <v>0.85859953703703706</v>
      </c>
      <c r="E592" s="23">
        <v>0.93059027777777781</v>
      </c>
      <c r="F592" t="s">
        <v>391</v>
      </c>
      <c r="G592" t="s">
        <v>388</v>
      </c>
      <c r="H592">
        <v>17</v>
      </c>
      <c r="I592" s="24">
        <v>7.204861111111116E-2</v>
      </c>
      <c r="J592">
        <f t="shared" si="18"/>
        <v>0</v>
      </c>
      <c r="K592">
        <f t="shared" si="19"/>
        <v>0</v>
      </c>
    </row>
    <row r="593" spans="1:11" x14ac:dyDescent="0.25">
      <c r="A593">
        <v>37</v>
      </c>
      <c r="B593" t="s">
        <v>85</v>
      </c>
      <c r="C593" s="4">
        <v>0.85854166666666665</v>
      </c>
      <c r="D593" s="23">
        <v>0.85859953703703706</v>
      </c>
      <c r="E593" s="23">
        <v>0.93059027777777781</v>
      </c>
      <c r="F593" t="s">
        <v>393</v>
      </c>
      <c r="G593" t="s">
        <v>388</v>
      </c>
      <c r="H593">
        <v>17</v>
      </c>
      <c r="I593" s="24">
        <v>7.204861111111116E-2</v>
      </c>
      <c r="J593">
        <f t="shared" si="18"/>
        <v>0</v>
      </c>
      <c r="K593">
        <f t="shared" si="19"/>
        <v>0</v>
      </c>
    </row>
    <row r="594" spans="1:11" x14ac:dyDescent="0.25">
      <c r="A594">
        <v>38</v>
      </c>
      <c r="B594" t="s">
        <v>101</v>
      </c>
      <c r="C594" s="4">
        <v>0.85854166666666665</v>
      </c>
      <c r="D594" s="23">
        <v>0.85859953703703706</v>
      </c>
      <c r="E594" s="23">
        <v>0.93059027777777781</v>
      </c>
      <c r="F594" t="s">
        <v>393</v>
      </c>
      <c r="G594" t="s">
        <v>388</v>
      </c>
      <c r="H594">
        <v>17</v>
      </c>
      <c r="I594" s="24">
        <v>7.204861111111116E-2</v>
      </c>
      <c r="J594">
        <f t="shared" si="18"/>
        <v>0</v>
      </c>
      <c r="K594">
        <f t="shared" si="19"/>
        <v>0</v>
      </c>
    </row>
    <row r="595" spans="1:11" x14ac:dyDescent="0.25">
      <c r="A595">
        <v>39</v>
      </c>
      <c r="B595" t="s">
        <v>53</v>
      </c>
      <c r="C595" s="4">
        <v>0.85854166666666665</v>
      </c>
      <c r="D595" s="23">
        <v>0.85859953703703706</v>
      </c>
      <c r="E595" s="23">
        <v>0.93059027777777781</v>
      </c>
      <c r="F595" t="s">
        <v>391</v>
      </c>
      <c r="G595" t="s">
        <v>388</v>
      </c>
      <c r="H595">
        <v>17</v>
      </c>
      <c r="I595" s="24">
        <v>7.204861111111116E-2</v>
      </c>
      <c r="J595">
        <f t="shared" si="18"/>
        <v>0</v>
      </c>
      <c r="K595">
        <f t="shared" si="19"/>
        <v>0</v>
      </c>
    </row>
    <row r="596" spans="1:11" x14ac:dyDescent="0.25">
      <c r="A596">
        <v>40</v>
      </c>
      <c r="B596" t="s">
        <v>397</v>
      </c>
      <c r="C596" s="4">
        <v>0.85854166666666665</v>
      </c>
      <c r="D596" s="23">
        <v>0.85864583333333333</v>
      </c>
      <c r="E596" s="23">
        <v>0.93059027777777781</v>
      </c>
      <c r="F596" t="s">
        <v>398</v>
      </c>
      <c r="G596" t="s">
        <v>388</v>
      </c>
      <c r="H596">
        <v>17</v>
      </c>
      <c r="I596" s="24">
        <v>7.204861111111116E-2</v>
      </c>
      <c r="J596">
        <f t="shared" si="18"/>
        <v>0</v>
      </c>
      <c r="K596">
        <f t="shared" si="19"/>
        <v>0</v>
      </c>
    </row>
    <row r="597" spans="1:11" x14ac:dyDescent="0.25">
      <c r="A597">
        <v>41</v>
      </c>
      <c r="B597" t="s">
        <v>89</v>
      </c>
      <c r="C597" s="4">
        <v>0.85854166666666665</v>
      </c>
      <c r="D597" s="23">
        <v>0.93056712962962962</v>
      </c>
      <c r="E597" s="23">
        <v>0.93059027777777781</v>
      </c>
      <c r="F597" t="s">
        <v>94</v>
      </c>
      <c r="G597" t="s">
        <v>388</v>
      </c>
      <c r="H597">
        <v>17</v>
      </c>
      <c r="I597" s="24">
        <v>7.204861111111116E-2</v>
      </c>
      <c r="J597">
        <f t="shared" si="18"/>
        <v>0</v>
      </c>
      <c r="K597">
        <f t="shared" si="19"/>
        <v>0</v>
      </c>
    </row>
    <row r="598" spans="1:11" x14ac:dyDescent="0.25">
      <c r="A598">
        <v>42</v>
      </c>
      <c r="B598" t="s">
        <v>348</v>
      </c>
      <c r="C598" s="4">
        <v>0.85854166666666665</v>
      </c>
      <c r="D598" s="23">
        <v>0.85859953703703706</v>
      </c>
      <c r="E598" s="23">
        <v>0.93059027777777781</v>
      </c>
      <c r="F598" t="s">
        <v>393</v>
      </c>
      <c r="G598" t="s">
        <v>388</v>
      </c>
      <c r="H598">
        <v>17</v>
      </c>
      <c r="I598" s="24">
        <v>7.204861111111116E-2</v>
      </c>
      <c r="J598">
        <f t="shared" si="18"/>
        <v>0</v>
      </c>
      <c r="K598">
        <f t="shared" si="19"/>
        <v>0</v>
      </c>
    </row>
    <row r="599" spans="1:11" x14ac:dyDescent="0.25">
      <c r="A599">
        <v>43</v>
      </c>
      <c r="B599" t="s">
        <v>321</v>
      </c>
      <c r="C599" s="4">
        <v>0.85854166666666665</v>
      </c>
      <c r="D599" s="23">
        <v>0.85886574074074074</v>
      </c>
      <c r="E599" s="23">
        <v>0.93059027777777781</v>
      </c>
      <c r="F599" t="s">
        <v>399</v>
      </c>
      <c r="G599" t="s">
        <v>388</v>
      </c>
      <c r="H599">
        <v>17</v>
      </c>
      <c r="I599" s="24">
        <v>7.204861111111116E-2</v>
      </c>
      <c r="J599">
        <f t="shared" si="18"/>
        <v>0</v>
      </c>
      <c r="K599">
        <f t="shared" si="19"/>
        <v>0</v>
      </c>
    </row>
    <row r="600" spans="1:11" x14ac:dyDescent="0.25">
      <c r="A600">
        <v>1</v>
      </c>
      <c r="B600" t="s">
        <v>29</v>
      </c>
      <c r="C600" s="4">
        <v>0.85980324074074077</v>
      </c>
      <c r="D600" s="23">
        <v>0.93902777777777779</v>
      </c>
      <c r="E600" s="23">
        <v>0.93912037037037033</v>
      </c>
      <c r="F600" t="s">
        <v>210</v>
      </c>
      <c r="G600" t="s">
        <v>400</v>
      </c>
      <c r="H600">
        <v>16</v>
      </c>
      <c r="I600" s="24">
        <v>7.9317129629629557E-2</v>
      </c>
      <c r="J600">
        <f t="shared" si="18"/>
        <v>0</v>
      </c>
      <c r="K600">
        <f t="shared" si="19"/>
        <v>0</v>
      </c>
    </row>
    <row r="601" spans="1:11" x14ac:dyDescent="0.25">
      <c r="A601">
        <v>2</v>
      </c>
      <c r="B601" t="s">
        <v>5</v>
      </c>
      <c r="C601" s="4">
        <v>0.85980324074074077</v>
      </c>
      <c r="D601" s="23">
        <v>0.859837962962963</v>
      </c>
      <c r="E601" s="23">
        <v>0.93912037037037033</v>
      </c>
      <c r="F601" t="s">
        <v>402</v>
      </c>
      <c r="G601" t="s">
        <v>400</v>
      </c>
      <c r="H601">
        <v>16</v>
      </c>
      <c r="I601" s="24">
        <v>7.9317129629629557E-2</v>
      </c>
      <c r="J601">
        <f t="shared" si="18"/>
        <v>0</v>
      </c>
      <c r="K601">
        <f t="shared" si="19"/>
        <v>0</v>
      </c>
    </row>
    <row r="602" spans="1:11" x14ac:dyDescent="0.25">
      <c r="A602">
        <v>3</v>
      </c>
      <c r="B602" t="s">
        <v>9</v>
      </c>
      <c r="C602" s="4">
        <v>0.85980324074074077</v>
      </c>
      <c r="D602" s="23">
        <v>0.859837962962963</v>
      </c>
      <c r="E602" s="23">
        <v>0.93912037037037033</v>
      </c>
      <c r="F602" t="s">
        <v>403</v>
      </c>
      <c r="G602" t="s">
        <v>400</v>
      </c>
      <c r="H602">
        <v>16</v>
      </c>
      <c r="I602" s="24">
        <v>7.9317129629629557E-2</v>
      </c>
      <c r="J602">
        <f t="shared" si="18"/>
        <v>0</v>
      </c>
      <c r="K602">
        <f t="shared" si="19"/>
        <v>0</v>
      </c>
    </row>
    <row r="603" spans="1:11" x14ac:dyDescent="0.25">
      <c r="A603">
        <v>4</v>
      </c>
      <c r="B603" t="s">
        <v>11</v>
      </c>
      <c r="C603" s="4">
        <v>0.85980324074074077</v>
      </c>
      <c r="D603" s="23">
        <v>0.859837962962963</v>
      </c>
      <c r="E603" s="23">
        <v>0.93912037037037033</v>
      </c>
      <c r="F603" t="s">
        <v>404</v>
      </c>
      <c r="G603" t="s">
        <v>400</v>
      </c>
      <c r="H603">
        <v>16</v>
      </c>
      <c r="I603" s="24">
        <v>7.9317129629629557E-2</v>
      </c>
      <c r="J603">
        <f t="shared" si="18"/>
        <v>0</v>
      </c>
      <c r="K603">
        <f t="shared" si="19"/>
        <v>0</v>
      </c>
    </row>
    <row r="604" spans="1:11" x14ac:dyDescent="0.25">
      <c r="A604">
        <v>5</v>
      </c>
      <c r="B604" t="s">
        <v>296</v>
      </c>
      <c r="C604" s="4">
        <v>0.85980324074074077</v>
      </c>
      <c r="D604" s="23">
        <v>0.859837962962963</v>
      </c>
      <c r="E604" s="23">
        <v>0.93912037037037033</v>
      </c>
      <c r="F604" t="s">
        <v>402</v>
      </c>
      <c r="G604" t="s">
        <v>400</v>
      </c>
      <c r="H604">
        <v>16</v>
      </c>
      <c r="I604" s="24">
        <v>7.9317129629629557E-2</v>
      </c>
      <c r="J604">
        <f t="shared" si="18"/>
        <v>0</v>
      </c>
      <c r="K604">
        <f t="shared" si="19"/>
        <v>0</v>
      </c>
    </row>
    <row r="605" spans="1:11" x14ac:dyDescent="0.25">
      <c r="A605">
        <v>6</v>
      </c>
      <c r="B605" t="s">
        <v>35</v>
      </c>
      <c r="C605" s="4">
        <v>0.85980324074074077</v>
      </c>
      <c r="D605" s="23">
        <v>0.859837962962963</v>
      </c>
      <c r="E605" s="23">
        <v>0.93912037037037033</v>
      </c>
      <c r="F605" t="s">
        <v>403</v>
      </c>
      <c r="G605" t="s">
        <v>400</v>
      </c>
      <c r="H605">
        <v>16</v>
      </c>
      <c r="I605" s="24">
        <v>7.9317129629629557E-2</v>
      </c>
      <c r="J605">
        <f t="shared" si="18"/>
        <v>0</v>
      </c>
      <c r="K605">
        <f t="shared" si="19"/>
        <v>0</v>
      </c>
    </row>
    <row r="606" spans="1:11" x14ac:dyDescent="0.25">
      <c r="A606">
        <v>8</v>
      </c>
      <c r="B606" t="s">
        <v>70</v>
      </c>
      <c r="C606" s="4">
        <v>0.85980324074074077</v>
      </c>
      <c r="D606" s="23">
        <v>0.859837962962963</v>
      </c>
      <c r="E606" s="23">
        <v>0.93912037037037033</v>
      </c>
      <c r="F606" t="s">
        <v>406</v>
      </c>
      <c r="G606" t="s">
        <v>400</v>
      </c>
      <c r="H606">
        <v>16</v>
      </c>
      <c r="I606" s="24">
        <v>7.9317129629629557E-2</v>
      </c>
      <c r="J606">
        <f t="shared" si="18"/>
        <v>0</v>
      </c>
      <c r="K606">
        <f t="shared" si="19"/>
        <v>0</v>
      </c>
    </row>
    <row r="607" spans="1:11" x14ac:dyDescent="0.25">
      <c r="A607">
        <v>9</v>
      </c>
      <c r="B607" t="s">
        <v>59</v>
      </c>
      <c r="C607" s="4">
        <v>0.85980324074074077</v>
      </c>
      <c r="D607" s="23">
        <v>0.859837962962963</v>
      </c>
      <c r="E607" s="23">
        <v>0.93912037037037033</v>
      </c>
      <c r="F607" t="s">
        <v>406</v>
      </c>
      <c r="G607" t="s">
        <v>400</v>
      </c>
      <c r="H607">
        <v>16</v>
      </c>
      <c r="I607" s="24">
        <v>7.9317129629629557E-2</v>
      </c>
      <c r="J607">
        <f t="shared" si="18"/>
        <v>0</v>
      </c>
      <c r="K607">
        <f t="shared" si="19"/>
        <v>0</v>
      </c>
    </row>
    <row r="608" spans="1:11" x14ac:dyDescent="0.25">
      <c r="A608">
        <v>10</v>
      </c>
      <c r="B608" t="s">
        <v>380</v>
      </c>
      <c r="C608" s="4">
        <v>0.85980324074074077</v>
      </c>
      <c r="D608" s="23">
        <v>0.859837962962963</v>
      </c>
      <c r="E608" s="23">
        <v>0.93912037037037033</v>
      </c>
      <c r="F608" t="s">
        <v>406</v>
      </c>
      <c r="G608" t="s">
        <v>400</v>
      </c>
      <c r="H608">
        <v>16</v>
      </c>
      <c r="I608" s="24">
        <v>7.9317129629629557E-2</v>
      </c>
      <c r="J608">
        <f t="shared" si="18"/>
        <v>0</v>
      </c>
      <c r="K608">
        <f t="shared" si="19"/>
        <v>0</v>
      </c>
    </row>
    <row r="609" spans="1:11" x14ac:dyDescent="0.25">
      <c r="A609">
        <v>11</v>
      </c>
      <c r="B609" t="s">
        <v>407</v>
      </c>
      <c r="C609" s="4">
        <v>0.85980324074074077</v>
      </c>
      <c r="D609" s="23">
        <v>0.859837962962963</v>
      </c>
      <c r="E609" s="23">
        <v>0.93912037037037033</v>
      </c>
      <c r="F609" t="s">
        <v>408</v>
      </c>
      <c r="G609" t="s">
        <v>400</v>
      </c>
      <c r="H609">
        <v>16</v>
      </c>
      <c r="I609" s="24">
        <v>7.9317129629629557E-2</v>
      </c>
      <c r="J609">
        <f t="shared" si="18"/>
        <v>0</v>
      </c>
      <c r="K609">
        <f t="shared" si="19"/>
        <v>0</v>
      </c>
    </row>
    <row r="610" spans="1:11" x14ac:dyDescent="0.25">
      <c r="A610">
        <v>12</v>
      </c>
      <c r="B610" t="s">
        <v>181</v>
      </c>
      <c r="C610" s="4">
        <v>0.85980324074074077</v>
      </c>
      <c r="D610" s="23">
        <v>0.859837962962963</v>
      </c>
      <c r="E610" s="23">
        <v>0.93912037037037033</v>
      </c>
      <c r="F610" t="s">
        <v>406</v>
      </c>
      <c r="G610" t="s">
        <v>400</v>
      </c>
      <c r="H610">
        <v>16</v>
      </c>
      <c r="I610" s="24">
        <v>7.9317129629629557E-2</v>
      </c>
      <c r="J610">
        <f t="shared" si="18"/>
        <v>0</v>
      </c>
      <c r="K610">
        <f t="shared" si="19"/>
        <v>0</v>
      </c>
    </row>
    <row r="611" spans="1:11" x14ac:dyDescent="0.25">
      <c r="A611">
        <v>13</v>
      </c>
      <c r="B611" t="s">
        <v>36</v>
      </c>
      <c r="C611" s="4">
        <v>0.85980324074074077</v>
      </c>
      <c r="D611" s="23">
        <v>0.859837962962963</v>
      </c>
      <c r="E611" s="23">
        <v>0.93912037037037033</v>
      </c>
      <c r="F611" t="s">
        <v>406</v>
      </c>
      <c r="G611" t="s">
        <v>400</v>
      </c>
      <c r="H611">
        <v>16</v>
      </c>
      <c r="I611" s="24">
        <v>7.9317129629629557E-2</v>
      </c>
      <c r="J611">
        <f t="shared" si="18"/>
        <v>0</v>
      </c>
      <c r="K611">
        <f t="shared" si="19"/>
        <v>0</v>
      </c>
    </row>
    <row r="612" spans="1:11" x14ac:dyDescent="0.25">
      <c r="A612">
        <v>14</v>
      </c>
      <c r="B612" t="s">
        <v>208</v>
      </c>
      <c r="C612" s="4">
        <v>0.85980324074074077</v>
      </c>
      <c r="D612" s="23">
        <v>0.859837962962963</v>
      </c>
      <c r="E612" s="23">
        <v>0.93912037037037033</v>
      </c>
      <c r="F612" t="s">
        <v>406</v>
      </c>
      <c r="G612" t="s">
        <v>400</v>
      </c>
      <c r="H612">
        <v>16</v>
      </c>
      <c r="I612" s="24">
        <v>7.9317129629629557E-2</v>
      </c>
      <c r="J612">
        <f t="shared" si="18"/>
        <v>0</v>
      </c>
      <c r="K612">
        <f t="shared" si="19"/>
        <v>0</v>
      </c>
    </row>
    <row r="613" spans="1:11" x14ac:dyDescent="0.25">
      <c r="A613">
        <v>15</v>
      </c>
      <c r="B613" t="s">
        <v>37</v>
      </c>
      <c r="C613" s="4">
        <v>0.85980324074074077</v>
      </c>
      <c r="D613" s="23">
        <v>0.859837962962963</v>
      </c>
      <c r="E613" s="23">
        <v>0.93912037037037033</v>
      </c>
      <c r="F613" t="s">
        <v>406</v>
      </c>
      <c r="G613" t="s">
        <v>400</v>
      </c>
      <c r="H613">
        <v>16</v>
      </c>
      <c r="I613" s="24">
        <v>7.9317129629629557E-2</v>
      </c>
      <c r="J613">
        <f t="shared" si="18"/>
        <v>0</v>
      </c>
      <c r="K613">
        <f t="shared" si="19"/>
        <v>0</v>
      </c>
    </row>
    <row r="614" spans="1:11" x14ac:dyDescent="0.25">
      <c r="A614">
        <v>16</v>
      </c>
      <c r="B614" t="s">
        <v>16</v>
      </c>
      <c r="C614" s="4">
        <v>0.85980324074074077</v>
      </c>
      <c r="D614" s="23">
        <v>0.859837962962963</v>
      </c>
      <c r="E614" s="23">
        <v>0.93912037037037033</v>
      </c>
      <c r="F614" t="s">
        <v>403</v>
      </c>
      <c r="G614" t="s">
        <v>400</v>
      </c>
      <c r="H614">
        <v>16</v>
      </c>
      <c r="I614" s="24">
        <v>7.9317129629629557E-2</v>
      </c>
      <c r="J614">
        <f t="shared" si="18"/>
        <v>0</v>
      </c>
      <c r="K614">
        <f t="shared" si="19"/>
        <v>0</v>
      </c>
    </row>
    <row r="615" spans="1:11" x14ac:dyDescent="0.25">
      <c r="A615">
        <v>17</v>
      </c>
      <c r="B615" t="s">
        <v>186</v>
      </c>
      <c r="C615" s="4">
        <v>0.85980324074074077</v>
      </c>
      <c r="D615" s="23">
        <v>0.859837962962963</v>
      </c>
      <c r="E615" s="23">
        <v>0.93912037037037033</v>
      </c>
      <c r="F615" t="s">
        <v>403</v>
      </c>
      <c r="G615" t="s">
        <v>400</v>
      </c>
      <c r="H615">
        <v>16</v>
      </c>
      <c r="I615" s="24">
        <v>7.9317129629629557E-2</v>
      </c>
      <c r="J615">
        <f t="shared" si="18"/>
        <v>0</v>
      </c>
      <c r="K615">
        <f t="shared" si="19"/>
        <v>0</v>
      </c>
    </row>
    <row r="616" spans="1:11" x14ac:dyDescent="0.25">
      <c r="A616">
        <v>18</v>
      </c>
      <c r="B616" t="s">
        <v>409</v>
      </c>
      <c r="C616" s="4">
        <v>0.85980324074074077</v>
      </c>
      <c r="D616" s="23">
        <v>0.859837962962963</v>
      </c>
      <c r="E616" s="23">
        <v>0.93912037037037033</v>
      </c>
      <c r="F616" t="s">
        <v>406</v>
      </c>
      <c r="G616" t="s">
        <v>400</v>
      </c>
      <c r="H616">
        <v>16</v>
      </c>
      <c r="I616" s="24">
        <v>7.9317129629629557E-2</v>
      </c>
      <c r="J616">
        <f t="shared" si="18"/>
        <v>0</v>
      </c>
      <c r="K616">
        <f t="shared" si="19"/>
        <v>0</v>
      </c>
    </row>
    <row r="617" spans="1:11" x14ac:dyDescent="0.25">
      <c r="A617">
        <v>19</v>
      </c>
      <c r="B617" t="s">
        <v>114</v>
      </c>
      <c r="C617" s="4">
        <v>0.85980324074074077</v>
      </c>
      <c r="D617" s="23">
        <v>0.859837962962963</v>
      </c>
      <c r="E617" s="23">
        <v>0.93912037037037033</v>
      </c>
      <c r="F617" t="s">
        <v>406</v>
      </c>
      <c r="G617" t="s">
        <v>400</v>
      </c>
      <c r="H617">
        <v>16</v>
      </c>
      <c r="I617" s="24">
        <v>7.9317129629629557E-2</v>
      </c>
      <c r="J617">
        <f t="shared" si="18"/>
        <v>0</v>
      </c>
      <c r="K617">
        <f t="shared" si="19"/>
        <v>0</v>
      </c>
    </row>
    <row r="618" spans="1:11" x14ac:dyDescent="0.25">
      <c r="A618">
        <v>20</v>
      </c>
      <c r="B618" t="s">
        <v>410</v>
      </c>
      <c r="C618" s="4">
        <v>0.85980324074074077</v>
      </c>
      <c r="D618" s="23">
        <v>0.859837962962963</v>
      </c>
      <c r="E618" s="23">
        <v>0.93912037037037033</v>
      </c>
      <c r="F618" t="s">
        <v>403</v>
      </c>
      <c r="G618" t="s">
        <v>400</v>
      </c>
      <c r="H618">
        <v>16</v>
      </c>
      <c r="I618" s="24">
        <v>7.9317129629629557E-2</v>
      </c>
      <c r="J618">
        <f t="shared" si="18"/>
        <v>0</v>
      </c>
      <c r="K618">
        <f t="shared" si="19"/>
        <v>0</v>
      </c>
    </row>
    <row r="619" spans="1:11" x14ac:dyDescent="0.25">
      <c r="A619">
        <v>21</v>
      </c>
      <c r="B619" t="s">
        <v>335</v>
      </c>
      <c r="C619" s="4">
        <v>0.85980324074074077</v>
      </c>
      <c r="D619" s="23">
        <v>0.93902777777777779</v>
      </c>
      <c r="E619" s="23">
        <v>0.93912037037037033</v>
      </c>
      <c r="F619" t="s">
        <v>405</v>
      </c>
      <c r="G619" t="s">
        <v>400</v>
      </c>
      <c r="H619">
        <v>16</v>
      </c>
      <c r="I619" s="24">
        <v>7.9317129629629557E-2</v>
      </c>
      <c r="J619">
        <f t="shared" si="18"/>
        <v>0</v>
      </c>
      <c r="K619">
        <f t="shared" si="19"/>
        <v>0</v>
      </c>
    </row>
    <row r="620" spans="1:11" x14ac:dyDescent="0.25">
      <c r="A620">
        <v>22</v>
      </c>
      <c r="B620" t="s">
        <v>18</v>
      </c>
      <c r="C620" s="4">
        <v>0.85980324074074077</v>
      </c>
      <c r="D620" s="23">
        <v>0.859837962962963</v>
      </c>
      <c r="E620" s="23">
        <v>0.93912037037037033</v>
      </c>
      <c r="F620" t="s">
        <v>406</v>
      </c>
      <c r="G620" t="s">
        <v>400</v>
      </c>
      <c r="H620">
        <v>16</v>
      </c>
      <c r="I620" s="24">
        <v>7.9317129629629557E-2</v>
      </c>
      <c r="J620">
        <f t="shared" si="18"/>
        <v>0</v>
      </c>
      <c r="K620">
        <f t="shared" si="19"/>
        <v>0</v>
      </c>
    </row>
    <row r="621" spans="1:11" x14ac:dyDescent="0.25">
      <c r="A621">
        <v>23</v>
      </c>
      <c r="B621" t="s">
        <v>41</v>
      </c>
      <c r="C621" s="4">
        <v>0.85980324074074077</v>
      </c>
      <c r="D621" s="23">
        <v>0.859837962962963</v>
      </c>
      <c r="E621" s="23">
        <v>0.93912037037037033</v>
      </c>
      <c r="F621" t="s">
        <v>403</v>
      </c>
      <c r="G621" t="s">
        <v>400</v>
      </c>
      <c r="H621">
        <v>16</v>
      </c>
      <c r="I621" s="24">
        <v>7.9317129629629557E-2</v>
      </c>
      <c r="J621">
        <f t="shared" si="18"/>
        <v>0</v>
      </c>
      <c r="K621">
        <f t="shared" si="19"/>
        <v>0</v>
      </c>
    </row>
    <row r="622" spans="1:11" x14ac:dyDescent="0.25">
      <c r="A622">
        <v>24</v>
      </c>
      <c r="B622" t="s">
        <v>267</v>
      </c>
      <c r="C622" s="4">
        <v>0.85980324074074077</v>
      </c>
      <c r="D622" s="23">
        <v>0.93902777777777779</v>
      </c>
      <c r="E622" s="23">
        <v>0.93912037037037033</v>
      </c>
      <c r="F622" t="s">
        <v>405</v>
      </c>
      <c r="G622" t="s">
        <v>400</v>
      </c>
      <c r="H622">
        <v>16</v>
      </c>
      <c r="I622" s="24">
        <v>7.9317129629629557E-2</v>
      </c>
      <c r="J622">
        <f t="shared" si="18"/>
        <v>0</v>
      </c>
      <c r="K622">
        <f t="shared" si="19"/>
        <v>0</v>
      </c>
    </row>
    <row r="623" spans="1:11" x14ac:dyDescent="0.25">
      <c r="A623">
        <v>25</v>
      </c>
      <c r="B623" t="s">
        <v>118</v>
      </c>
      <c r="C623" s="4">
        <v>0.85980324074074077</v>
      </c>
      <c r="D623" s="23">
        <v>0.859837962962963</v>
      </c>
      <c r="E623" s="23">
        <v>0.93912037037037033</v>
      </c>
      <c r="F623" t="s">
        <v>403</v>
      </c>
      <c r="G623" t="s">
        <v>400</v>
      </c>
      <c r="H623">
        <v>16</v>
      </c>
      <c r="I623" s="24">
        <v>7.9317129629629557E-2</v>
      </c>
      <c r="J623">
        <f t="shared" si="18"/>
        <v>0</v>
      </c>
      <c r="K623">
        <f t="shared" si="19"/>
        <v>0</v>
      </c>
    </row>
    <row r="624" spans="1:11" x14ac:dyDescent="0.25">
      <c r="A624">
        <v>26</v>
      </c>
      <c r="B624" t="s">
        <v>383</v>
      </c>
      <c r="C624" s="4">
        <v>0.85980324074074077</v>
      </c>
      <c r="D624" s="23">
        <v>0.859837962962963</v>
      </c>
      <c r="E624" s="23">
        <v>0.93912037037037033</v>
      </c>
      <c r="F624" t="s">
        <v>406</v>
      </c>
      <c r="G624" t="s">
        <v>400</v>
      </c>
      <c r="H624">
        <v>16</v>
      </c>
      <c r="I624" s="24">
        <v>7.9317129629629557E-2</v>
      </c>
      <c r="J624">
        <f t="shared" si="18"/>
        <v>0</v>
      </c>
      <c r="K624">
        <f t="shared" si="19"/>
        <v>0</v>
      </c>
    </row>
    <row r="625" spans="1:11" x14ac:dyDescent="0.25">
      <c r="A625">
        <v>27</v>
      </c>
      <c r="B625" t="s">
        <v>20</v>
      </c>
      <c r="C625" s="4">
        <v>0.85980324074074077</v>
      </c>
      <c r="D625" s="23">
        <v>0.859837962962963</v>
      </c>
      <c r="E625" s="23">
        <v>0.93912037037037033</v>
      </c>
      <c r="F625" t="s">
        <v>403</v>
      </c>
      <c r="G625" t="s">
        <v>400</v>
      </c>
      <c r="H625">
        <v>16</v>
      </c>
      <c r="I625" s="24">
        <v>7.9317129629629557E-2</v>
      </c>
      <c r="J625">
        <f t="shared" si="18"/>
        <v>0</v>
      </c>
      <c r="K625">
        <f t="shared" si="19"/>
        <v>0</v>
      </c>
    </row>
    <row r="626" spans="1:11" x14ac:dyDescent="0.25">
      <c r="A626">
        <v>28</v>
      </c>
      <c r="B626" t="s">
        <v>43</v>
      </c>
      <c r="C626" s="4">
        <v>0.85980324074074077</v>
      </c>
      <c r="D626" s="23">
        <v>0.859837962962963</v>
      </c>
      <c r="E626" s="23">
        <v>0.93912037037037033</v>
      </c>
      <c r="F626" t="s">
        <v>406</v>
      </c>
      <c r="G626" t="s">
        <v>400</v>
      </c>
      <c r="H626">
        <v>16</v>
      </c>
      <c r="I626" s="24">
        <v>7.9317129629629557E-2</v>
      </c>
      <c r="J626">
        <f t="shared" ref="J626:J689" si="20">IF(AND(H626&gt;=1,H626&lt;=7),1,0)</f>
        <v>0</v>
      </c>
      <c r="K626">
        <f t="shared" ref="K626:K689" si="21">IF(AND(H626&gt;=30,H626&lt;=36),1,0)</f>
        <v>0</v>
      </c>
    </row>
    <row r="627" spans="1:11" x14ac:dyDescent="0.25">
      <c r="A627">
        <v>29</v>
      </c>
      <c r="B627" t="s">
        <v>44</v>
      </c>
      <c r="C627" s="4">
        <v>0.85980324074074077</v>
      </c>
      <c r="D627" s="23">
        <v>0.859837962962963</v>
      </c>
      <c r="E627" s="23">
        <v>0.93912037037037033</v>
      </c>
      <c r="F627" t="s">
        <v>406</v>
      </c>
      <c r="G627" t="s">
        <v>400</v>
      </c>
      <c r="H627">
        <v>16</v>
      </c>
      <c r="I627" s="24">
        <v>7.9317129629629557E-2</v>
      </c>
      <c r="J627">
        <f t="shared" si="20"/>
        <v>0</v>
      </c>
      <c r="K627">
        <f t="shared" si="21"/>
        <v>0</v>
      </c>
    </row>
    <row r="628" spans="1:11" x14ac:dyDescent="0.25">
      <c r="A628">
        <v>30</v>
      </c>
      <c r="B628" t="s">
        <v>99</v>
      </c>
      <c r="C628" s="4">
        <v>0.85980324074074077</v>
      </c>
      <c r="D628" s="23">
        <v>0.859837962962963</v>
      </c>
      <c r="E628" s="23">
        <v>0.93912037037037033</v>
      </c>
      <c r="F628" t="s">
        <v>403</v>
      </c>
      <c r="G628" t="s">
        <v>400</v>
      </c>
      <c r="H628">
        <v>16</v>
      </c>
      <c r="I628" s="24">
        <v>7.9317129629629557E-2</v>
      </c>
      <c r="J628">
        <f t="shared" si="20"/>
        <v>0</v>
      </c>
      <c r="K628">
        <f t="shared" si="21"/>
        <v>0</v>
      </c>
    </row>
    <row r="629" spans="1:11" x14ac:dyDescent="0.25">
      <c r="A629">
        <v>31</v>
      </c>
      <c r="B629" t="s">
        <v>156</v>
      </c>
      <c r="C629" s="4">
        <v>0.85980324074074077</v>
      </c>
      <c r="D629" s="23">
        <v>0.859837962962963</v>
      </c>
      <c r="E629" s="23">
        <v>0.93912037037037033</v>
      </c>
      <c r="F629" t="s">
        <v>406</v>
      </c>
      <c r="G629" t="s">
        <v>400</v>
      </c>
      <c r="H629">
        <v>16</v>
      </c>
      <c r="I629" s="24">
        <v>7.9317129629629557E-2</v>
      </c>
      <c r="J629">
        <f t="shared" si="20"/>
        <v>0</v>
      </c>
      <c r="K629">
        <f t="shared" si="21"/>
        <v>0</v>
      </c>
    </row>
    <row r="630" spans="1:11" x14ac:dyDescent="0.25">
      <c r="A630">
        <v>32</v>
      </c>
      <c r="B630" t="s">
        <v>238</v>
      </c>
      <c r="C630" s="4">
        <v>0.85980324074074077</v>
      </c>
      <c r="D630" s="23">
        <v>0.859837962962963</v>
      </c>
      <c r="E630" s="23">
        <v>0.93912037037037033</v>
      </c>
      <c r="F630" t="s">
        <v>403</v>
      </c>
      <c r="G630" t="s">
        <v>400</v>
      </c>
      <c r="H630">
        <v>16</v>
      </c>
      <c r="I630" s="24">
        <v>7.9317129629629557E-2</v>
      </c>
      <c r="J630">
        <f t="shared" si="20"/>
        <v>0</v>
      </c>
      <c r="K630">
        <f t="shared" si="21"/>
        <v>0</v>
      </c>
    </row>
    <row r="631" spans="1:11" x14ac:dyDescent="0.25">
      <c r="A631">
        <v>33</v>
      </c>
      <c r="B631" t="s">
        <v>22</v>
      </c>
      <c r="C631" s="4">
        <v>0.85980324074074077</v>
      </c>
      <c r="D631" s="23">
        <v>0.859837962962963</v>
      </c>
      <c r="E631" s="23">
        <v>0.93912037037037033</v>
      </c>
      <c r="F631" t="s">
        <v>403</v>
      </c>
      <c r="G631" t="s">
        <v>400</v>
      </c>
      <c r="H631">
        <v>16</v>
      </c>
      <c r="I631" s="24">
        <v>7.9317129629629557E-2</v>
      </c>
      <c r="J631">
        <f t="shared" si="20"/>
        <v>0</v>
      </c>
      <c r="K631">
        <f t="shared" si="21"/>
        <v>0</v>
      </c>
    </row>
    <row r="632" spans="1:11" x14ac:dyDescent="0.25">
      <c r="A632">
        <v>34</v>
      </c>
      <c r="B632" t="s">
        <v>61</v>
      </c>
      <c r="C632" s="4">
        <v>0.85980324074074077</v>
      </c>
      <c r="D632" s="23">
        <v>0.93902777777777779</v>
      </c>
      <c r="E632" s="23">
        <v>0.93912037037037033</v>
      </c>
      <c r="F632" t="s">
        <v>411</v>
      </c>
      <c r="G632" t="s">
        <v>400</v>
      </c>
      <c r="H632">
        <v>16</v>
      </c>
      <c r="I632" s="24">
        <v>7.9317129629629557E-2</v>
      </c>
      <c r="J632">
        <f t="shared" si="20"/>
        <v>0</v>
      </c>
      <c r="K632">
        <f t="shared" si="21"/>
        <v>0</v>
      </c>
    </row>
    <row r="633" spans="1:11" x14ac:dyDescent="0.25">
      <c r="A633">
        <v>35</v>
      </c>
      <c r="B633" t="s">
        <v>412</v>
      </c>
      <c r="C633" s="4">
        <v>0.85980324074074077</v>
      </c>
      <c r="D633" s="23">
        <v>0.93902777777777779</v>
      </c>
      <c r="E633" s="23">
        <v>0.93912037037037033</v>
      </c>
      <c r="F633" t="s">
        <v>405</v>
      </c>
      <c r="G633" t="s">
        <v>400</v>
      </c>
      <c r="H633">
        <v>16</v>
      </c>
      <c r="I633" s="24">
        <v>7.9317129629629557E-2</v>
      </c>
      <c r="J633">
        <f t="shared" si="20"/>
        <v>0</v>
      </c>
      <c r="K633">
        <f t="shared" si="21"/>
        <v>0</v>
      </c>
    </row>
    <row r="634" spans="1:11" x14ac:dyDescent="0.25">
      <c r="A634">
        <v>36</v>
      </c>
      <c r="B634" t="s">
        <v>100</v>
      </c>
      <c r="C634" s="4">
        <v>0.85980324074074077</v>
      </c>
      <c r="D634" s="23">
        <v>0.859837962962963</v>
      </c>
      <c r="E634" s="23">
        <v>0.93912037037037033</v>
      </c>
      <c r="F634" t="s">
        <v>413</v>
      </c>
      <c r="G634" t="s">
        <v>400</v>
      </c>
      <c r="H634">
        <v>16</v>
      </c>
      <c r="I634" s="24">
        <v>7.9317129629629557E-2</v>
      </c>
      <c r="J634">
        <f t="shared" si="20"/>
        <v>0</v>
      </c>
      <c r="K634">
        <f t="shared" si="21"/>
        <v>0</v>
      </c>
    </row>
    <row r="635" spans="1:11" x14ac:dyDescent="0.25">
      <c r="A635">
        <v>37</v>
      </c>
      <c r="B635" t="s">
        <v>23</v>
      </c>
      <c r="C635" s="4">
        <v>0.85980324074074077</v>
      </c>
      <c r="D635" s="23">
        <v>0.859837962962963</v>
      </c>
      <c r="E635" s="23">
        <v>0.93912037037037033</v>
      </c>
      <c r="F635" t="s">
        <v>406</v>
      </c>
      <c r="G635" t="s">
        <v>400</v>
      </c>
      <c r="H635">
        <v>16</v>
      </c>
      <c r="I635" s="24">
        <v>7.9317129629629557E-2</v>
      </c>
      <c r="J635">
        <f t="shared" si="20"/>
        <v>0</v>
      </c>
      <c r="K635">
        <f t="shared" si="21"/>
        <v>0</v>
      </c>
    </row>
    <row r="636" spans="1:11" x14ac:dyDescent="0.25">
      <c r="A636">
        <v>38</v>
      </c>
      <c r="B636" t="s">
        <v>49</v>
      </c>
      <c r="C636" s="4">
        <v>0.85980324074074077</v>
      </c>
      <c r="D636" s="23">
        <v>0.859837962962963</v>
      </c>
      <c r="E636" s="23">
        <v>0.93912037037037033</v>
      </c>
      <c r="F636" t="s">
        <v>406</v>
      </c>
      <c r="G636" t="s">
        <v>400</v>
      </c>
      <c r="H636">
        <v>16</v>
      </c>
      <c r="I636" s="24">
        <v>7.9317129629629557E-2</v>
      </c>
      <c r="J636">
        <f t="shared" si="20"/>
        <v>0</v>
      </c>
      <c r="K636">
        <f t="shared" si="21"/>
        <v>0</v>
      </c>
    </row>
    <row r="637" spans="1:11" x14ac:dyDescent="0.25">
      <c r="A637">
        <v>39</v>
      </c>
      <c r="B637" t="s">
        <v>25</v>
      </c>
      <c r="C637" s="4">
        <v>0.85980324074074077</v>
      </c>
      <c r="D637" s="23">
        <v>0.859837962962963</v>
      </c>
      <c r="E637" s="23">
        <v>0.93912037037037033</v>
      </c>
      <c r="F637" t="s">
        <v>403</v>
      </c>
      <c r="G637" t="s">
        <v>400</v>
      </c>
      <c r="H637">
        <v>16</v>
      </c>
      <c r="I637" s="24">
        <v>7.9317129629629557E-2</v>
      </c>
      <c r="J637">
        <f t="shared" si="20"/>
        <v>0</v>
      </c>
      <c r="K637">
        <f t="shared" si="21"/>
        <v>0</v>
      </c>
    </row>
    <row r="638" spans="1:11" x14ac:dyDescent="0.25">
      <c r="A638">
        <v>40</v>
      </c>
      <c r="B638" t="s">
        <v>193</v>
      </c>
      <c r="C638" s="4">
        <v>0.85980324074074077</v>
      </c>
      <c r="D638" s="23">
        <v>0.859837962962963</v>
      </c>
      <c r="E638" s="23">
        <v>0.93912037037037033</v>
      </c>
      <c r="F638" t="s">
        <v>403</v>
      </c>
      <c r="G638" t="s">
        <v>400</v>
      </c>
      <c r="H638">
        <v>16</v>
      </c>
      <c r="I638" s="24">
        <v>7.9317129629629557E-2</v>
      </c>
      <c r="J638">
        <f t="shared" si="20"/>
        <v>0</v>
      </c>
      <c r="K638">
        <f t="shared" si="21"/>
        <v>0</v>
      </c>
    </row>
    <row r="639" spans="1:11" x14ac:dyDescent="0.25">
      <c r="A639">
        <v>41</v>
      </c>
      <c r="B639" t="s">
        <v>213</v>
      </c>
      <c r="C639" s="4">
        <v>0.85980324074074077</v>
      </c>
      <c r="D639" s="23">
        <v>0.859837962962963</v>
      </c>
      <c r="E639" s="23">
        <v>0.93912037037037033</v>
      </c>
      <c r="F639" t="s">
        <v>406</v>
      </c>
      <c r="G639" t="s">
        <v>400</v>
      </c>
      <c r="H639">
        <v>16</v>
      </c>
      <c r="I639" s="24">
        <v>7.9317129629629557E-2</v>
      </c>
      <c r="J639">
        <f t="shared" si="20"/>
        <v>0</v>
      </c>
      <c r="K639">
        <f t="shared" si="21"/>
        <v>0</v>
      </c>
    </row>
    <row r="640" spans="1:11" x14ac:dyDescent="0.25">
      <c r="A640">
        <v>42</v>
      </c>
      <c r="B640" t="s">
        <v>50</v>
      </c>
      <c r="C640" s="4">
        <v>0.85980324074074077</v>
      </c>
      <c r="D640" s="23">
        <v>0.859837962962963</v>
      </c>
      <c r="E640" s="23">
        <v>0.93912037037037033</v>
      </c>
      <c r="F640" t="s">
        <v>403</v>
      </c>
      <c r="G640" t="s">
        <v>400</v>
      </c>
      <c r="H640">
        <v>16</v>
      </c>
      <c r="I640" s="24">
        <v>7.9317129629629557E-2</v>
      </c>
      <c r="J640">
        <f t="shared" si="20"/>
        <v>0</v>
      </c>
      <c r="K640">
        <f t="shared" si="21"/>
        <v>0</v>
      </c>
    </row>
    <row r="641" spans="1:11" x14ac:dyDescent="0.25">
      <c r="A641">
        <v>43</v>
      </c>
      <c r="B641" t="s">
        <v>62</v>
      </c>
      <c r="C641" s="4">
        <v>0.85980324074074077</v>
      </c>
      <c r="D641" s="23">
        <v>0.859837962962963</v>
      </c>
      <c r="E641" s="23">
        <v>0.93912037037037033</v>
      </c>
      <c r="F641" t="s">
        <v>406</v>
      </c>
      <c r="G641" t="s">
        <v>400</v>
      </c>
      <c r="H641">
        <v>16</v>
      </c>
      <c r="I641" s="24">
        <v>7.9317129629629557E-2</v>
      </c>
      <c r="J641">
        <f t="shared" si="20"/>
        <v>0</v>
      </c>
      <c r="K641">
        <f t="shared" si="21"/>
        <v>0</v>
      </c>
    </row>
    <row r="642" spans="1:11" x14ac:dyDescent="0.25">
      <c r="A642">
        <v>44</v>
      </c>
      <c r="B642" t="s">
        <v>51</v>
      </c>
      <c r="C642" s="4">
        <v>0.85980324074074077</v>
      </c>
      <c r="D642" s="23">
        <v>0.859837962962963</v>
      </c>
      <c r="E642" s="23">
        <v>0.93912037037037033</v>
      </c>
      <c r="F642" t="s">
        <v>406</v>
      </c>
      <c r="G642" t="s">
        <v>400</v>
      </c>
      <c r="H642">
        <v>16</v>
      </c>
      <c r="I642" s="24">
        <v>7.9317129629629557E-2</v>
      </c>
      <c r="J642">
        <f t="shared" si="20"/>
        <v>0</v>
      </c>
      <c r="K642">
        <f t="shared" si="21"/>
        <v>0</v>
      </c>
    </row>
    <row r="643" spans="1:11" x14ac:dyDescent="0.25">
      <c r="A643">
        <v>45</v>
      </c>
      <c r="B643" t="s">
        <v>83</v>
      </c>
      <c r="C643" s="4">
        <v>0.85980324074074077</v>
      </c>
      <c r="D643" s="23">
        <v>0.859837962962963</v>
      </c>
      <c r="E643" s="23">
        <v>0.93912037037037033</v>
      </c>
      <c r="F643" t="s">
        <v>406</v>
      </c>
      <c r="G643" t="s">
        <v>400</v>
      </c>
      <c r="H643">
        <v>16</v>
      </c>
      <c r="I643" s="24">
        <v>7.9317129629629557E-2</v>
      </c>
      <c r="J643">
        <f t="shared" si="20"/>
        <v>0</v>
      </c>
      <c r="K643">
        <f t="shared" si="21"/>
        <v>0</v>
      </c>
    </row>
    <row r="644" spans="1:11" x14ac:dyDescent="0.25">
      <c r="A644">
        <v>46</v>
      </c>
      <c r="B644" t="s">
        <v>261</v>
      </c>
      <c r="C644" s="4">
        <v>0.85980324074074077</v>
      </c>
      <c r="D644" s="23">
        <v>0.859837962962963</v>
      </c>
      <c r="E644" s="23">
        <v>0.93912037037037033</v>
      </c>
      <c r="F644" t="s">
        <v>403</v>
      </c>
      <c r="G644" t="s">
        <v>400</v>
      </c>
      <c r="H644">
        <v>16</v>
      </c>
      <c r="I644" s="24">
        <v>7.9317129629629557E-2</v>
      </c>
      <c r="J644">
        <f t="shared" si="20"/>
        <v>0</v>
      </c>
      <c r="K644">
        <f t="shared" si="21"/>
        <v>0</v>
      </c>
    </row>
    <row r="645" spans="1:11" x14ac:dyDescent="0.25">
      <c r="A645">
        <v>47</v>
      </c>
      <c r="B645" t="s">
        <v>85</v>
      </c>
      <c r="C645" s="4">
        <v>0.85980324074074077</v>
      </c>
      <c r="D645" s="23">
        <v>0.859837962962963</v>
      </c>
      <c r="E645" s="23">
        <v>0.93912037037037033</v>
      </c>
      <c r="F645" t="s">
        <v>403</v>
      </c>
      <c r="G645" t="s">
        <v>400</v>
      </c>
      <c r="H645">
        <v>16</v>
      </c>
      <c r="I645" s="24">
        <v>7.9317129629629557E-2</v>
      </c>
      <c r="J645">
        <f t="shared" si="20"/>
        <v>0</v>
      </c>
      <c r="K645">
        <f t="shared" si="21"/>
        <v>0</v>
      </c>
    </row>
    <row r="646" spans="1:11" x14ac:dyDescent="0.25">
      <c r="A646">
        <v>48</v>
      </c>
      <c r="B646" t="s">
        <v>53</v>
      </c>
      <c r="C646" s="4">
        <v>0.85980324074074077</v>
      </c>
      <c r="D646" s="23">
        <v>0.859837962962963</v>
      </c>
      <c r="E646" s="23">
        <v>0.93912037037037033</v>
      </c>
      <c r="F646" t="s">
        <v>406</v>
      </c>
      <c r="G646" t="s">
        <v>400</v>
      </c>
      <c r="H646">
        <v>16</v>
      </c>
      <c r="I646" s="24">
        <v>7.9317129629629557E-2</v>
      </c>
      <c r="J646">
        <f t="shared" si="20"/>
        <v>0</v>
      </c>
      <c r="K646">
        <f t="shared" si="21"/>
        <v>0</v>
      </c>
    </row>
    <row r="647" spans="1:11" x14ac:dyDescent="0.25">
      <c r="A647">
        <v>49</v>
      </c>
      <c r="B647" t="s">
        <v>262</v>
      </c>
      <c r="C647" s="4">
        <v>0.85980324074074077</v>
      </c>
      <c r="D647" s="23">
        <v>0.859837962962963</v>
      </c>
      <c r="E647" s="23">
        <v>0.93912037037037033</v>
      </c>
      <c r="F647" t="s">
        <v>406</v>
      </c>
      <c r="G647" t="s">
        <v>400</v>
      </c>
      <c r="H647">
        <v>16</v>
      </c>
      <c r="I647" s="24">
        <v>7.9317129629629557E-2</v>
      </c>
      <c r="J647">
        <f t="shared" si="20"/>
        <v>0</v>
      </c>
      <c r="K647">
        <f t="shared" si="21"/>
        <v>0</v>
      </c>
    </row>
    <row r="648" spans="1:11" x14ac:dyDescent="0.25">
      <c r="A648">
        <v>50</v>
      </c>
      <c r="B648" t="s">
        <v>89</v>
      </c>
      <c r="C648" s="4">
        <v>0.85980324074074077</v>
      </c>
      <c r="D648" s="23">
        <v>0.93902777777777779</v>
      </c>
      <c r="E648" s="23">
        <v>0.93912037037037033</v>
      </c>
      <c r="F648" t="s">
        <v>405</v>
      </c>
      <c r="G648" t="s">
        <v>400</v>
      </c>
      <c r="H648">
        <v>16</v>
      </c>
      <c r="I648" s="24">
        <v>7.9317129629629557E-2</v>
      </c>
      <c r="J648">
        <f t="shared" si="20"/>
        <v>0</v>
      </c>
      <c r="K648">
        <f t="shared" si="21"/>
        <v>0</v>
      </c>
    </row>
    <row r="649" spans="1:11" x14ac:dyDescent="0.25">
      <c r="A649">
        <v>51</v>
      </c>
      <c r="B649" t="s">
        <v>348</v>
      </c>
      <c r="C649" s="4">
        <v>0.85980324074074077</v>
      </c>
      <c r="D649" s="23">
        <v>0.859837962962963</v>
      </c>
      <c r="E649" s="23">
        <v>0.93912037037037033</v>
      </c>
      <c r="F649" t="s">
        <v>406</v>
      </c>
      <c r="G649" t="s">
        <v>400</v>
      </c>
      <c r="H649">
        <v>16</v>
      </c>
      <c r="I649" s="24">
        <v>7.9317129629629557E-2</v>
      </c>
      <c r="J649">
        <f t="shared" si="20"/>
        <v>0</v>
      </c>
      <c r="K649">
        <f t="shared" si="21"/>
        <v>0</v>
      </c>
    </row>
    <row r="650" spans="1:11" x14ac:dyDescent="0.25">
      <c r="A650">
        <v>52</v>
      </c>
      <c r="B650" t="s">
        <v>321</v>
      </c>
      <c r="C650" s="4">
        <v>0.85980324074074077</v>
      </c>
      <c r="D650" s="23">
        <v>0.859837962962963</v>
      </c>
      <c r="E650" s="23">
        <v>0.93912037037037033</v>
      </c>
      <c r="F650" t="s">
        <v>406</v>
      </c>
      <c r="G650" t="s">
        <v>400</v>
      </c>
      <c r="H650">
        <v>16</v>
      </c>
      <c r="I650" s="24">
        <v>7.9317129629629557E-2</v>
      </c>
      <c r="J650">
        <f t="shared" si="20"/>
        <v>0</v>
      </c>
      <c r="K650">
        <f t="shared" si="21"/>
        <v>0</v>
      </c>
    </row>
    <row r="651" spans="1:11" x14ac:dyDescent="0.25">
      <c r="A651">
        <v>53</v>
      </c>
      <c r="B651" t="s">
        <v>27</v>
      </c>
      <c r="C651" s="4">
        <v>0.85980324074074077</v>
      </c>
      <c r="D651" s="23">
        <v>0.859837962962963</v>
      </c>
      <c r="E651" s="23">
        <v>0.93912037037037033</v>
      </c>
      <c r="F651" t="s">
        <v>403</v>
      </c>
      <c r="G651" t="s">
        <v>400</v>
      </c>
      <c r="H651">
        <v>16</v>
      </c>
      <c r="I651" s="24">
        <v>7.9317129629629557E-2</v>
      </c>
      <c r="J651">
        <f t="shared" si="20"/>
        <v>0</v>
      </c>
      <c r="K651">
        <f t="shared" si="21"/>
        <v>0</v>
      </c>
    </row>
    <row r="652" spans="1:11" x14ac:dyDescent="0.25">
      <c r="A652">
        <v>1</v>
      </c>
      <c r="B652" t="s">
        <v>5</v>
      </c>
      <c r="C652" s="4">
        <v>0.85903935185185187</v>
      </c>
      <c r="D652" s="23">
        <v>0.85905092592592591</v>
      </c>
      <c r="E652" s="23">
        <v>0.96834490740740742</v>
      </c>
      <c r="F652" t="s">
        <v>414</v>
      </c>
      <c r="G652" t="s">
        <v>415</v>
      </c>
      <c r="H652">
        <v>15</v>
      </c>
      <c r="I652" s="24">
        <v>0.10930555555555554</v>
      </c>
      <c r="J652">
        <f t="shared" si="20"/>
        <v>0</v>
      </c>
      <c r="K652">
        <f t="shared" si="21"/>
        <v>0</v>
      </c>
    </row>
    <row r="653" spans="1:11" x14ac:dyDescent="0.25">
      <c r="A653">
        <v>2</v>
      </c>
      <c r="B653" t="s">
        <v>11</v>
      </c>
      <c r="C653" s="4">
        <v>0.85903935185185187</v>
      </c>
      <c r="D653" s="23">
        <v>0.85905092592592591</v>
      </c>
      <c r="E653" s="23">
        <v>0.96834490740740742</v>
      </c>
      <c r="F653" t="s">
        <v>417</v>
      </c>
      <c r="G653" t="s">
        <v>415</v>
      </c>
      <c r="H653">
        <v>15</v>
      </c>
      <c r="I653" s="24">
        <v>0.10930555555555554</v>
      </c>
      <c r="J653">
        <f t="shared" si="20"/>
        <v>0</v>
      </c>
      <c r="K653">
        <f t="shared" si="21"/>
        <v>0</v>
      </c>
    </row>
    <row r="654" spans="1:11" x14ac:dyDescent="0.25">
      <c r="A654">
        <v>3</v>
      </c>
      <c r="B654" t="s">
        <v>296</v>
      </c>
      <c r="C654" s="4">
        <v>0.85903935185185187</v>
      </c>
      <c r="D654" s="23">
        <v>0.9400115740740741</v>
      </c>
      <c r="E654" s="23">
        <v>0.96834490740740742</v>
      </c>
      <c r="F654" t="s">
        <v>418</v>
      </c>
      <c r="G654" t="s">
        <v>415</v>
      </c>
      <c r="H654">
        <v>15</v>
      </c>
      <c r="I654" s="24">
        <v>0.10930555555555554</v>
      </c>
      <c r="J654">
        <f t="shared" si="20"/>
        <v>0</v>
      </c>
      <c r="K654">
        <f t="shared" si="21"/>
        <v>0</v>
      </c>
    </row>
    <row r="655" spans="1:11" x14ac:dyDescent="0.25">
      <c r="A655">
        <v>4</v>
      </c>
      <c r="B655" t="s">
        <v>35</v>
      </c>
      <c r="C655" s="4">
        <v>0.85903935185185187</v>
      </c>
      <c r="D655" s="23">
        <v>0.85905092592592591</v>
      </c>
      <c r="E655" s="23">
        <v>0.96834490740740742</v>
      </c>
      <c r="F655" t="s">
        <v>419</v>
      </c>
      <c r="G655" t="s">
        <v>415</v>
      </c>
      <c r="H655">
        <v>15</v>
      </c>
      <c r="I655" s="24">
        <v>0.10930555555555554</v>
      </c>
      <c r="J655">
        <f t="shared" si="20"/>
        <v>0</v>
      </c>
      <c r="K655">
        <f t="shared" si="21"/>
        <v>0</v>
      </c>
    </row>
    <row r="656" spans="1:11" x14ac:dyDescent="0.25">
      <c r="A656">
        <v>5</v>
      </c>
      <c r="B656" t="s">
        <v>70</v>
      </c>
      <c r="C656" s="4">
        <v>0.85903935185185187</v>
      </c>
      <c r="D656" s="23">
        <v>0.85905092592592591</v>
      </c>
      <c r="E656" s="23">
        <v>0.96834490740740742</v>
      </c>
      <c r="F656" t="s">
        <v>419</v>
      </c>
      <c r="G656" t="s">
        <v>415</v>
      </c>
      <c r="H656">
        <v>15</v>
      </c>
      <c r="I656" s="24">
        <v>0.10930555555555554</v>
      </c>
      <c r="J656">
        <f t="shared" si="20"/>
        <v>0</v>
      </c>
      <c r="K656">
        <f t="shared" si="21"/>
        <v>0</v>
      </c>
    </row>
    <row r="657" spans="1:11" x14ac:dyDescent="0.25">
      <c r="A657">
        <v>6</v>
      </c>
      <c r="B657" t="s">
        <v>59</v>
      </c>
      <c r="C657" s="4">
        <v>0.85903935185185187</v>
      </c>
      <c r="D657" s="23">
        <v>0.85905092592592591</v>
      </c>
      <c r="E657" s="23">
        <v>0.96834490740740742</v>
      </c>
      <c r="F657" t="s">
        <v>420</v>
      </c>
      <c r="G657" t="s">
        <v>415</v>
      </c>
      <c r="H657">
        <v>15</v>
      </c>
      <c r="I657" s="24">
        <v>0.10930555555555554</v>
      </c>
      <c r="J657">
        <f t="shared" si="20"/>
        <v>0</v>
      </c>
      <c r="K657">
        <f t="shared" si="21"/>
        <v>0</v>
      </c>
    </row>
    <row r="658" spans="1:11" x14ac:dyDescent="0.25">
      <c r="A658">
        <v>7</v>
      </c>
      <c r="B658" t="s">
        <v>97</v>
      </c>
      <c r="C658" s="4">
        <v>0.85903935185185187</v>
      </c>
      <c r="D658" s="23">
        <v>0.9400115740740741</v>
      </c>
      <c r="E658" s="23">
        <v>0.96834490740740742</v>
      </c>
      <c r="F658" t="s">
        <v>421</v>
      </c>
      <c r="G658" t="s">
        <v>415</v>
      </c>
      <c r="H658">
        <v>15</v>
      </c>
      <c r="I658" s="24">
        <v>0.10930555555555554</v>
      </c>
      <c r="J658">
        <f t="shared" si="20"/>
        <v>0</v>
      </c>
      <c r="K658">
        <f t="shared" si="21"/>
        <v>0</v>
      </c>
    </row>
    <row r="659" spans="1:11" x14ac:dyDescent="0.25">
      <c r="A659">
        <v>8</v>
      </c>
      <c r="B659" t="s">
        <v>380</v>
      </c>
      <c r="C659" s="4">
        <v>0.85903935185185187</v>
      </c>
      <c r="D659" s="23">
        <v>0.85905092592592591</v>
      </c>
      <c r="E659" s="23">
        <v>0.96834490740740742</v>
      </c>
      <c r="F659" t="s">
        <v>419</v>
      </c>
      <c r="G659" t="s">
        <v>415</v>
      </c>
      <c r="H659">
        <v>15</v>
      </c>
      <c r="I659" s="24">
        <v>0.10930555555555554</v>
      </c>
      <c r="J659">
        <f t="shared" si="20"/>
        <v>0</v>
      </c>
      <c r="K659">
        <f t="shared" si="21"/>
        <v>0</v>
      </c>
    </row>
    <row r="660" spans="1:11" x14ac:dyDescent="0.25">
      <c r="A660">
        <v>9</v>
      </c>
      <c r="B660" t="s">
        <v>181</v>
      </c>
      <c r="C660" s="4">
        <v>0.85903935185185187</v>
      </c>
      <c r="D660" s="23">
        <v>0.85905092592592591</v>
      </c>
      <c r="E660" s="23">
        <v>0.96834490740740742</v>
      </c>
      <c r="F660" t="s">
        <v>422</v>
      </c>
      <c r="G660" t="s">
        <v>415</v>
      </c>
      <c r="H660">
        <v>15</v>
      </c>
      <c r="I660" s="24">
        <v>0.10930555555555554</v>
      </c>
      <c r="J660">
        <f t="shared" si="20"/>
        <v>0</v>
      </c>
      <c r="K660">
        <f t="shared" si="21"/>
        <v>0</v>
      </c>
    </row>
    <row r="661" spans="1:11" x14ac:dyDescent="0.25">
      <c r="A661">
        <v>10</v>
      </c>
      <c r="B661" t="s">
        <v>36</v>
      </c>
      <c r="C661" s="4">
        <v>0.85903935185185187</v>
      </c>
      <c r="D661" s="23">
        <v>0.85905092592592591</v>
      </c>
      <c r="E661" s="23">
        <v>0.96834490740740742</v>
      </c>
      <c r="F661" t="s">
        <v>423</v>
      </c>
      <c r="G661" t="s">
        <v>415</v>
      </c>
      <c r="H661">
        <v>15</v>
      </c>
      <c r="I661" s="24">
        <v>0.10930555555555554</v>
      </c>
      <c r="J661">
        <f t="shared" si="20"/>
        <v>0</v>
      </c>
      <c r="K661">
        <f t="shared" si="21"/>
        <v>0</v>
      </c>
    </row>
    <row r="662" spans="1:11" x14ac:dyDescent="0.25">
      <c r="A662">
        <v>11</v>
      </c>
      <c r="B662" t="s">
        <v>208</v>
      </c>
      <c r="C662" s="4">
        <v>0.85903935185185187</v>
      </c>
      <c r="D662" s="23">
        <v>0.85905092592592591</v>
      </c>
      <c r="E662" s="23">
        <v>0.96834490740740742</v>
      </c>
      <c r="F662" t="s">
        <v>419</v>
      </c>
      <c r="G662" t="s">
        <v>415</v>
      </c>
      <c r="H662">
        <v>15</v>
      </c>
      <c r="I662" s="24">
        <v>0.10930555555555554</v>
      </c>
      <c r="J662">
        <f t="shared" si="20"/>
        <v>0</v>
      </c>
      <c r="K662">
        <f t="shared" si="21"/>
        <v>0</v>
      </c>
    </row>
    <row r="663" spans="1:11" x14ac:dyDescent="0.25">
      <c r="A663">
        <v>12</v>
      </c>
      <c r="B663" t="s">
        <v>222</v>
      </c>
      <c r="C663" s="4">
        <v>0.85903935185185187</v>
      </c>
      <c r="D663" s="23">
        <v>0.9400115740740741</v>
      </c>
      <c r="E663" s="23">
        <v>0.96834490740740742</v>
      </c>
      <c r="F663" t="s">
        <v>424</v>
      </c>
      <c r="G663" t="s">
        <v>415</v>
      </c>
      <c r="H663">
        <v>15</v>
      </c>
      <c r="I663" s="24">
        <v>0.10930555555555554</v>
      </c>
      <c r="J663">
        <f t="shared" si="20"/>
        <v>0</v>
      </c>
      <c r="K663">
        <f t="shared" si="21"/>
        <v>0</v>
      </c>
    </row>
    <row r="664" spans="1:11" x14ac:dyDescent="0.25">
      <c r="A664">
        <v>13</v>
      </c>
      <c r="B664" t="s">
        <v>16</v>
      </c>
      <c r="C664" s="4">
        <v>0.85903935185185187</v>
      </c>
      <c r="D664" s="23">
        <v>0.85905092592592591</v>
      </c>
      <c r="E664" s="23">
        <v>0.96834490740740742</v>
      </c>
      <c r="F664" t="s">
        <v>417</v>
      </c>
      <c r="G664" t="s">
        <v>415</v>
      </c>
      <c r="H664">
        <v>15</v>
      </c>
      <c r="I664" s="24">
        <v>0.10930555555555554</v>
      </c>
      <c r="J664">
        <f t="shared" si="20"/>
        <v>0</v>
      </c>
      <c r="K664">
        <f t="shared" si="21"/>
        <v>0</v>
      </c>
    </row>
    <row r="665" spans="1:11" x14ac:dyDescent="0.25">
      <c r="A665">
        <v>14</v>
      </c>
      <c r="B665" t="s">
        <v>184</v>
      </c>
      <c r="C665" s="4">
        <v>0.85903935185185187</v>
      </c>
      <c r="D665" s="23">
        <v>0.85905092592592591</v>
      </c>
      <c r="E665" s="23">
        <v>0.96834490740740742</v>
      </c>
      <c r="F665" t="s">
        <v>425</v>
      </c>
      <c r="G665" t="s">
        <v>415</v>
      </c>
      <c r="H665">
        <v>15</v>
      </c>
      <c r="I665" s="24">
        <v>0.10930555555555554</v>
      </c>
      <c r="J665">
        <f t="shared" si="20"/>
        <v>0</v>
      </c>
      <c r="K665">
        <f t="shared" si="21"/>
        <v>0</v>
      </c>
    </row>
    <row r="666" spans="1:11" x14ac:dyDescent="0.25">
      <c r="A666">
        <v>15</v>
      </c>
      <c r="B666" t="s">
        <v>186</v>
      </c>
      <c r="C666" s="4">
        <v>0.85903935185185187</v>
      </c>
      <c r="D666" s="23">
        <v>0.85905092592592591</v>
      </c>
      <c r="E666" s="23">
        <v>0.96834490740740742</v>
      </c>
      <c r="F666" t="s">
        <v>426</v>
      </c>
      <c r="G666" t="s">
        <v>415</v>
      </c>
      <c r="H666">
        <v>15</v>
      </c>
      <c r="I666" s="24">
        <v>0.10930555555555554</v>
      </c>
      <c r="J666">
        <f t="shared" si="20"/>
        <v>0</v>
      </c>
      <c r="K666">
        <f t="shared" si="21"/>
        <v>0</v>
      </c>
    </row>
    <row r="667" spans="1:11" x14ac:dyDescent="0.25">
      <c r="A667">
        <v>16</v>
      </c>
      <c r="B667" t="s">
        <v>409</v>
      </c>
      <c r="C667" s="4">
        <v>0.85903935185185187</v>
      </c>
      <c r="D667" s="23">
        <v>0.85905092592592591</v>
      </c>
      <c r="E667" s="23">
        <v>0.96834490740740742</v>
      </c>
      <c r="F667" t="s">
        <v>419</v>
      </c>
      <c r="G667" t="s">
        <v>415</v>
      </c>
      <c r="H667">
        <v>15</v>
      </c>
      <c r="I667" s="24">
        <v>0.10930555555555554</v>
      </c>
      <c r="J667">
        <f t="shared" si="20"/>
        <v>0</v>
      </c>
      <c r="K667">
        <f t="shared" si="21"/>
        <v>0</v>
      </c>
    </row>
    <row r="668" spans="1:11" x14ac:dyDescent="0.25">
      <c r="A668">
        <v>17</v>
      </c>
      <c r="B668" t="s">
        <v>114</v>
      </c>
      <c r="C668" s="4">
        <v>0.85903935185185187</v>
      </c>
      <c r="D668" s="23">
        <v>0.85905092592592591</v>
      </c>
      <c r="E668" s="23">
        <v>0.96834490740740742</v>
      </c>
      <c r="F668" t="s">
        <v>419</v>
      </c>
      <c r="G668" t="s">
        <v>415</v>
      </c>
      <c r="H668">
        <v>15</v>
      </c>
      <c r="I668" s="24">
        <v>0.10930555555555554</v>
      </c>
      <c r="J668">
        <f t="shared" si="20"/>
        <v>0</v>
      </c>
      <c r="K668">
        <f t="shared" si="21"/>
        <v>0</v>
      </c>
    </row>
    <row r="669" spans="1:11" x14ac:dyDescent="0.25">
      <c r="A669">
        <v>18</v>
      </c>
      <c r="B669" t="s">
        <v>335</v>
      </c>
      <c r="C669" s="4">
        <v>0.85903935185185187</v>
      </c>
      <c r="D669" s="23">
        <v>0.85905092592592591</v>
      </c>
      <c r="E669" s="23">
        <v>0.96834490740740742</v>
      </c>
      <c r="F669" t="s">
        <v>419</v>
      </c>
      <c r="G669" t="s">
        <v>415</v>
      </c>
      <c r="H669">
        <v>15</v>
      </c>
      <c r="I669" s="24">
        <v>0.10930555555555554</v>
      </c>
      <c r="J669">
        <f t="shared" si="20"/>
        <v>0</v>
      </c>
      <c r="K669">
        <f t="shared" si="21"/>
        <v>0</v>
      </c>
    </row>
    <row r="670" spans="1:11" x14ac:dyDescent="0.25">
      <c r="A670">
        <v>19</v>
      </c>
      <c r="B670" t="s">
        <v>41</v>
      </c>
      <c r="C670" s="4">
        <v>0.85903935185185187</v>
      </c>
      <c r="D670" s="23">
        <v>0.9400115740740741</v>
      </c>
      <c r="E670" s="23">
        <v>0.96834490740740742</v>
      </c>
      <c r="F670" t="s">
        <v>427</v>
      </c>
      <c r="G670" t="s">
        <v>415</v>
      </c>
      <c r="H670">
        <v>15</v>
      </c>
      <c r="I670" s="24">
        <v>0.10930555555555554</v>
      </c>
      <c r="J670">
        <f t="shared" si="20"/>
        <v>0</v>
      </c>
      <c r="K670">
        <f t="shared" si="21"/>
        <v>0</v>
      </c>
    </row>
    <row r="671" spans="1:11" x14ac:dyDescent="0.25">
      <c r="A671">
        <v>20</v>
      </c>
      <c r="B671" t="s">
        <v>267</v>
      </c>
      <c r="C671" s="4">
        <v>0.85903935185185187</v>
      </c>
      <c r="D671" s="23">
        <v>0.9400115740740741</v>
      </c>
      <c r="E671" s="23">
        <v>0.96834490740740742</v>
      </c>
      <c r="F671" t="s">
        <v>427</v>
      </c>
      <c r="G671" t="s">
        <v>415</v>
      </c>
      <c r="H671">
        <v>15</v>
      </c>
      <c r="I671" s="24">
        <v>0.10930555555555554</v>
      </c>
      <c r="J671">
        <f t="shared" si="20"/>
        <v>0</v>
      </c>
      <c r="K671">
        <f t="shared" si="21"/>
        <v>0</v>
      </c>
    </row>
    <row r="672" spans="1:11" x14ac:dyDescent="0.25">
      <c r="A672">
        <v>21</v>
      </c>
      <c r="B672" t="s">
        <v>118</v>
      </c>
      <c r="C672" s="4">
        <v>0.85903935185185187</v>
      </c>
      <c r="D672" s="23">
        <v>0.85905092592592591</v>
      </c>
      <c r="E672" s="23">
        <v>0.96834490740740742</v>
      </c>
      <c r="F672" t="s">
        <v>419</v>
      </c>
      <c r="G672" t="s">
        <v>415</v>
      </c>
      <c r="H672">
        <v>15</v>
      </c>
      <c r="I672" s="24">
        <v>0.10930555555555554</v>
      </c>
      <c r="J672">
        <f t="shared" si="20"/>
        <v>0</v>
      </c>
      <c r="K672">
        <f t="shared" si="21"/>
        <v>0</v>
      </c>
    </row>
    <row r="673" spans="1:11" x14ac:dyDescent="0.25">
      <c r="A673">
        <v>22</v>
      </c>
      <c r="B673" t="s">
        <v>383</v>
      </c>
      <c r="C673" s="4">
        <v>0.85903935185185187</v>
      </c>
      <c r="D673" s="23">
        <v>0.85905092592592591</v>
      </c>
      <c r="E673" s="23">
        <v>0.96834490740740742</v>
      </c>
      <c r="F673" t="s">
        <v>428</v>
      </c>
      <c r="G673" t="s">
        <v>415</v>
      </c>
      <c r="H673">
        <v>15</v>
      </c>
      <c r="I673" s="24">
        <v>0.10930555555555554</v>
      </c>
      <c r="J673">
        <f t="shared" si="20"/>
        <v>0</v>
      </c>
      <c r="K673">
        <f t="shared" si="21"/>
        <v>0</v>
      </c>
    </row>
    <row r="674" spans="1:11" x14ac:dyDescent="0.25">
      <c r="A674">
        <v>23</v>
      </c>
      <c r="B674" t="s">
        <v>60</v>
      </c>
      <c r="C674" s="4">
        <v>0.85903935185185187</v>
      </c>
      <c r="D674" s="23">
        <v>0.85905092592592591</v>
      </c>
      <c r="E674" s="23">
        <v>0.96834490740740742</v>
      </c>
      <c r="F674" t="s">
        <v>429</v>
      </c>
      <c r="G674" t="s">
        <v>415</v>
      </c>
      <c r="H674">
        <v>15</v>
      </c>
      <c r="I674" s="24">
        <v>0.10930555555555554</v>
      </c>
      <c r="J674">
        <f t="shared" si="20"/>
        <v>0</v>
      </c>
      <c r="K674">
        <f t="shared" si="21"/>
        <v>0</v>
      </c>
    </row>
    <row r="675" spans="1:11" x14ac:dyDescent="0.25">
      <c r="A675">
        <v>24</v>
      </c>
      <c r="B675" t="s">
        <v>20</v>
      </c>
      <c r="C675" s="4">
        <v>0.85903935185185187</v>
      </c>
      <c r="D675" s="23">
        <v>0.85905092592592591</v>
      </c>
      <c r="E675" s="23">
        <v>0.96834490740740742</v>
      </c>
      <c r="F675" t="s">
        <v>417</v>
      </c>
      <c r="G675" t="s">
        <v>415</v>
      </c>
      <c r="H675">
        <v>15</v>
      </c>
      <c r="I675" s="24">
        <v>0.10930555555555554</v>
      </c>
      <c r="J675">
        <f t="shared" si="20"/>
        <v>0</v>
      </c>
      <c r="K675">
        <f t="shared" si="21"/>
        <v>0</v>
      </c>
    </row>
    <row r="676" spans="1:11" x14ac:dyDescent="0.25">
      <c r="A676">
        <v>25</v>
      </c>
      <c r="B676" t="s">
        <v>43</v>
      </c>
      <c r="C676" s="4">
        <v>0.85903935185185187</v>
      </c>
      <c r="D676" s="23">
        <v>0.85905092592592591</v>
      </c>
      <c r="E676" s="23">
        <v>0.96834490740740742</v>
      </c>
      <c r="F676" t="s">
        <v>419</v>
      </c>
      <c r="G676" t="s">
        <v>415</v>
      </c>
      <c r="H676">
        <v>15</v>
      </c>
      <c r="I676" s="24">
        <v>0.10930555555555554</v>
      </c>
      <c r="J676">
        <f t="shared" si="20"/>
        <v>0</v>
      </c>
      <c r="K676">
        <f t="shared" si="21"/>
        <v>0</v>
      </c>
    </row>
    <row r="677" spans="1:11" x14ac:dyDescent="0.25">
      <c r="A677">
        <v>26</v>
      </c>
      <c r="B677" t="s">
        <v>44</v>
      </c>
      <c r="C677" s="4">
        <v>0.85903935185185187</v>
      </c>
      <c r="D677" s="23">
        <v>0.9400115740740741</v>
      </c>
      <c r="E677" s="23">
        <v>0.96834490740740742</v>
      </c>
      <c r="F677" t="s">
        <v>430</v>
      </c>
      <c r="G677" t="s">
        <v>415</v>
      </c>
      <c r="H677">
        <v>15</v>
      </c>
      <c r="I677" s="24">
        <v>0.10930555555555554</v>
      </c>
      <c r="J677">
        <f t="shared" si="20"/>
        <v>0</v>
      </c>
      <c r="K677">
        <f t="shared" si="21"/>
        <v>0</v>
      </c>
    </row>
    <row r="678" spans="1:11" x14ac:dyDescent="0.25">
      <c r="A678">
        <v>27</v>
      </c>
      <c r="B678" t="s">
        <v>99</v>
      </c>
      <c r="C678" s="4">
        <v>0.85903935185185187</v>
      </c>
      <c r="D678" s="23">
        <v>0.85905092592592591</v>
      </c>
      <c r="E678" s="23">
        <v>0.96834490740740742</v>
      </c>
      <c r="F678" t="s">
        <v>429</v>
      </c>
      <c r="G678" t="s">
        <v>415</v>
      </c>
      <c r="H678">
        <v>15</v>
      </c>
      <c r="I678" s="24">
        <v>0.10930555555555554</v>
      </c>
      <c r="J678">
        <f t="shared" si="20"/>
        <v>0</v>
      </c>
      <c r="K678">
        <f t="shared" si="21"/>
        <v>0</v>
      </c>
    </row>
    <row r="679" spans="1:11" x14ac:dyDescent="0.25">
      <c r="A679">
        <v>28</v>
      </c>
      <c r="B679" t="s">
        <v>238</v>
      </c>
      <c r="C679" s="4">
        <v>0.85903935185185187</v>
      </c>
      <c r="D679" s="23">
        <v>0.85905092592592591</v>
      </c>
      <c r="E679" s="23">
        <v>0.96834490740740742</v>
      </c>
      <c r="F679" t="s">
        <v>419</v>
      </c>
      <c r="G679" t="s">
        <v>415</v>
      </c>
      <c r="H679">
        <v>15</v>
      </c>
      <c r="I679" s="24">
        <v>0.10930555555555554</v>
      </c>
      <c r="J679">
        <f t="shared" si="20"/>
        <v>0</v>
      </c>
      <c r="K679">
        <f t="shared" si="21"/>
        <v>0</v>
      </c>
    </row>
    <row r="680" spans="1:11" x14ac:dyDescent="0.25">
      <c r="A680">
        <v>29</v>
      </c>
      <c r="B680" t="s">
        <v>22</v>
      </c>
      <c r="C680" s="4">
        <v>0.85903935185185187</v>
      </c>
      <c r="D680" s="23">
        <v>0.9400115740740741</v>
      </c>
      <c r="E680" s="23">
        <v>0.96834490740740742</v>
      </c>
      <c r="F680" t="s">
        <v>427</v>
      </c>
      <c r="G680" t="s">
        <v>415</v>
      </c>
      <c r="H680">
        <v>15</v>
      </c>
      <c r="I680" s="24">
        <v>0.10930555555555554</v>
      </c>
      <c r="J680">
        <f t="shared" si="20"/>
        <v>0</v>
      </c>
      <c r="K680">
        <f t="shared" si="21"/>
        <v>0</v>
      </c>
    </row>
    <row r="681" spans="1:11" x14ac:dyDescent="0.25">
      <c r="A681">
        <v>30</v>
      </c>
      <c r="B681" t="s">
        <v>46</v>
      </c>
      <c r="C681" s="4">
        <v>0.85903935185185187</v>
      </c>
      <c r="D681" s="23">
        <v>0.9400115740740741</v>
      </c>
      <c r="E681" s="23">
        <v>0.96834490740740742</v>
      </c>
      <c r="F681" t="s">
        <v>427</v>
      </c>
      <c r="G681" t="s">
        <v>415</v>
      </c>
      <c r="H681">
        <v>15</v>
      </c>
      <c r="I681" s="24">
        <v>0.10930555555555554</v>
      </c>
      <c r="J681">
        <f t="shared" si="20"/>
        <v>0</v>
      </c>
      <c r="K681">
        <f t="shared" si="21"/>
        <v>0</v>
      </c>
    </row>
    <row r="682" spans="1:11" x14ac:dyDescent="0.25">
      <c r="A682">
        <v>31</v>
      </c>
      <c r="B682" t="s">
        <v>100</v>
      </c>
      <c r="C682" s="4">
        <v>0.85903935185185187</v>
      </c>
      <c r="D682" s="23">
        <v>0.85905092592592591</v>
      </c>
      <c r="E682" s="23">
        <v>0.96834490740740742</v>
      </c>
      <c r="F682" t="s">
        <v>431</v>
      </c>
      <c r="G682" t="s">
        <v>415</v>
      </c>
      <c r="H682">
        <v>15</v>
      </c>
      <c r="I682" s="24">
        <v>0.10930555555555554</v>
      </c>
      <c r="J682">
        <f t="shared" si="20"/>
        <v>0</v>
      </c>
      <c r="K682">
        <f t="shared" si="21"/>
        <v>0</v>
      </c>
    </row>
    <row r="683" spans="1:11" x14ac:dyDescent="0.25">
      <c r="A683">
        <v>32</v>
      </c>
      <c r="B683" t="s">
        <v>23</v>
      </c>
      <c r="C683" s="4">
        <v>0.85903935185185187</v>
      </c>
      <c r="D683" s="23">
        <v>0.85905092592592591</v>
      </c>
      <c r="E683" s="23">
        <v>0.96834490740740742</v>
      </c>
      <c r="F683" t="s">
        <v>432</v>
      </c>
      <c r="G683" t="s">
        <v>415</v>
      </c>
      <c r="H683">
        <v>15</v>
      </c>
      <c r="I683" s="24">
        <v>0.10930555555555554</v>
      </c>
      <c r="J683">
        <f t="shared" si="20"/>
        <v>0</v>
      </c>
      <c r="K683">
        <f t="shared" si="21"/>
        <v>0</v>
      </c>
    </row>
    <row r="684" spans="1:11" x14ac:dyDescent="0.25">
      <c r="A684">
        <v>33</v>
      </c>
      <c r="B684" t="s">
        <v>25</v>
      </c>
      <c r="C684" s="4">
        <v>0.85903935185185187</v>
      </c>
      <c r="D684" s="23">
        <v>0.85905092592592591</v>
      </c>
      <c r="E684" s="23">
        <v>0.96834490740740742</v>
      </c>
      <c r="F684" t="s">
        <v>417</v>
      </c>
      <c r="G684" t="s">
        <v>415</v>
      </c>
      <c r="H684">
        <v>15</v>
      </c>
      <c r="I684" s="24">
        <v>0.10930555555555554</v>
      </c>
      <c r="J684">
        <f t="shared" si="20"/>
        <v>0</v>
      </c>
      <c r="K684">
        <f t="shared" si="21"/>
        <v>0</v>
      </c>
    </row>
    <row r="685" spans="1:11" x14ac:dyDescent="0.25">
      <c r="A685">
        <v>34</v>
      </c>
      <c r="B685" t="s">
        <v>193</v>
      </c>
      <c r="C685" s="4">
        <v>0.85903935185185187</v>
      </c>
      <c r="D685" s="23">
        <v>0.9400115740740741</v>
      </c>
      <c r="E685" s="23">
        <v>0.96834490740740742</v>
      </c>
      <c r="F685" t="s">
        <v>433</v>
      </c>
      <c r="G685" t="s">
        <v>415</v>
      </c>
      <c r="H685">
        <v>15</v>
      </c>
      <c r="I685" s="24">
        <v>0.10930555555555554</v>
      </c>
      <c r="J685">
        <f t="shared" si="20"/>
        <v>0</v>
      </c>
      <c r="K685">
        <f t="shared" si="21"/>
        <v>0</v>
      </c>
    </row>
    <row r="686" spans="1:11" x14ac:dyDescent="0.25">
      <c r="A686">
        <v>35</v>
      </c>
      <c r="B686" t="s">
        <v>213</v>
      </c>
      <c r="C686" s="4">
        <v>0.85903935185185187</v>
      </c>
      <c r="D686" s="23">
        <v>0.85905092592592591</v>
      </c>
      <c r="E686" s="23">
        <v>0.96834490740740742</v>
      </c>
      <c r="F686" t="s">
        <v>434</v>
      </c>
      <c r="G686" t="s">
        <v>415</v>
      </c>
      <c r="H686">
        <v>15</v>
      </c>
      <c r="I686" s="24">
        <v>0.10930555555555554</v>
      </c>
      <c r="J686">
        <f t="shared" si="20"/>
        <v>0</v>
      </c>
      <c r="K686">
        <f t="shared" si="21"/>
        <v>0</v>
      </c>
    </row>
    <row r="687" spans="1:11" x14ac:dyDescent="0.25">
      <c r="A687">
        <v>36</v>
      </c>
      <c r="B687" t="s">
        <v>50</v>
      </c>
      <c r="C687" s="4">
        <v>0.85903935185185187</v>
      </c>
      <c r="D687" s="23">
        <v>0.85905092592592591</v>
      </c>
      <c r="E687" s="23">
        <v>0.96834490740740742</v>
      </c>
      <c r="F687" t="s">
        <v>435</v>
      </c>
      <c r="G687" t="s">
        <v>415</v>
      </c>
      <c r="H687">
        <v>15</v>
      </c>
      <c r="I687" s="24">
        <v>0.10930555555555554</v>
      </c>
      <c r="J687">
        <f t="shared" si="20"/>
        <v>0</v>
      </c>
      <c r="K687">
        <f t="shared" si="21"/>
        <v>0</v>
      </c>
    </row>
    <row r="688" spans="1:11" x14ac:dyDescent="0.25">
      <c r="A688">
        <v>37</v>
      </c>
      <c r="B688" t="s">
        <v>62</v>
      </c>
      <c r="C688" s="4">
        <v>0.85903935185185187</v>
      </c>
      <c r="D688" s="23">
        <v>0.85905092592592591</v>
      </c>
      <c r="E688" s="23">
        <v>0.96834490740740742</v>
      </c>
      <c r="F688" t="s">
        <v>436</v>
      </c>
      <c r="G688" t="s">
        <v>415</v>
      </c>
      <c r="H688">
        <v>15</v>
      </c>
      <c r="I688" s="24">
        <v>0.10930555555555554</v>
      </c>
      <c r="J688">
        <f t="shared" si="20"/>
        <v>0</v>
      </c>
      <c r="K688">
        <f t="shared" si="21"/>
        <v>0</v>
      </c>
    </row>
    <row r="689" spans="1:11" x14ac:dyDescent="0.25">
      <c r="A689">
        <v>38</v>
      </c>
      <c r="B689" t="s">
        <v>51</v>
      </c>
      <c r="C689" s="4">
        <v>0.85903935185185187</v>
      </c>
      <c r="D689" s="23">
        <v>0.9400115740740741</v>
      </c>
      <c r="E689" s="23">
        <v>0.96834490740740742</v>
      </c>
      <c r="F689" t="s">
        <v>437</v>
      </c>
      <c r="G689" t="s">
        <v>415</v>
      </c>
      <c r="H689">
        <v>15</v>
      </c>
      <c r="I689" s="24">
        <v>0.10930555555555554</v>
      </c>
      <c r="J689">
        <f t="shared" si="20"/>
        <v>0</v>
      </c>
      <c r="K689">
        <f t="shared" si="21"/>
        <v>0</v>
      </c>
    </row>
    <row r="690" spans="1:11" x14ac:dyDescent="0.25">
      <c r="A690">
        <v>39</v>
      </c>
      <c r="B690" t="s">
        <v>83</v>
      </c>
      <c r="C690" s="4">
        <v>0.85903935185185187</v>
      </c>
      <c r="D690" s="23">
        <v>0.85905092592592591</v>
      </c>
      <c r="E690" s="23">
        <v>0.96834490740740742</v>
      </c>
      <c r="F690" t="s">
        <v>438</v>
      </c>
      <c r="G690" t="s">
        <v>415</v>
      </c>
      <c r="H690">
        <v>15</v>
      </c>
      <c r="I690" s="24">
        <v>0.10930555555555554</v>
      </c>
      <c r="J690">
        <f t="shared" ref="J690:J751" si="22">IF(AND(H690&gt;=1,H690&lt;=7),1,0)</f>
        <v>0</v>
      </c>
      <c r="K690">
        <f t="shared" ref="K690:K751" si="23">IF(AND(H690&gt;=30,H690&lt;=36),1,0)</f>
        <v>0</v>
      </c>
    </row>
    <row r="691" spans="1:11" x14ac:dyDescent="0.25">
      <c r="A691">
        <v>40</v>
      </c>
      <c r="B691" t="s">
        <v>101</v>
      </c>
      <c r="C691" s="4">
        <v>0.85903935185185187</v>
      </c>
      <c r="D691" s="23">
        <v>0.85905092592592591</v>
      </c>
      <c r="E691" s="23">
        <v>0.96834490740740742</v>
      </c>
      <c r="F691" t="s">
        <v>419</v>
      </c>
      <c r="G691" t="s">
        <v>415</v>
      </c>
      <c r="H691">
        <v>15</v>
      </c>
      <c r="I691" s="24">
        <v>0.10930555555555554</v>
      </c>
      <c r="J691">
        <f t="shared" si="22"/>
        <v>0</v>
      </c>
      <c r="K691">
        <f t="shared" si="23"/>
        <v>0</v>
      </c>
    </row>
    <row r="692" spans="1:11" x14ac:dyDescent="0.25">
      <c r="A692">
        <v>41</v>
      </c>
      <c r="B692" t="s">
        <v>53</v>
      </c>
      <c r="C692" s="4">
        <v>0.85903935185185187</v>
      </c>
      <c r="D692" s="23">
        <v>0.9400115740740741</v>
      </c>
      <c r="E692" s="23">
        <v>0.96834490740740742</v>
      </c>
      <c r="F692" t="s">
        <v>439</v>
      </c>
      <c r="G692" t="s">
        <v>415</v>
      </c>
      <c r="H692">
        <v>15</v>
      </c>
      <c r="I692" s="24">
        <v>0.10930555555555554</v>
      </c>
      <c r="J692">
        <f t="shared" si="22"/>
        <v>0</v>
      </c>
      <c r="K692">
        <f t="shared" si="23"/>
        <v>0</v>
      </c>
    </row>
    <row r="693" spans="1:11" x14ac:dyDescent="0.25">
      <c r="A693">
        <v>42</v>
      </c>
      <c r="B693" t="s">
        <v>262</v>
      </c>
      <c r="C693" s="4">
        <v>0.85903935185185187</v>
      </c>
      <c r="D693" s="23">
        <v>0.85905092592592591</v>
      </c>
      <c r="E693" s="23">
        <v>0.96834490740740742</v>
      </c>
      <c r="F693" t="s">
        <v>440</v>
      </c>
      <c r="G693" t="s">
        <v>415</v>
      </c>
      <c r="H693">
        <v>15</v>
      </c>
      <c r="I693" s="24">
        <v>0.10930555555555554</v>
      </c>
      <c r="J693">
        <f t="shared" si="22"/>
        <v>0</v>
      </c>
      <c r="K693">
        <f t="shared" si="23"/>
        <v>0</v>
      </c>
    </row>
    <row r="694" spans="1:11" x14ac:dyDescent="0.25">
      <c r="A694">
        <v>43</v>
      </c>
      <c r="B694" t="s">
        <v>89</v>
      </c>
      <c r="C694" s="4">
        <v>0.85903935185185187</v>
      </c>
      <c r="D694" s="23">
        <v>0.85905092592592591</v>
      </c>
      <c r="E694" s="23">
        <v>0.96834490740740742</v>
      </c>
      <c r="F694" t="s">
        <v>417</v>
      </c>
      <c r="G694" t="s">
        <v>415</v>
      </c>
      <c r="H694">
        <v>15</v>
      </c>
      <c r="I694" s="24">
        <v>0.10930555555555554</v>
      </c>
      <c r="J694">
        <f t="shared" si="22"/>
        <v>0</v>
      </c>
      <c r="K694">
        <f t="shared" si="23"/>
        <v>0</v>
      </c>
    </row>
    <row r="695" spans="1:11" x14ac:dyDescent="0.25">
      <c r="A695">
        <v>44</v>
      </c>
      <c r="B695" t="s">
        <v>138</v>
      </c>
      <c r="C695" s="4">
        <v>0.85903935185185187</v>
      </c>
      <c r="D695" s="23">
        <v>0.85905092592592591</v>
      </c>
      <c r="E695" s="23">
        <v>0.96834490740740742</v>
      </c>
      <c r="F695" t="s">
        <v>419</v>
      </c>
      <c r="G695" t="s">
        <v>415</v>
      </c>
      <c r="H695">
        <v>15</v>
      </c>
      <c r="I695" s="24">
        <v>0.10930555555555554</v>
      </c>
      <c r="J695">
        <f t="shared" si="22"/>
        <v>0</v>
      </c>
      <c r="K695">
        <f t="shared" si="23"/>
        <v>0</v>
      </c>
    </row>
    <row r="696" spans="1:11" x14ac:dyDescent="0.25">
      <c r="A696">
        <v>45</v>
      </c>
      <c r="B696" t="s">
        <v>348</v>
      </c>
      <c r="C696" s="4">
        <v>0.85903935185185187</v>
      </c>
      <c r="D696" s="23">
        <v>0.85905092592592591</v>
      </c>
      <c r="E696" s="23">
        <v>0.96834490740740742</v>
      </c>
      <c r="F696" t="s">
        <v>419</v>
      </c>
      <c r="G696" t="s">
        <v>415</v>
      </c>
      <c r="H696">
        <v>15</v>
      </c>
      <c r="I696" s="24">
        <v>0.10930555555555554</v>
      </c>
      <c r="J696">
        <f t="shared" si="22"/>
        <v>0</v>
      </c>
      <c r="K696">
        <f t="shared" si="23"/>
        <v>0</v>
      </c>
    </row>
    <row r="697" spans="1:11" x14ac:dyDescent="0.25">
      <c r="A697">
        <v>46</v>
      </c>
      <c r="B697" t="s">
        <v>321</v>
      </c>
      <c r="C697" s="4">
        <v>0.85903935185185187</v>
      </c>
      <c r="D697" s="23">
        <v>0.9400115740740741</v>
      </c>
      <c r="E697" s="23">
        <v>0.96834490740740742</v>
      </c>
      <c r="F697" t="s">
        <v>441</v>
      </c>
      <c r="G697" t="s">
        <v>415</v>
      </c>
      <c r="H697">
        <v>15</v>
      </c>
      <c r="I697" s="24">
        <v>0.10930555555555554</v>
      </c>
      <c r="J697">
        <f t="shared" si="22"/>
        <v>0</v>
      </c>
      <c r="K697">
        <f t="shared" si="23"/>
        <v>0</v>
      </c>
    </row>
    <row r="698" spans="1:11" x14ac:dyDescent="0.25">
      <c r="A698">
        <v>47</v>
      </c>
      <c r="B698" t="s">
        <v>27</v>
      </c>
      <c r="C698" s="4">
        <v>0.85903935185185187</v>
      </c>
      <c r="D698" s="23">
        <v>0.85905092592592591</v>
      </c>
      <c r="E698" s="23">
        <v>0.96834490740740742</v>
      </c>
      <c r="F698" t="s">
        <v>419</v>
      </c>
      <c r="G698" t="s">
        <v>415</v>
      </c>
      <c r="H698">
        <v>15</v>
      </c>
      <c r="I698" s="24">
        <v>0.10930555555555554</v>
      </c>
      <c r="J698">
        <f t="shared" si="22"/>
        <v>0</v>
      </c>
      <c r="K698">
        <f t="shared" si="23"/>
        <v>0</v>
      </c>
    </row>
    <row r="699" spans="1:11" x14ac:dyDescent="0.25">
      <c r="A699">
        <v>48</v>
      </c>
      <c r="B699" t="s">
        <v>55</v>
      </c>
      <c r="C699" s="4">
        <v>0.85903935185185187</v>
      </c>
      <c r="D699" s="23">
        <v>0.85905092592592591</v>
      </c>
      <c r="E699" s="23">
        <v>0.96834490740740742</v>
      </c>
      <c r="F699" t="s">
        <v>33</v>
      </c>
      <c r="G699" t="s">
        <v>415</v>
      </c>
      <c r="H699">
        <v>15</v>
      </c>
      <c r="I699" s="24">
        <v>0.10930555555555554</v>
      </c>
      <c r="J699">
        <f t="shared" si="22"/>
        <v>0</v>
      </c>
      <c r="K699">
        <f t="shared" si="23"/>
        <v>0</v>
      </c>
    </row>
    <row r="700" spans="1:11" x14ac:dyDescent="0.25">
      <c r="A700">
        <v>1</v>
      </c>
      <c r="B700" t="s">
        <v>29</v>
      </c>
      <c r="C700" s="4">
        <v>0.85840277777777774</v>
      </c>
      <c r="D700" s="23">
        <v>0.92268518518518516</v>
      </c>
      <c r="E700" s="23">
        <v>0.95218749999999996</v>
      </c>
      <c r="F700" t="s">
        <v>442</v>
      </c>
      <c r="G700" t="s">
        <v>443</v>
      </c>
      <c r="H700">
        <v>14</v>
      </c>
      <c r="I700" s="24">
        <v>9.3784722222222117E-2</v>
      </c>
      <c r="J700">
        <f t="shared" si="22"/>
        <v>0</v>
      </c>
      <c r="K700">
        <f t="shared" si="23"/>
        <v>0</v>
      </c>
    </row>
    <row r="701" spans="1:11" x14ac:dyDescent="0.25">
      <c r="A701">
        <v>2</v>
      </c>
      <c r="B701" t="s">
        <v>5</v>
      </c>
      <c r="C701" s="4">
        <v>0.85840277777777774</v>
      </c>
      <c r="D701" s="23">
        <v>0.85841435185185189</v>
      </c>
      <c r="E701" s="23">
        <v>0.95218749999999996</v>
      </c>
      <c r="F701" t="s">
        <v>445</v>
      </c>
      <c r="G701" t="s">
        <v>443</v>
      </c>
      <c r="H701">
        <v>14</v>
      </c>
      <c r="I701" s="24">
        <v>9.3784722222222117E-2</v>
      </c>
      <c r="J701">
        <f t="shared" si="22"/>
        <v>0</v>
      </c>
      <c r="K701">
        <f t="shared" si="23"/>
        <v>0</v>
      </c>
    </row>
    <row r="702" spans="1:11" x14ac:dyDescent="0.25">
      <c r="A702">
        <v>3</v>
      </c>
      <c r="B702" t="s">
        <v>9</v>
      </c>
      <c r="C702" s="4">
        <v>0.85840277777777774</v>
      </c>
      <c r="D702" s="23">
        <v>0.85841435185185189</v>
      </c>
      <c r="E702" s="23">
        <v>0.95218749999999996</v>
      </c>
      <c r="F702" t="s">
        <v>446</v>
      </c>
      <c r="G702" t="s">
        <v>443</v>
      </c>
      <c r="H702">
        <v>14</v>
      </c>
      <c r="I702" s="24">
        <v>9.3784722222222117E-2</v>
      </c>
      <c r="J702">
        <f t="shared" si="22"/>
        <v>0</v>
      </c>
      <c r="K702">
        <f t="shared" si="23"/>
        <v>0</v>
      </c>
    </row>
    <row r="703" spans="1:11" x14ac:dyDescent="0.25">
      <c r="A703">
        <v>4</v>
      </c>
      <c r="B703" t="s">
        <v>11</v>
      </c>
      <c r="C703" s="4">
        <v>0.85840277777777774</v>
      </c>
      <c r="D703" s="23">
        <v>0.85841435185185189</v>
      </c>
      <c r="E703" s="23">
        <v>0.95218749999999996</v>
      </c>
      <c r="F703" t="s">
        <v>447</v>
      </c>
      <c r="G703" t="s">
        <v>443</v>
      </c>
      <c r="H703">
        <v>14</v>
      </c>
      <c r="I703" s="24">
        <v>9.3784722222222117E-2</v>
      </c>
      <c r="J703">
        <f t="shared" si="22"/>
        <v>0</v>
      </c>
      <c r="K703">
        <f t="shared" si="23"/>
        <v>0</v>
      </c>
    </row>
    <row r="704" spans="1:11" x14ac:dyDescent="0.25">
      <c r="A704">
        <v>5</v>
      </c>
      <c r="B704" t="s">
        <v>35</v>
      </c>
      <c r="C704" s="4">
        <v>0.85840277777777774</v>
      </c>
      <c r="D704" s="23">
        <v>0.85841435185185189</v>
      </c>
      <c r="E704" s="23">
        <v>0.95218749999999996</v>
      </c>
      <c r="F704" t="s">
        <v>448</v>
      </c>
      <c r="G704" t="s">
        <v>443</v>
      </c>
      <c r="H704">
        <v>14</v>
      </c>
      <c r="I704" s="24">
        <v>9.3784722222222117E-2</v>
      </c>
      <c r="J704">
        <f t="shared" si="22"/>
        <v>0</v>
      </c>
      <c r="K704">
        <f t="shared" si="23"/>
        <v>0</v>
      </c>
    </row>
    <row r="705" spans="1:11" x14ac:dyDescent="0.25">
      <c r="A705">
        <v>6</v>
      </c>
      <c r="B705" t="s">
        <v>70</v>
      </c>
      <c r="C705" s="4">
        <v>0.85840277777777774</v>
      </c>
      <c r="D705" s="23">
        <v>0.85841435185185189</v>
      </c>
      <c r="E705" s="23">
        <v>0.95218749999999996</v>
      </c>
      <c r="F705" t="s">
        <v>446</v>
      </c>
      <c r="G705" t="s">
        <v>443</v>
      </c>
      <c r="H705">
        <v>14</v>
      </c>
      <c r="I705" s="24">
        <v>9.3784722222222117E-2</v>
      </c>
      <c r="J705">
        <f t="shared" si="22"/>
        <v>0</v>
      </c>
      <c r="K705">
        <f t="shared" si="23"/>
        <v>0</v>
      </c>
    </row>
    <row r="706" spans="1:11" x14ac:dyDescent="0.25">
      <c r="A706">
        <v>7</v>
      </c>
      <c r="B706" t="s">
        <v>59</v>
      </c>
      <c r="C706" s="4">
        <v>0.85840277777777774</v>
      </c>
      <c r="D706" s="23">
        <v>0.85841435185185189</v>
      </c>
      <c r="E706" s="23">
        <v>0.95218749999999996</v>
      </c>
      <c r="F706" t="s">
        <v>449</v>
      </c>
      <c r="G706" t="s">
        <v>443</v>
      </c>
      <c r="H706">
        <v>14</v>
      </c>
      <c r="I706" s="24">
        <v>9.3784722222222117E-2</v>
      </c>
      <c r="J706">
        <f t="shared" si="22"/>
        <v>0</v>
      </c>
      <c r="K706">
        <f t="shared" si="23"/>
        <v>0</v>
      </c>
    </row>
    <row r="707" spans="1:11" x14ac:dyDescent="0.25">
      <c r="A707">
        <v>8</v>
      </c>
      <c r="B707" t="s">
        <v>97</v>
      </c>
      <c r="C707" s="4">
        <v>0.85840277777777774</v>
      </c>
      <c r="D707" s="23">
        <v>0.92268518518518516</v>
      </c>
      <c r="E707" s="23">
        <v>0.95218749999999996</v>
      </c>
      <c r="F707" t="s">
        <v>450</v>
      </c>
      <c r="G707" t="s">
        <v>443</v>
      </c>
      <c r="H707">
        <v>14</v>
      </c>
      <c r="I707" s="24">
        <v>9.3784722222222117E-2</v>
      </c>
      <c r="J707">
        <f t="shared" si="22"/>
        <v>0</v>
      </c>
      <c r="K707">
        <f t="shared" si="23"/>
        <v>0</v>
      </c>
    </row>
    <row r="708" spans="1:11" x14ac:dyDescent="0.25">
      <c r="A708">
        <v>9</v>
      </c>
      <c r="B708" t="s">
        <v>407</v>
      </c>
      <c r="C708" s="4">
        <v>0.85840277777777774</v>
      </c>
      <c r="D708" s="23">
        <v>0.85841435185185189</v>
      </c>
      <c r="E708" s="23">
        <v>0.95218749999999996</v>
      </c>
      <c r="F708" t="s">
        <v>451</v>
      </c>
      <c r="G708" t="s">
        <v>443</v>
      </c>
      <c r="H708">
        <v>14</v>
      </c>
      <c r="I708" s="24">
        <v>9.3784722222222117E-2</v>
      </c>
      <c r="J708">
        <f t="shared" si="22"/>
        <v>0</v>
      </c>
      <c r="K708">
        <f t="shared" si="23"/>
        <v>0</v>
      </c>
    </row>
    <row r="709" spans="1:11" x14ac:dyDescent="0.25">
      <c r="A709">
        <v>11</v>
      </c>
      <c r="B709" t="s">
        <v>36</v>
      </c>
      <c r="C709" s="4">
        <v>0.85840277777777774</v>
      </c>
      <c r="D709" s="23">
        <v>0.85841435185185189</v>
      </c>
      <c r="E709" s="23">
        <v>0.95218749999999996</v>
      </c>
      <c r="F709" t="s">
        <v>452</v>
      </c>
      <c r="G709" t="s">
        <v>443</v>
      </c>
      <c r="H709">
        <v>14</v>
      </c>
      <c r="I709" s="24">
        <v>9.3784722222222117E-2</v>
      </c>
      <c r="J709">
        <f t="shared" si="22"/>
        <v>0</v>
      </c>
      <c r="K709">
        <f t="shared" si="23"/>
        <v>0</v>
      </c>
    </row>
    <row r="710" spans="1:11" x14ac:dyDescent="0.25">
      <c r="A710">
        <v>12</v>
      </c>
      <c r="B710" t="s">
        <v>37</v>
      </c>
      <c r="C710" s="4">
        <v>0.85840277777777774</v>
      </c>
      <c r="D710" s="23">
        <v>0.85841435185185189</v>
      </c>
      <c r="E710" s="23">
        <v>0.95218749999999996</v>
      </c>
      <c r="F710" t="s">
        <v>453</v>
      </c>
      <c r="G710" t="s">
        <v>443</v>
      </c>
      <c r="H710">
        <v>14</v>
      </c>
      <c r="I710" s="24">
        <v>9.3784722222222117E-2</v>
      </c>
      <c r="J710">
        <f t="shared" si="22"/>
        <v>0</v>
      </c>
      <c r="K710">
        <f t="shared" si="23"/>
        <v>0</v>
      </c>
    </row>
    <row r="711" spans="1:11" x14ac:dyDescent="0.25">
      <c r="A711">
        <v>13</v>
      </c>
      <c r="B711" t="s">
        <v>16</v>
      </c>
      <c r="C711" s="4">
        <v>0.85840277777777774</v>
      </c>
      <c r="D711" s="23">
        <v>0.85841435185185189</v>
      </c>
      <c r="E711" s="23">
        <v>0.95218749999999996</v>
      </c>
      <c r="F711" t="s">
        <v>454</v>
      </c>
      <c r="G711" t="s">
        <v>443</v>
      </c>
      <c r="H711">
        <v>14</v>
      </c>
      <c r="I711" s="24">
        <v>9.3784722222222117E-2</v>
      </c>
      <c r="J711">
        <f t="shared" si="22"/>
        <v>0</v>
      </c>
      <c r="K711">
        <f t="shared" si="23"/>
        <v>0</v>
      </c>
    </row>
    <row r="712" spans="1:11" x14ac:dyDescent="0.25">
      <c r="A712">
        <v>14</v>
      </c>
      <c r="B712" t="s">
        <v>186</v>
      </c>
      <c r="C712" s="4">
        <v>0.85840277777777774</v>
      </c>
      <c r="D712" s="23">
        <v>0.86052083333333329</v>
      </c>
      <c r="E712" s="23">
        <v>0.95218749999999996</v>
      </c>
      <c r="F712" t="s">
        <v>455</v>
      </c>
      <c r="G712" t="s">
        <v>443</v>
      </c>
      <c r="H712">
        <v>14</v>
      </c>
      <c r="I712" s="24">
        <v>9.3784722222222117E-2</v>
      </c>
      <c r="J712">
        <f t="shared" si="22"/>
        <v>0</v>
      </c>
      <c r="K712">
        <f t="shared" si="23"/>
        <v>0</v>
      </c>
    </row>
    <row r="713" spans="1:11" x14ac:dyDescent="0.25">
      <c r="A713">
        <v>15</v>
      </c>
      <c r="B713" t="s">
        <v>18</v>
      </c>
      <c r="C713" s="4">
        <v>0.85840277777777774</v>
      </c>
      <c r="D713" s="23">
        <v>0.92268518518518516</v>
      </c>
      <c r="E713" s="23">
        <v>0.95218749999999996</v>
      </c>
      <c r="F713" t="s">
        <v>456</v>
      </c>
      <c r="G713" t="s">
        <v>443</v>
      </c>
      <c r="H713">
        <v>14</v>
      </c>
      <c r="I713" s="24">
        <v>9.3784722222222117E-2</v>
      </c>
      <c r="J713">
        <f t="shared" si="22"/>
        <v>0</v>
      </c>
      <c r="K713">
        <f t="shared" si="23"/>
        <v>0</v>
      </c>
    </row>
    <row r="714" spans="1:11" x14ac:dyDescent="0.25">
      <c r="A714">
        <v>16</v>
      </c>
      <c r="B714" t="s">
        <v>41</v>
      </c>
      <c r="C714" s="4">
        <v>0.85840277777777774</v>
      </c>
      <c r="D714" s="23">
        <v>0.92268518518518516</v>
      </c>
      <c r="E714" s="23">
        <v>0.95218749999999996</v>
      </c>
      <c r="F714" t="s">
        <v>450</v>
      </c>
      <c r="G714" t="s">
        <v>443</v>
      </c>
      <c r="H714">
        <v>14</v>
      </c>
      <c r="I714" s="24">
        <v>9.3784722222222117E-2</v>
      </c>
      <c r="J714">
        <f t="shared" si="22"/>
        <v>0</v>
      </c>
      <c r="K714">
        <f t="shared" si="23"/>
        <v>0</v>
      </c>
    </row>
    <row r="715" spans="1:11" x14ac:dyDescent="0.25">
      <c r="A715">
        <v>17</v>
      </c>
      <c r="B715" t="s">
        <v>267</v>
      </c>
      <c r="C715" s="4">
        <v>0.85840277777777774</v>
      </c>
      <c r="D715" s="23">
        <v>0.92614583333333333</v>
      </c>
      <c r="E715" s="23">
        <v>0.95218749999999996</v>
      </c>
      <c r="F715" t="s">
        <v>457</v>
      </c>
      <c r="G715" t="s">
        <v>443</v>
      </c>
      <c r="H715">
        <v>14</v>
      </c>
      <c r="I715" s="24">
        <v>9.3784722222222117E-2</v>
      </c>
      <c r="J715">
        <f t="shared" si="22"/>
        <v>0</v>
      </c>
      <c r="K715">
        <f t="shared" si="23"/>
        <v>0</v>
      </c>
    </row>
    <row r="716" spans="1:11" x14ac:dyDescent="0.25">
      <c r="A716">
        <v>18</v>
      </c>
      <c r="B716" t="s">
        <v>118</v>
      </c>
      <c r="C716" s="4">
        <v>0.85840277777777774</v>
      </c>
      <c r="D716" s="23">
        <v>0.92268518518518516</v>
      </c>
      <c r="E716" s="23">
        <v>0.95218749999999996</v>
      </c>
      <c r="F716" t="s">
        <v>458</v>
      </c>
      <c r="G716" t="s">
        <v>443</v>
      </c>
      <c r="H716">
        <v>14</v>
      </c>
      <c r="I716" s="24">
        <v>9.3784722222222117E-2</v>
      </c>
      <c r="J716">
        <f t="shared" si="22"/>
        <v>0</v>
      </c>
      <c r="K716">
        <f t="shared" si="23"/>
        <v>0</v>
      </c>
    </row>
    <row r="717" spans="1:11" x14ac:dyDescent="0.25">
      <c r="A717">
        <v>19</v>
      </c>
      <c r="B717" t="s">
        <v>383</v>
      </c>
      <c r="C717" s="4">
        <v>0.85840277777777774</v>
      </c>
      <c r="D717" s="23">
        <v>0.85841435185185189</v>
      </c>
      <c r="E717" s="23">
        <v>0.95218749999999996</v>
      </c>
      <c r="F717" t="s">
        <v>459</v>
      </c>
      <c r="G717" t="s">
        <v>443</v>
      </c>
      <c r="H717">
        <v>14</v>
      </c>
      <c r="I717" s="24">
        <v>9.3784722222222117E-2</v>
      </c>
      <c r="J717">
        <f t="shared" si="22"/>
        <v>0</v>
      </c>
      <c r="K717">
        <f t="shared" si="23"/>
        <v>0</v>
      </c>
    </row>
    <row r="718" spans="1:11" x14ac:dyDescent="0.25">
      <c r="A718">
        <v>20</v>
      </c>
      <c r="B718" t="s">
        <v>60</v>
      </c>
      <c r="C718" s="4">
        <v>0.85840277777777774</v>
      </c>
      <c r="D718" s="23">
        <v>0.85841435185185189</v>
      </c>
      <c r="E718" s="23">
        <v>0.95218749999999996</v>
      </c>
      <c r="F718" t="s">
        <v>460</v>
      </c>
      <c r="G718" t="s">
        <v>443</v>
      </c>
      <c r="H718">
        <v>14</v>
      </c>
      <c r="I718" s="24">
        <v>9.3784722222222117E-2</v>
      </c>
      <c r="J718">
        <f t="shared" si="22"/>
        <v>0</v>
      </c>
      <c r="K718">
        <f t="shared" si="23"/>
        <v>0</v>
      </c>
    </row>
    <row r="719" spans="1:11" x14ac:dyDescent="0.25">
      <c r="A719">
        <v>21</v>
      </c>
      <c r="B719" t="s">
        <v>20</v>
      </c>
      <c r="C719" s="4">
        <v>0.85840277777777774</v>
      </c>
      <c r="D719" s="23">
        <v>0.85841435185185189</v>
      </c>
      <c r="E719" s="23">
        <v>0.95218749999999996</v>
      </c>
      <c r="F719" t="s">
        <v>445</v>
      </c>
      <c r="G719" t="s">
        <v>443</v>
      </c>
      <c r="H719">
        <v>14</v>
      </c>
      <c r="I719" s="24">
        <v>9.3784722222222117E-2</v>
      </c>
      <c r="J719">
        <f t="shared" si="22"/>
        <v>0</v>
      </c>
      <c r="K719">
        <f t="shared" si="23"/>
        <v>0</v>
      </c>
    </row>
    <row r="720" spans="1:11" x14ac:dyDescent="0.25">
      <c r="A720">
        <v>22</v>
      </c>
      <c r="B720" t="s">
        <v>43</v>
      </c>
      <c r="C720" s="4">
        <v>0.85840277777777774</v>
      </c>
      <c r="D720" s="23">
        <v>0.85841435185185189</v>
      </c>
      <c r="E720" s="23">
        <v>0.95218749999999996</v>
      </c>
      <c r="F720" t="s">
        <v>446</v>
      </c>
      <c r="G720" t="s">
        <v>443</v>
      </c>
      <c r="H720">
        <v>14</v>
      </c>
      <c r="I720" s="24">
        <v>9.3784722222222117E-2</v>
      </c>
      <c r="J720">
        <f t="shared" si="22"/>
        <v>0</v>
      </c>
      <c r="K720">
        <f t="shared" si="23"/>
        <v>0</v>
      </c>
    </row>
    <row r="721" spans="1:11" x14ac:dyDescent="0.25">
      <c r="A721">
        <v>23</v>
      </c>
      <c r="B721" t="s">
        <v>99</v>
      </c>
      <c r="C721" s="4">
        <v>0.85840277777777774</v>
      </c>
      <c r="D721" s="23">
        <v>0.85841435185185189</v>
      </c>
      <c r="E721" s="23">
        <v>0.95218749999999996</v>
      </c>
      <c r="F721" t="s">
        <v>446</v>
      </c>
      <c r="G721" t="s">
        <v>443</v>
      </c>
      <c r="H721">
        <v>14</v>
      </c>
      <c r="I721" s="24">
        <v>9.3784722222222117E-2</v>
      </c>
      <c r="J721">
        <f t="shared" si="22"/>
        <v>0</v>
      </c>
      <c r="K721">
        <f t="shared" si="23"/>
        <v>0</v>
      </c>
    </row>
    <row r="722" spans="1:11" x14ac:dyDescent="0.25">
      <c r="A722">
        <v>24</v>
      </c>
      <c r="B722" t="s">
        <v>156</v>
      </c>
      <c r="C722" s="4">
        <v>0.85840277777777774</v>
      </c>
      <c r="D722" s="23">
        <v>0.85841435185185189</v>
      </c>
      <c r="E722" s="23">
        <v>0.95218749999999996</v>
      </c>
      <c r="F722" t="s">
        <v>446</v>
      </c>
      <c r="G722" t="s">
        <v>443</v>
      </c>
      <c r="H722">
        <v>14</v>
      </c>
      <c r="I722" s="24">
        <v>9.3784722222222117E-2</v>
      </c>
      <c r="J722">
        <f t="shared" si="22"/>
        <v>0</v>
      </c>
      <c r="K722">
        <f t="shared" si="23"/>
        <v>0</v>
      </c>
    </row>
    <row r="723" spans="1:11" x14ac:dyDescent="0.25">
      <c r="A723">
        <v>25</v>
      </c>
      <c r="B723" t="s">
        <v>238</v>
      </c>
      <c r="C723" s="4">
        <v>0.85840277777777774</v>
      </c>
      <c r="D723" s="23">
        <v>0.85841435185185189</v>
      </c>
      <c r="E723" s="23">
        <v>0.95218749999999996</v>
      </c>
      <c r="F723" t="s">
        <v>446</v>
      </c>
      <c r="G723" t="s">
        <v>443</v>
      </c>
      <c r="H723">
        <v>14</v>
      </c>
      <c r="I723" s="24">
        <v>9.3784722222222117E-2</v>
      </c>
      <c r="J723">
        <f t="shared" si="22"/>
        <v>0</v>
      </c>
      <c r="K723">
        <f t="shared" si="23"/>
        <v>0</v>
      </c>
    </row>
    <row r="724" spans="1:11" x14ac:dyDescent="0.25">
      <c r="A724">
        <v>26</v>
      </c>
      <c r="B724" t="s">
        <v>22</v>
      </c>
      <c r="C724" s="4">
        <v>0.85840277777777774</v>
      </c>
      <c r="D724" s="23">
        <v>0.85841435185185189</v>
      </c>
      <c r="E724" s="23">
        <v>0.95218749999999996</v>
      </c>
      <c r="F724" t="s">
        <v>454</v>
      </c>
      <c r="G724" t="s">
        <v>443</v>
      </c>
      <c r="H724">
        <v>14</v>
      </c>
      <c r="I724" s="24">
        <v>9.3784722222222117E-2</v>
      </c>
      <c r="J724">
        <f t="shared" si="22"/>
        <v>0</v>
      </c>
      <c r="K724">
        <f t="shared" si="23"/>
        <v>0</v>
      </c>
    </row>
    <row r="725" spans="1:11" x14ac:dyDescent="0.25">
      <c r="A725">
        <v>27</v>
      </c>
      <c r="B725" t="s">
        <v>46</v>
      </c>
      <c r="C725" s="4">
        <v>0.85840277777777774</v>
      </c>
      <c r="D725" s="23">
        <v>0.85841435185185189</v>
      </c>
      <c r="E725" s="23">
        <v>0.95218749999999996</v>
      </c>
      <c r="F725" t="s">
        <v>461</v>
      </c>
      <c r="G725" t="s">
        <v>443</v>
      </c>
      <c r="H725">
        <v>14</v>
      </c>
      <c r="I725" s="24">
        <v>9.3784722222222117E-2</v>
      </c>
      <c r="J725">
        <f t="shared" si="22"/>
        <v>0</v>
      </c>
      <c r="K725">
        <f t="shared" si="23"/>
        <v>0</v>
      </c>
    </row>
    <row r="726" spans="1:11" x14ac:dyDescent="0.25">
      <c r="A726">
        <v>28</v>
      </c>
      <c r="B726" t="s">
        <v>268</v>
      </c>
      <c r="C726" s="4">
        <v>0.85840277777777774</v>
      </c>
      <c r="D726" s="23">
        <v>0.85841435185185189</v>
      </c>
      <c r="E726" s="23">
        <v>0.95218749999999996</v>
      </c>
      <c r="F726" t="s">
        <v>446</v>
      </c>
      <c r="G726" t="s">
        <v>443</v>
      </c>
      <c r="H726">
        <v>14</v>
      </c>
      <c r="I726" s="24">
        <v>9.3784722222222117E-2</v>
      </c>
      <c r="J726">
        <f t="shared" si="22"/>
        <v>0</v>
      </c>
      <c r="K726">
        <f t="shared" si="23"/>
        <v>0</v>
      </c>
    </row>
    <row r="727" spans="1:11" x14ac:dyDescent="0.25">
      <c r="A727">
        <v>29</v>
      </c>
      <c r="B727" t="s">
        <v>25</v>
      </c>
      <c r="C727" s="4">
        <v>0.85840277777777774</v>
      </c>
      <c r="D727" s="23">
        <v>0.85841435185185189</v>
      </c>
      <c r="E727" s="23">
        <v>0.95218749999999996</v>
      </c>
      <c r="F727" t="s">
        <v>462</v>
      </c>
      <c r="G727" t="s">
        <v>443</v>
      </c>
      <c r="H727">
        <v>14</v>
      </c>
      <c r="I727" s="24">
        <v>9.3784722222222117E-2</v>
      </c>
      <c r="J727">
        <f t="shared" si="22"/>
        <v>0</v>
      </c>
      <c r="K727">
        <f t="shared" si="23"/>
        <v>0</v>
      </c>
    </row>
    <row r="728" spans="1:11" x14ac:dyDescent="0.25">
      <c r="A728">
        <v>30</v>
      </c>
      <c r="B728" t="s">
        <v>193</v>
      </c>
      <c r="C728" s="4">
        <v>0.85840277777777774</v>
      </c>
      <c r="D728" s="23">
        <v>0.92268518518518516</v>
      </c>
      <c r="E728" s="23">
        <v>0.95218749999999996</v>
      </c>
      <c r="F728" t="s">
        <v>463</v>
      </c>
      <c r="G728" t="s">
        <v>443</v>
      </c>
      <c r="H728">
        <v>14</v>
      </c>
      <c r="I728" s="24">
        <v>9.3784722222222117E-2</v>
      </c>
      <c r="J728">
        <f t="shared" si="22"/>
        <v>0</v>
      </c>
      <c r="K728">
        <f t="shared" si="23"/>
        <v>0</v>
      </c>
    </row>
    <row r="729" spans="1:11" x14ac:dyDescent="0.25">
      <c r="A729">
        <v>31</v>
      </c>
      <c r="B729" t="s">
        <v>213</v>
      </c>
      <c r="C729" s="4">
        <v>0.85840277777777774</v>
      </c>
      <c r="D729" s="23">
        <v>0.85841435185185189</v>
      </c>
      <c r="E729" s="23">
        <v>0.95218749999999996</v>
      </c>
      <c r="F729" t="s">
        <v>447</v>
      </c>
      <c r="G729" t="s">
        <v>443</v>
      </c>
      <c r="H729">
        <v>14</v>
      </c>
      <c r="I729" s="24">
        <v>9.3784722222222117E-2</v>
      </c>
      <c r="J729">
        <f t="shared" si="22"/>
        <v>0</v>
      </c>
      <c r="K729">
        <f t="shared" si="23"/>
        <v>0</v>
      </c>
    </row>
    <row r="730" spans="1:11" x14ac:dyDescent="0.25">
      <c r="A730">
        <v>32</v>
      </c>
      <c r="B730" t="s">
        <v>50</v>
      </c>
      <c r="C730" s="4">
        <v>0.85840277777777774</v>
      </c>
      <c r="D730" s="23">
        <v>0.85841435185185189</v>
      </c>
      <c r="E730" s="23">
        <v>0.95218749999999996</v>
      </c>
      <c r="F730" t="s">
        <v>464</v>
      </c>
      <c r="G730" t="s">
        <v>443</v>
      </c>
      <c r="H730">
        <v>14</v>
      </c>
      <c r="I730" s="24">
        <v>9.3784722222222117E-2</v>
      </c>
      <c r="J730">
        <f t="shared" si="22"/>
        <v>0</v>
      </c>
      <c r="K730">
        <f t="shared" si="23"/>
        <v>0</v>
      </c>
    </row>
    <row r="731" spans="1:11" x14ac:dyDescent="0.25">
      <c r="A731">
        <v>33</v>
      </c>
      <c r="B731" t="s">
        <v>62</v>
      </c>
      <c r="C731" s="4">
        <v>0.85840277777777774</v>
      </c>
      <c r="D731" s="23">
        <v>0.85841435185185189</v>
      </c>
      <c r="E731" s="23">
        <v>0.95218749999999996</v>
      </c>
      <c r="F731" t="s">
        <v>465</v>
      </c>
      <c r="G731" t="s">
        <v>443</v>
      </c>
      <c r="H731">
        <v>14</v>
      </c>
      <c r="I731" s="24">
        <v>9.3784722222222117E-2</v>
      </c>
      <c r="J731">
        <f t="shared" si="22"/>
        <v>0</v>
      </c>
      <c r="K731">
        <f t="shared" si="23"/>
        <v>0</v>
      </c>
    </row>
    <row r="732" spans="1:11" x14ac:dyDescent="0.25">
      <c r="A732">
        <v>34</v>
      </c>
      <c r="B732" t="s">
        <v>51</v>
      </c>
      <c r="C732" s="4">
        <v>0.85840277777777774</v>
      </c>
      <c r="D732" s="23">
        <v>0.85841435185185189</v>
      </c>
      <c r="E732" s="23">
        <v>0.95218749999999996</v>
      </c>
      <c r="F732" t="s">
        <v>451</v>
      </c>
      <c r="G732" t="s">
        <v>443</v>
      </c>
      <c r="H732">
        <v>14</v>
      </c>
      <c r="I732" s="24">
        <v>9.3784722222222117E-2</v>
      </c>
      <c r="J732">
        <f t="shared" si="22"/>
        <v>0</v>
      </c>
      <c r="K732">
        <f t="shared" si="23"/>
        <v>0</v>
      </c>
    </row>
    <row r="733" spans="1:11" x14ac:dyDescent="0.25">
      <c r="A733">
        <v>35</v>
      </c>
      <c r="B733" t="s">
        <v>83</v>
      </c>
      <c r="C733" s="4">
        <v>0.85840277777777774</v>
      </c>
      <c r="D733" s="23">
        <v>0.85841435185185189</v>
      </c>
      <c r="E733" s="23">
        <v>0.95218749999999996</v>
      </c>
      <c r="F733" t="s">
        <v>466</v>
      </c>
      <c r="G733" t="s">
        <v>443</v>
      </c>
      <c r="H733">
        <v>14</v>
      </c>
      <c r="I733" s="24">
        <v>9.3784722222222117E-2</v>
      </c>
      <c r="J733">
        <f t="shared" si="22"/>
        <v>0</v>
      </c>
      <c r="K733">
        <f t="shared" si="23"/>
        <v>0</v>
      </c>
    </row>
    <row r="734" spans="1:11" x14ac:dyDescent="0.25">
      <c r="A734">
        <v>36</v>
      </c>
      <c r="B734" t="s">
        <v>85</v>
      </c>
      <c r="C734" s="4">
        <v>0.85840277777777774</v>
      </c>
      <c r="D734" s="23">
        <v>0.92268518518518516</v>
      </c>
      <c r="E734" s="23">
        <v>0.95218749999999996</v>
      </c>
      <c r="F734" t="s">
        <v>244</v>
      </c>
      <c r="G734" t="s">
        <v>443</v>
      </c>
      <c r="H734">
        <v>14</v>
      </c>
      <c r="I734" s="24">
        <v>9.3784722222222117E-2</v>
      </c>
      <c r="J734">
        <f t="shared" si="22"/>
        <v>0</v>
      </c>
      <c r="K734">
        <f t="shared" si="23"/>
        <v>0</v>
      </c>
    </row>
    <row r="735" spans="1:11" x14ac:dyDescent="0.25">
      <c r="A735">
        <v>37</v>
      </c>
      <c r="B735" t="s">
        <v>53</v>
      </c>
      <c r="C735" s="4">
        <v>0.85840277777777774</v>
      </c>
      <c r="D735" s="23">
        <v>0.85856481481481484</v>
      </c>
      <c r="E735" s="23">
        <v>0.95218749999999996</v>
      </c>
      <c r="F735" t="s">
        <v>467</v>
      </c>
      <c r="G735" t="s">
        <v>443</v>
      </c>
      <c r="H735">
        <v>14</v>
      </c>
      <c r="I735" s="24">
        <v>9.3784722222222117E-2</v>
      </c>
      <c r="J735">
        <f t="shared" si="22"/>
        <v>0</v>
      </c>
      <c r="K735">
        <f t="shared" si="23"/>
        <v>0</v>
      </c>
    </row>
    <row r="736" spans="1:11" x14ac:dyDescent="0.25">
      <c r="A736">
        <v>38</v>
      </c>
      <c r="B736" t="s">
        <v>262</v>
      </c>
      <c r="C736" s="4">
        <v>0.85840277777777774</v>
      </c>
      <c r="D736" s="23">
        <v>0.85841435185185189</v>
      </c>
      <c r="E736" s="23">
        <v>0.95218749999999996</v>
      </c>
      <c r="F736" t="s">
        <v>468</v>
      </c>
      <c r="G736" t="s">
        <v>443</v>
      </c>
      <c r="H736">
        <v>14</v>
      </c>
      <c r="I736" s="24">
        <v>9.3784722222222117E-2</v>
      </c>
      <c r="J736">
        <f t="shared" si="22"/>
        <v>0</v>
      </c>
      <c r="K736">
        <f t="shared" si="23"/>
        <v>0</v>
      </c>
    </row>
    <row r="737" spans="1:11" x14ac:dyDescent="0.25">
      <c r="A737">
        <v>39</v>
      </c>
      <c r="B737" t="s">
        <v>54</v>
      </c>
      <c r="C737" s="4">
        <v>0.85840277777777774</v>
      </c>
      <c r="D737" s="23">
        <v>0.86052083333333329</v>
      </c>
      <c r="E737" s="23">
        <v>0.95218749999999996</v>
      </c>
      <c r="F737" t="s">
        <v>469</v>
      </c>
      <c r="G737" t="s">
        <v>443</v>
      </c>
      <c r="H737">
        <v>14</v>
      </c>
      <c r="I737" s="24">
        <v>9.3784722222222117E-2</v>
      </c>
      <c r="J737">
        <f t="shared" si="22"/>
        <v>0</v>
      </c>
      <c r="K737">
        <f t="shared" si="23"/>
        <v>0</v>
      </c>
    </row>
    <row r="738" spans="1:11" x14ac:dyDescent="0.25">
      <c r="A738">
        <v>40</v>
      </c>
      <c r="B738" t="s">
        <v>470</v>
      </c>
      <c r="C738" s="4">
        <v>0.85840277777777774</v>
      </c>
      <c r="D738" s="23">
        <v>0.85841435185185189</v>
      </c>
      <c r="E738" s="23">
        <v>0.95218749999999996</v>
      </c>
      <c r="F738" t="s">
        <v>454</v>
      </c>
      <c r="G738" t="s">
        <v>443</v>
      </c>
      <c r="H738">
        <v>14</v>
      </c>
      <c r="I738" s="24">
        <v>9.3784722222222117E-2</v>
      </c>
      <c r="J738">
        <f t="shared" si="22"/>
        <v>0</v>
      </c>
      <c r="K738">
        <f t="shared" si="23"/>
        <v>0</v>
      </c>
    </row>
    <row r="739" spans="1:11" x14ac:dyDescent="0.25">
      <c r="A739">
        <v>41</v>
      </c>
      <c r="B739" t="s">
        <v>397</v>
      </c>
      <c r="C739" s="4">
        <v>0.85840277777777774</v>
      </c>
      <c r="D739" s="23">
        <v>0.92268518518518516</v>
      </c>
      <c r="E739" s="23">
        <v>0.95218749999999996</v>
      </c>
      <c r="F739" t="s">
        <v>471</v>
      </c>
      <c r="G739" t="s">
        <v>443</v>
      </c>
      <c r="H739">
        <v>14</v>
      </c>
      <c r="I739" s="24">
        <v>9.3784722222222117E-2</v>
      </c>
      <c r="J739">
        <f t="shared" si="22"/>
        <v>0</v>
      </c>
      <c r="K739">
        <f t="shared" si="23"/>
        <v>0</v>
      </c>
    </row>
    <row r="740" spans="1:11" x14ac:dyDescent="0.25">
      <c r="A740">
        <v>42</v>
      </c>
      <c r="B740" t="s">
        <v>89</v>
      </c>
      <c r="C740" s="4">
        <v>0.85840277777777774</v>
      </c>
      <c r="D740" s="23">
        <v>0.86052083333333329</v>
      </c>
      <c r="E740" s="23">
        <v>0.95218749999999996</v>
      </c>
      <c r="F740" t="s">
        <v>472</v>
      </c>
      <c r="G740" t="s">
        <v>443</v>
      </c>
      <c r="H740">
        <v>14</v>
      </c>
      <c r="I740" s="24">
        <v>9.3784722222222117E-2</v>
      </c>
      <c r="J740">
        <f t="shared" si="22"/>
        <v>0</v>
      </c>
      <c r="K740">
        <f t="shared" si="23"/>
        <v>0</v>
      </c>
    </row>
    <row r="741" spans="1:11" x14ac:dyDescent="0.25">
      <c r="A741">
        <v>43</v>
      </c>
      <c r="B741" t="s">
        <v>138</v>
      </c>
      <c r="C741" s="4">
        <v>0.85840277777777774</v>
      </c>
      <c r="D741" s="23">
        <v>0.85841435185185189</v>
      </c>
      <c r="E741" s="23">
        <v>0.95218749999999996</v>
      </c>
      <c r="F741" t="s">
        <v>473</v>
      </c>
      <c r="G741" t="s">
        <v>443</v>
      </c>
      <c r="H741">
        <v>14</v>
      </c>
      <c r="I741" s="24">
        <v>9.3784722222222117E-2</v>
      </c>
      <c r="J741">
        <f t="shared" si="22"/>
        <v>0</v>
      </c>
      <c r="K741">
        <f t="shared" si="23"/>
        <v>0</v>
      </c>
    </row>
    <row r="742" spans="1:11" x14ac:dyDescent="0.25">
      <c r="A742">
        <v>44</v>
      </c>
      <c r="B742" t="s">
        <v>27</v>
      </c>
      <c r="C742" s="4">
        <v>0.85840277777777774</v>
      </c>
      <c r="D742" s="23">
        <v>0.92268518518518516</v>
      </c>
      <c r="E742" s="23">
        <v>0.95218749999999996</v>
      </c>
      <c r="F742" t="s">
        <v>474</v>
      </c>
      <c r="G742" t="s">
        <v>443</v>
      </c>
      <c r="H742">
        <v>14</v>
      </c>
      <c r="I742" s="24">
        <v>9.3784722222222117E-2</v>
      </c>
      <c r="J742">
        <f t="shared" si="22"/>
        <v>0</v>
      </c>
      <c r="K742">
        <f t="shared" si="23"/>
        <v>0</v>
      </c>
    </row>
    <row r="743" spans="1:11" x14ac:dyDescent="0.25">
      <c r="A743">
        <v>1</v>
      </c>
      <c r="B743" t="s">
        <v>5</v>
      </c>
      <c r="C743" s="4">
        <v>0.85996527777777776</v>
      </c>
      <c r="D743" s="23">
        <v>0.86001157407407403</v>
      </c>
      <c r="E743" s="23">
        <v>0.95986111111111116</v>
      </c>
      <c r="F743" t="s">
        <v>475</v>
      </c>
      <c r="G743" t="s">
        <v>476</v>
      </c>
      <c r="H743">
        <v>13</v>
      </c>
      <c r="I743" s="24">
        <v>9.9895833333333295E-2</v>
      </c>
      <c r="J743">
        <f t="shared" si="22"/>
        <v>0</v>
      </c>
      <c r="K743">
        <f t="shared" si="23"/>
        <v>0</v>
      </c>
    </row>
    <row r="744" spans="1:11" x14ac:dyDescent="0.25">
      <c r="A744">
        <v>2</v>
      </c>
      <c r="B744" t="s">
        <v>9</v>
      </c>
      <c r="C744" s="4">
        <v>0.85996527777777776</v>
      </c>
      <c r="D744" s="23">
        <v>0.86001157407407403</v>
      </c>
      <c r="E744" s="23">
        <v>0.95986111111111116</v>
      </c>
      <c r="F744" t="s">
        <v>478</v>
      </c>
      <c r="G744" t="s">
        <v>476</v>
      </c>
      <c r="H744">
        <v>13</v>
      </c>
      <c r="I744" s="24">
        <v>9.9895833333333295E-2</v>
      </c>
      <c r="J744">
        <f t="shared" si="22"/>
        <v>0</v>
      </c>
      <c r="K744">
        <f t="shared" si="23"/>
        <v>0</v>
      </c>
    </row>
    <row r="745" spans="1:11" x14ac:dyDescent="0.25">
      <c r="A745">
        <v>3</v>
      </c>
      <c r="B745" t="s">
        <v>11</v>
      </c>
      <c r="C745" s="4">
        <v>0.85996527777777776</v>
      </c>
      <c r="D745" s="23">
        <v>0.86001157407407403</v>
      </c>
      <c r="E745" s="23">
        <v>0.95986111111111116</v>
      </c>
      <c r="F745" t="s">
        <v>479</v>
      </c>
      <c r="G745" t="s">
        <v>476</v>
      </c>
      <c r="H745">
        <v>13</v>
      </c>
      <c r="I745" s="24">
        <v>9.9895833333333295E-2</v>
      </c>
      <c r="J745">
        <f t="shared" si="22"/>
        <v>0</v>
      </c>
      <c r="K745">
        <f t="shared" si="23"/>
        <v>0</v>
      </c>
    </row>
    <row r="746" spans="1:11" x14ac:dyDescent="0.25">
      <c r="A746">
        <v>4</v>
      </c>
      <c r="B746" t="s">
        <v>35</v>
      </c>
      <c r="C746" s="4">
        <v>0.85996527777777776</v>
      </c>
      <c r="D746" s="23">
        <v>0.86001157407407403</v>
      </c>
      <c r="E746" s="23">
        <v>0.95986111111111116</v>
      </c>
      <c r="F746" t="s">
        <v>475</v>
      </c>
      <c r="G746" t="s">
        <v>476</v>
      </c>
      <c r="H746">
        <v>13</v>
      </c>
      <c r="I746" s="24">
        <v>9.9895833333333295E-2</v>
      </c>
      <c r="J746">
        <f t="shared" si="22"/>
        <v>0</v>
      </c>
      <c r="K746">
        <f t="shared" si="23"/>
        <v>0</v>
      </c>
    </row>
    <row r="747" spans="1:11" x14ac:dyDescent="0.25">
      <c r="A747">
        <v>6</v>
      </c>
      <c r="B747" t="s">
        <v>70</v>
      </c>
      <c r="C747" s="4">
        <v>0.85996527777777776</v>
      </c>
      <c r="D747" s="23">
        <v>0.86001157407407403</v>
      </c>
      <c r="E747" s="23">
        <v>0.95986111111111116</v>
      </c>
      <c r="F747" t="s">
        <v>475</v>
      </c>
      <c r="G747" t="s">
        <v>476</v>
      </c>
      <c r="H747">
        <v>13</v>
      </c>
      <c r="I747" s="24">
        <v>9.9895833333333295E-2</v>
      </c>
      <c r="J747">
        <f t="shared" si="22"/>
        <v>0</v>
      </c>
      <c r="K747">
        <f t="shared" si="23"/>
        <v>0</v>
      </c>
    </row>
    <row r="748" spans="1:11" x14ac:dyDescent="0.25">
      <c r="A748">
        <v>7</v>
      </c>
      <c r="B748" t="s">
        <v>59</v>
      </c>
      <c r="C748" s="4">
        <v>0.85996527777777776</v>
      </c>
      <c r="D748" s="23">
        <v>0.86001157407407403</v>
      </c>
      <c r="E748" s="23">
        <v>0.95986111111111116</v>
      </c>
      <c r="F748" t="s">
        <v>475</v>
      </c>
      <c r="G748" t="s">
        <v>476</v>
      </c>
      <c r="H748">
        <v>13</v>
      </c>
      <c r="I748" s="24">
        <v>9.9895833333333295E-2</v>
      </c>
      <c r="J748">
        <f t="shared" si="22"/>
        <v>0</v>
      </c>
      <c r="K748">
        <f t="shared" si="23"/>
        <v>0</v>
      </c>
    </row>
    <row r="749" spans="1:11" x14ac:dyDescent="0.25">
      <c r="A749">
        <v>8</v>
      </c>
      <c r="B749" t="s">
        <v>181</v>
      </c>
      <c r="C749" s="4">
        <v>0.85996527777777776</v>
      </c>
      <c r="D749" s="23">
        <v>0.86001157407407403</v>
      </c>
      <c r="E749" s="23">
        <v>0.95986111111111116</v>
      </c>
      <c r="F749" t="s">
        <v>475</v>
      </c>
      <c r="G749" t="s">
        <v>476</v>
      </c>
      <c r="H749">
        <v>13</v>
      </c>
      <c r="I749" s="24">
        <v>9.9895833333333295E-2</v>
      </c>
      <c r="J749">
        <f t="shared" si="22"/>
        <v>0</v>
      </c>
      <c r="K749">
        <f t="shared" si="23"/>
        <v>0</v>
      </c>
    </row>
    <row r="750" spans="1:11" x14ac:dyDescent="0.25">
      <c r="A750">
        <v>9</v>
      </c>
      <c r="B750" t="s">
        <v>36</v>
      </c>
      <c r="C750" s="4">
        <v>0.85996527777777776</v>
      </c>
      <c r="D750" s="23">
        <v>0.86001157407407403</v>
      </c>
      <c r="E750" s="23">
        <v>0.95986111111111116</v>
      </c>
      <c r="F750" t="s">
        <v>475</v>
      </c>
      <c r="G750" t="s">
        <v>476</v>
      </c>
      <c r="H750">
        <v>13</v>
      </c>
      <c r="I750" s="24">
        <v>9.9895833333333295E-2</v>
      </c>
      <c r="J750">
        <f t="shared" si="22"/>
        <v>0</v>
      </c>
      <c r="K750">
        <f t="shared" si="23"/>
        <v>0</v>
      </c>
    </row>
    <row r="751" spans="1:11" x14ac:dyDescent="0.25">
      <c r="A751">
        <v>10</v>
      </c>
      <c r="B751" t="s">
        <v>208</v>
      </c>
      <c r="C751" s="4">
        <v>0.85996527777777776</v>
      </c>
      <c r="D751" s="23">
        <v>0.86001157407407403</v>
      </c>
      <c r="E751" s="23">
        <v>0.95986111111111116</v>
      </c>
      <c r="F751" t="s">
        <v>475</v>
      </c>
      <c r="G751" t="s">
        <v>476</v>
      </c>
      <c r="H751">
        <v>13</v>
      </c>
      <c r="I751" s="24">
        <v>9.9895833333333295E-2</v>
      </c>
      <c r="J751">
        <f t="shared" si="22"/>
        <v>0</v>
      </c>
      <c r="K751">
        <f t="shared" si="23"/>
        <v>0</v>
      </c>
    </row>
    <row r="752" spans="1:11" x14ac:dyDescent="0.25">
      <c r="A752">
        <v>11</v>
      </c>
      <c r="B752" t="s">
        <v>16</v>
      </c>
      <c r="C752" s="4">
        <v>0.85996527777777776</v>
      </c>
      <c r="D752" s="23">
        <v>0.86001157407407403</v>
      </c>
      <c r="E752" s="23">
        <v>0.95986111111111116</v>
      </c>
      <c r="F752" t="s">
        <v>480</v>
      </c>
      <c r="G752" t="s">
        <v>476</v>
      </c>
      <c r="H752">
        <v>13</v>
      </c>
      <c r="I752" s="24">
        <v>9.9895833333333295E-2</v>
      </c>
      <c r="J752">
        <f t="shared" ref="J752:J815" si="24">IF(AND(H752&gt;=1,H752&lt;=7),1,0)</f>
        <v>0</v>
      </c>
      <c r="K752">
        <f t="shared" ref="K752:K815" si="25">IF(AND(H752&gt;=30,H752&lt;=36),1,0)</f>
        <v>0</v>
      </c>
    </row>
    <row r="753" spans="1:11" x14ac:dyDescent="0.25">
      <c r="A753">
        <v>12</v>
      </c>
      <c r="B753" t="s">
        <v>186</v>
      </c>
      <c r="C753" s="4">
        <v>0.85996527777777776</v>
      </c>
      <c r="D753" s="23">
        <v>0.86001157407407403</v>
      </c>
      <c r="E753" s="23">
        <v>0.95986111111111116</v>
      </c>
      <c r="F753" t="s">
        <v>475</v>
      </c>
      <c r="G753" t="s">
        <v>476</v>
      </c>
      <c r="H753">
        <v>13</v>
      </c>
      <c r="I753" s="24">
        <v>9.9895833333333295E-2</v>
      </c>
      <c r="J753">
        <f t="shared" si="24"/>
        <v>0</v>
      </c>
      <c r="K753">
        <f t="shared" si="25"/>
        <v>0</v>
      </c>
    </row>
    <row r="754" spans="1:11" x14ac:dyDescent="0.25">
      <c r="A754">
        <v>13</v>
      </c>
      <c r="B754" t="s">
        <v>114</v>
      </c>
      <c r="C754" s="4">
        <v>0.85996527777777776</v>
      </c>
      <c r="D754" s="23">
        <v>0.86001157407407403</v>
      </c>
      <c r="E754" s="23">
        <v>0.95986111111111116</v>
      </c>
      <c r="F754" t="s">
        <v>475</v>
      </c>
      <c r="G754" t="s">
        <v>476</v>
      </c>
      <c r="H754">
        <v>13</v>
      </c>
      <c r="I754" s="24">
        <v>9.9895833333333295E-2</v>
      </c>
      <c r="J754">
        <f t="shared" si="24"/>
        <v>0</v>
      </c>
      <c r="K754">
        <f t="shared" si="25"/>
        <v>0</v>
      </c>
    </row>
    <row r="755" spans="1:11" x14ac:dyDescent="0.25">
      <c r="A755">
        <v>14</v>
      </c>
      <c r="B755" t="s">
        <v>18</v>
      </c>
      <c r="C755" s="4">
        <v>0.85996527777777776</v>
      </c>
      <c r="D755" s="23">
        <v>0.86001157407407403</v>
      </c>
      <c r="E755" s="23">
        <v>0.95986111111111116</v>
      </c>
      <c r="F755" t="s">
        <v>475</v>
      </c>
      <c r="G755" t="s">
        <v>476</v>
      </c>
      <c r="H755">
        <v>13</v>
      </c>
      <c r="I755" s="24">
        <v>9.9895833333333295E-2</v>
      </c>
      <c r="J755">
        <f t="shared" si="24"/>
        <v>0</v>
      </c>
      <c r="K755">
        <f t="shared" si="25"/>
        <v>0</v>
      </c>
    </row>
    <row r="756" spans="1:11" x14ac:dyDescent="0.25">
      <c r="A756">
        <v>15</v>
      </c>
      <c r="B756" t="s">
        <v>41</v>
      </c>
      <c r="C756" s="4">
        <v>0.85996527777777776</v>
      </c>
      <c r="D756" s="23">
        <v>0.86001157407407403</v>
      </c>
      <c r="E756" s="23">
        <v>0.95986111111111116</v>
      </c>
      <c r="F756" t="s">
        <v>480</v>
      </c>
      <c r="G756" t="s">
        <v>476</v>
      </c>
      <c r="H756">
        <v>13</v>
      </c>
      <c r="I756" s="24">
        <v>9.9895833333333295E-2</v>
      </c>
      <c r="J756">
        <f t="shared" si="24"/>
        <v>0</v>
      </c>
      <c r="K756">
        <f t="shared" si="25"/>
        <v>0</v>
      </c>
    </row>
    <row r="757" spans="1:11" x14ac:dyDescent="0.25">
      <c r="A757">
        <v>16</v>
      </c>
      <c r="B757" t="s">
        <v>267</v>
      </c>
      <c r="C757" s="4">
        <v>0.85996527777777776</v>
      </c>
      <c r="D757" s="23">
        <v>0.86001157407407403</v>
      </c>
      <c r="E757" s="23">
        <v>0.95986111111111116</v>
      </c>
      <c r="F757" t="s">
        <v>475</v>
      </c>
      <c r="G757" t="s">
        <v>476</v>
      </c>
      <c r="H757">
        <v>13</v>
      </c>
      <c r="I757" s="24">
        <v>9.9895833333333295E-2</v>
      </c>
      <c r="J757">
        <f t="shared" si="24"/>
        <v>0</v>
      </c>
      <c r="K757">
        <f t="shared" si="25"/>
        <v>0</v>
      </c>
    </row>
    <row r="758" spans="1:11" x14ac:dyDescent="0.25">
      <c r="A758">
        <v>17</v>
      </c>
      <c r="B758" t="s">
        <v>118</v>
      </c>
      <c r="C758" s="4">
        <v>0.85996527777777776</v>
      </c>
      <c r="D758" s="23">
        <v>0.86001157407407403</v>
      </c>
      <c r="E758" s="23">
        <v>0.95986111111111116</v>
      </c>
      <c r="F758" t="s">
        <v>481</v>
      </c>
      <c r="G758" t="s">
        <v>476</v>
      </c>
      <c r="H758">
        <v>13</v>
      </c>
      <c r="I758" s="24">
        <v>9.9895833333333295E-2</v>
      </c>
      <c r="J758">
        <f t="shared" si="24"/>
        <v>0</v>
      </c>
      <c r="K758">
        <f t="shared" si="25"/>
        <v>0</v>
      </c>
    </row>
    <row r="759" spans="1:11" x14ac:dyDescent="0.25">
      <c r="A759">
        <v>18</v>
      </c>
      <c r="B759" t="s">
        <v>383</v>
      </c>
      <c r="C759" s="4">
        <v>0.85996527777777776</v>
      </c>
      <c r="D759" s="23">
        <v>0.86001157407407403</v>
      </c>
      <c r="E759" s="23">
        <v>0.95986111111111116</v>
      </c>
      <c r="F759" t="s">
        <v>475</v>
      </c>
      <c r="G759" t="s">
        <v>476</v>
      </c>
      <c r="H759">
        <v>13</v>
      </c>
      <c r="I759" s="24">
        <v>9.9895833333333295E-2</v>
      </c>
      <c r="J759">
        <f t="shared" si="24"/>
        <v>0</v>
      </c>
      <c r="K759">
        <f t="shared" si="25"/>
        <v>0</v>
      </c>
    </row>
    <row r="760" spans="1:11" x14ac:dyDescent="0.25">
      <c r="A760">
        <v>19</v>
      </c>
      <c r="B760" t="s">
        <v>236</v>
      </c>
      <c r="C760" s="4">
        <v>0.85996527777777776</v>
      </c>
      <c r="D760" s="23">
        <v>0.86001157407407403</v>
      </c>
      <c r="E760" s="23">
        <v>0.95986111111111116</v>
      </c>
      <c r="F760" t="s">
        <v>475</v>
      </c>
      <c r="G760" t="s">
        <v>476</v>
      </c>
      <c r="H760">
        <v>13</v>
      </c>
      <c r="I760" s="24">
        <v>9.9895833333333295E-2</v>
      </c>
      <c r="J760">
        <f t="shared" si="24"/>
        <v>0</v>
      </c>
      <c r="K760">
        <f t="shared" si="25"/>
        <v>0</v>
      </c>
    </row>
    <row r="761" spans="1:11" x14ac:dyDescent="0.25">
      <c r="A761">
        <v>20</v>
      </c>
      <c r="B761" t="s">
        <v>20</v>
      </c>
      <c r="C761" s="4">
        <v>0.85996527777777776</v>
      </c>
      <c r="D761" s="23">
        <v>0.86001157407407403</v>
      </c>
      <c r="E761" s="23">
        <v>0.95986111111111116</v>
      </c>
      <c r="F761" t="s">
        <v>475</v>
      </c>
      <c r="G761" t="s">
        <v>476</v>
      </c>
      <c r="H761">
        <v>13</v>
      </c>
      <c r="I761" s="24">
        <v>9.9895833333333295E-2</v>
      </c>
      <c r="J761">
        <f t="shared" si="24"/>
        <v>0</v>
      </c>
      <c r="K761">
        <f t="shared" si="25"/>
        <v>0</v>
      </c>
    </row>
    <row r="762" spans="1:11" x14ac:dyDescent="0.25">
      <c r="A762">
        <v>21</v>
      </c>
      <c r="B762" t="s">
        <v>99</v>
      </c>
      <c r="C762" s="4">
        <v>0.85996527777777776</v>
      </c>
      <c r="D762" s="23">
        <v>0.86001157407407403</v>
      </c>
      <c r="E762" s="23">
        <v>0.95986111111111116</v>
      </c>
      <c r="F762" t="s">
        <v>482</v>
      </c>
      <c r="G762" t="s">
        <v>476</v>
      </c>
      <c r="H762">
        <v>13</v>
      </c>
      <c r="I762" s="24">
        <v>9.9895833333333295E-2</v>
      </c>
      <c r="J762">
        <f t="shared" si="24"/>
        <v>0</v>
      </c>
      <c r="K762">
        <f t="shared" si="25"/>
        <v>0</v>
      </c>
    </row>
    <row r="763" spans="1:11" x14ac:dyDescent="0.25">
      <c r="A763">
        <v>22</v>
      </c>
      <c r="B763" t="s">
        <v>156</v>
      </c>
      <c r="C763" s="4">
        <v>0.85996527777777776</v>
      </c>
      <c r="D763" s="23">
        <v>0.86001157407407403</v>
      </c>
      <c r="E763" s="23">
        <v>0.95986111111111116</v>
      </c>
      <c r="F763" t="s">
        <v>475</v>
      </c>
      <c r="G763" t="s">
        <v>476</v>
      </c>
      <c r="H763">
        <v>13</v>
      </c>
      <c r="I763" s="24">
        <v>9.9895833333333295E-2</v>
      </c>
      <c r="J763">
        <f t="shared" si="24"/>
        <v>0</v>
      </c>
      <c r="K763">
        <f t="shared" si="25"/>
        <v>0</v>
      </c>
    </row>
    <row r="764" spans="1:11" x14ac:dyDescent="0.25">
      <c r="A764">
        <v>23</v>
      </c>
      <c r="B764" t="s">
        <v>238</v>
      </c>
      <c r="C764" s="4">
        <v>0.85996527777777776</v>
      </c>
      <c r="D764" s="23">
        <v>0.86001157407407403</v>
      </c>
      <c r="E764" s="23">
        <v>0.95986111111111116</v>
      </c>
      <c r="F764" t="s">
        <v>475</v>
      </c>
      <c r="G764" t="s">
        <v>476</v>
      </c>
      <c r="H764">
        <v>13</v>
      </c>
      <c r="I764" s="24">
        <v>9.9895833333333295E-2</v>
      </c>
      <c r="J764">
        <f t="shared" si="24"/>
        <v>0</v>
      </c>
      <c r="K764">
        <f t="shared" si="25"/>
        <v>0</v>
      </c>
    </row>
    <row r="765" spans="1:11" x14ac:dyDescent="0.25">
      <c r="A765">
        <v>24</v>
      </c>
      <c r="B765" t="s">
        <v>22</v>
      </c>
      <c r="C765" s="4">
        <v>0.85996527777777776</v>
      </c>
      <c r="D765" s="23">
        <v>0.86001157407407403</v>
      </c>
      <c r="E765" s="23">
        <v>0.95986111111111116</v>
      </c>
      <c r="F765" t="s">
        <v>480</v>
      </c>
      <c r="G765" t="s">
        <v>476</v>
      </c>
      <c r="H765">
        <v>13</v>
      </c>
      <c r="I765" s="24">
        <v>9.9895833333333295E-2</v>
      </c>
      <c r="J765">
        <f t="shared" si="24"/>
        <v>0</v>
      </c>
      <c r="K765">
        <f t="shared" si="25"/>
        <v>0</v>
      </c>
    </row>
    <row r="766" spans="1:11" x14ac:dyDescent="0.25">
      <c r="A766">
        <v>25</v>
      </c>
      <c r="B766" t="s">
        <v>46</v>
      </c>
      <c r="C766" s="4">
        <v>0.85996527777777776</v>
      </c>
      <c r="D766" s="23">
        <v>0.86001157407407403</v>
      </c>
      <c r="E766" s="23">
        <v>0.95986111111111116</v>
      </c>
      <c r="F766" t="s">
        <v>480</v>
      </c>
      <c r="G766" t="s">
        <v>476</v>
      </c>
      <c r="H766">
        <v>13</v>
      </c>
      <c r="I766" s="24">
        <v>9.9895833333333295E-2</v>
      </c>
      <c r="J766">
        <f t="shared" si="24"/>
        <v>0</v>
      </c>
      <c r="K766">
        <f t="shared" si="25"/>
        <v>0</v>
      </c>
    </row>
    <row r="767" spans="1:11" x14ac:dyDescent="0.25">
      <c r="A767">
        <v>26</v>
      </c>
      <c r="B767" t="s">
        <v>23</v>
      </c>
      <c r="C767" s="4">
        <v>0.85996527777777776</v>
      </c>
      <c r="D767" s="23">
        <v>0.86001157407407403</v>
      </c>
      <c r="E767" s="23">
        <v>0.95986111111111116</v>
      </c>
      <c r="F767" t="s">
        <v>475</v>
      </c>
      <c r="G767" t="s">
        <v>476</v>
      </c>
      <c r="H767">
        <v>13</v>
      </c>
      <c r="I767" s="24">
        <v>9.9895833333333295E-2</v>
      </c>
      <c r="J767">
        <f t="shared" si="24"/>
        <v>0</v>
      </c>
      <c r="K767">
        <f t="shared" si="25"/>
        <v>0</v>
      </c>
    </row>
    <row r="768" spans="1:11" x14ac:dyDescent="0.25">
      <c r="A768">
        <v>27</v>
      </c>
      <c r="B768" t="s">
        <v>25</v>
      </c>
      <c r="C768" s="4">
        <v>0.85996527777777776</v>
      </c>
      <c r="D768" s="23">
        <v>0.86001157407407403</v>
      </c>
      <c r="E768" s="23">
        <v>0.95986111111111116</v>
      </c>
      <c r="F768" t="s">
        <v>475</v>
      </c>
      <c r="G768" t="s">
        <v>476</v>
      </c>
      <c r="H768">
        <v>13</v>
      </c>
      <c r="I768" s="24">
        <v>9.9895833333333295E-2</v>
      </c>
      <c r="J768">
        <f t="shared" si="24"/>
        <v>0</v>
      </c>
      <c r="K768">
        <f t="shared" si="25"/>
        <v>0</v>
      </c>
    </row>
    <row r="769" spans="1:11" x14ac:dyDescent="0.25">
      <c r="A769">
        <v>28</v>
      </c>
      <c r="B769" t="s">
        <v>50</v>
      </c>
      <c r="C769" s="4">
        <v>0.85996527777777776</v>
      </c>
      <c r="D769" s="23">
        <v>0.86001157407407403</v>
      </c>
      <c r="E769" s="23">
        <v>0.95986111111111116</v>
      </c>
      <c r="F769" t="s">
        <v>475</v>
      </c>
      <c r="G769" t="s">
        <v>476</v>
      </c>
      <c r="H769">
        <v>13</v>
      </c>
      <c r="I769" s="24">
        <v>9.9895833333333295E-2</v>
      </c>
      <c r="J769">
        <f t="shared" si="24"/>
        <v>0</v>
      </c>
      <c r="K769">
        <f t="shared" si="25"/>
        <v>0</v>
      </c>
    </row>
    <row r="770" spans="1:11" x14ac:dyDescent="0.25">
      <c r="A770">
        <v>29</v>
      </c>
      <c r="B770" t="s">
        <v>62</v>
      </c>
      <c r="C770" s="4">
        <v>0.85996527777777776</v>
      </c>
      <c r="D770" s="23">
        <v>0.86001157407407403</v>
      </c>
      <c r="E770" s="23">
        <v>0.95986111111111116</v>
      </c>
      <c r="F770" t="s">
        <v>475</v>
      </c>
      <c r="G770" t="s">
        <v>476</v>
      </c>
      <c r="H770">
        <v>13</v>
      </c>
      <c r="I770" s="24">
        <v>9.9895833333333295E-2</v>
      </c>
      <c r="J770">
        <f t="shared" si="24"/>
        <v>0</v>
      </c>
      <c r="K770">
        <f t="shared" si="25"/>
        <v>0</v>
      </c>
    </row>
    <row r="771" spans="1:11" x14ac:dyDescent="0.25">
      <c r="A771">
        <v>30</v>
      </c>
      <c r="B771" t="s">
        <v>483</v>
      </c>
      <c r="C771" s="4">
        <v>0.85996527777777776</v>
      </c>
      <c r="D771" s="23">
        <v>0.95758101851851851</v>
      </c>
      <c r="E771" s="23">
        <v>0.95986111111111116</v>
      </c>
      <c r="F771" t="s">
        <v>484</v>
      </c>
      <c r="G771" t="s">
        <v>476</v>
      </c>
      <c r="H771">
        <v>13</v>
      </c>
      <c r="I771" s="24">
        <v>9.9895833333333295E-2</v>
      </c>
      <c r="J771">
        <f t="shared" si="24"/>
        <v>0</v>
      </c>
      <c r="K771">
        <f t="shared" si="25"/>
        <v>0</v>
      </c>
    </row>
    <row r="772" spans="1:11" x14ac:dyDescent="0.25">
      <c r="A772">
        <v>31</v>
      </c>
      <c r="B772" t="s">
        <v>51</v>
      </c>
      <c r="C772" s="4">
        <v>0.85996527777777776</v>
      </c>
      <c r="D772" s="23">
        <v>0.86001157407407403</v>
      </c>
      <c r="E772" s="23">
        <v>0.95986111111111116</v>
      </c>
      <c r="F772" t="s">
        <v>475</v>
      </c>
      <c r="G772" t="s">
        <v>476</v>
      </c>
      <c r="H772">
        <v>13</v>
      </c>
      <c r="I772" s="24">
        <v>9.9895833333333295E-2</v>
      </c>
      <c r="J772">
        <f t="shared" si="24"/>
        <v>0</v>
      </c>
      <c r="K772">
        <f t="shared" si="25"/>
        <v>0</v>
      </c>
    </row>
    <row r="773" spans="1:11" x14ac:dyDescent="0.25">
      <c r="A773">
        <v>32</v>
      </c>
      <c r="B773" t="s">
        <v>83</v>
      </c>
      <c r="C773" s="4">
        <v>0.85996527777777776</v>
      </c>
      <c r="D773" s="23">
        <v>0.86001157407407403</v>
      </c>
      <c r="E773" s="23">
        <v>0.95986111111111116</v>
      </c>
      <c r="F773" t="s">
        <v>475</v>
      </c>
      <c r="G773" t="s">
        <v>476</v>
      </c>
      <c r="H773">
        <v>13</v>
      </c>
      <c r="I773" s="24">
        <v>9.9895833333333295E-2</v>
      </c>
      <c r="J773">
        <f t="shared" si="24"/>
        <v>0</v>
      </c>
      <c r="K773">
        <f t="shared" si="25"/>
        <v>0</v>
      </c>
    </row>
    <row r="774" spans="1:11" x14ac:dyDescent="0.25">
      <c r="A774">
        <v>33</v>
      </c>
      <c r="B774" t="s">
        <v>85</v>
      </c>
      <c r="C774" s="4">
        <v>0.85996527777777776</v>
      </c>
      <c r="D774" s="23">
        <v>0.86001157407407403</v>
      </c>
      <c r="E774" s="23">
        <v>0.95986111111111116</v>
      </c>
      <c r="F774" t="s">
        <v>485</v>
      </c>
      <c r="G774" t="s">
        <v>476</v>
      </c>
      <c r="H774">
        <v>13</v>
      </c>
      <c r="I774" s="24">
        <v>9.9895833333333295E-2</v>
      </c>
      <c r="J774">
        <f t="shared" si="24"/>
        <v>0</v>
      </c>
      <c r="K774">
        <f t="shared" si="25"/>
        <v>0</v>
      </c>
    </row>
    <row r="775" spans="1:11" x14ac:dyDescent="0.25">
      <c r="A775">
        <v>34</v>
      </c>
      <c r="B775" t="s">
        <v>53</v>
      </c>
      <c r="C775" s="4">
        <v>0.85996527777777776</v>
      </c>
      <c r="D775" s="23">
        <v>0.86001157407407403</v>
      </c>
      <c r="E775" s="23">
        <v>0.95986111111111116</v>
      </c>
      <c r="F775" t="s">
        <v>480</v>
      </c>
      <c r="G775" t="s">
        <v>476</v>
      </c>
      <c r="H775">
        <v>13</v>
      </c>
      <c r="I775" s="24">
        <v>9.9895833333333295E-2</v>
      </c>
      <c r="J775">
        <f t="shared" si="24"/>
        <v>0</v>
      </c>
      <c r="K775">
        <f t="shared" si="25"/>
        <v>0</v>
      </c>
    </row>
    <row r="776" spans="1:11" x14ac:dyDescent="0.25">
      <c r="A776">
        <v>35</v>
      </c>
      <c r="B776" t="s">
        <v>470</v>
      </c>
      <c r="C776" s="4">
        <v>0.85996527777777776</v>
      </c>
      <c r="D776" s="23">
        <v>0.86001157407407403</v>
      </c>
      <c r="E776" s="23">
        <v>0.95986111111111116</v>
      </c>
      <c r="F776" t="s">
        <v>475</v>
      </c>
      <c r="G776" t="s">
        <v>476</v>
      </c>
      <c r="H776">
        <v>13</v>
      </c>
      <c r="I776" s="24">
        <v>9.9895833333333295E-2</v>
      </c>
      <c r="J776">
        <f t="shared" si="24"/>
        <v>0</v>
      </c>
      <c r="K776">
        <f t="shared" si="25"/>
        <v>0</v>
      </c>
    </row>
    <row r="777" spans="1:11" x14ac:dyDescent="0.25">
      <c r="A777">
        <v>36</v>
      </c>
      <c r="B777" t="s">
        <v>397</v>
      </c>
      <c r="C777" s="4">
        <v>0.85996527777777776</v>
      </c>
      <c r="D777" s="23">
        <v>0.86001157407407403</v>
      </c>
      <c r="E777" s="23">
        <v>0.95986111111111116</v>
      </c>
      <c r="F777" t="s">
        <v>475</v>
      </c>
      <c r="G777" t="s">
        <v>476</v>
      </c>
      <c r="H777">
        <v>13</v>
      </c>
      <c r="I777" s="24">
        <v>9.9895833333333295E-2</v>
      </c>
      <c r="J777">
        <f t="shared" si="24"/>
        <v>0</v>
      </c>
      <c r="K777">
        <f t="shared" si="25"/>
        <v>0</v>
      </c>
    </row>
    <row r="778" spans="1:11" x14ac:dyDescent="0.25">
      <c r="A778">
        <v>37</v>
      </c>
      <c r="B778" t="s">
        <v>486</v>
      </c>
      <c r="C778" s="4">
        <v>0.85996527777777776</v>
      </c>
      <c r="D778" s="23">
        <v>0.86001157407407403</v>
      </c>
      <c r="E778" s="23">
        <v>0.95986111111111116</v>
      </c>
      <c r="F778" t="s">
        <v>475</v>
      </c>
      <c r="G778" t="s">
        <v>476</v>
      </c>
      <c r="H778">
        <v>13</v>
      </c>
      <c r="I778" s="24">
        <v>9.9895833333333295E-2</v>
      </c>
      <c r="J778">
        <f t="shared" si="24"/>
        <v>0</v>
      </c>
      <c r="K778">
        <f t="shared" si="25"/>
        <v>0</v>
      </c>
    </row>
    <row r="779" spans="1:11" x14ac:dyDescent="0.25">
      <c r="A779">
        <v>38</v>
      </c>
      <c r="B779" t="s">
        <v>89</v>
      </c>
      <c r="C779" s="4">
        <v>0.85996527777777776</v>
      </c>
      <c r="D779" s="23">
        <v>0.86001157407407403</v>
      </c>
      <c r="E779" s="23">
        <v>0.95986111111111116</v>
      </c>
      <c r="F779" t="s">
        <v>480</v>
      </c>
      <c r="G779" t="s">
        <v>476</v>
      </c>
      <c r="H779">
        <v>13</v>
      </c>
      <c r="I779" s="24">
        <v>9.9895833333333295E-2</v>
      </c>
      <c r="J779">
        <f t="shared" si="24"/>
        <v>0</v>
      </c>
      <c r="K779">
        <f t="shared" si="25"/>
        <v>0</v>
      </c>
    </row>
    <row r="780" spans="1:11" x14ac:dyDescent="0.25">
      <c r="A780">
        <v>39</v>
      </c>
      <c r="B780" t="s">
        <v>138</v>
      </c>
      <c r="C780" s="4">
        <v>0.85996527777777776</v>
      </c>
      <c r="D780" s="23">
        <v>0.86001157407407403</v>
      </c>
      <c r="E780" s="23">
        <v>0.95986111111111116</v>
      </c>
      <c r="F780" t="s">
        <v>487</v>
      </c>
      <c r="G780" t="s">
        <v>476</v>
      </c>
      <c r="H780">
        <v>13</v>
      </c>
      <c r="I780" s="24">
        <v>9.9895833333333295E-2</v>
      </c>
      <c r="J780">
        <f t="shared" si="24"/>
        <v>0</v>
      </c>
      <c r="K780">
        <f t="shared" si="25"/>
        <v>0</v>
      </c>
    </row>
    <row r="781" spans="1:11" x14ac:dyDescent="0.25">
      <c r="A781">
        <v>40</v>
      </c>
      <c r="B781" t="s">
        <v>348</v>
      </c>
      <c r="C781" s="4">
        <v>0.85996527777777776</v>
      </c>
      <c r="D781" s="23">
        <v>0.86019675925925931</v>
      </c>
      <c r="E781" s="23">
        <v>0.95986111111111116</v>
      </c>
      <c r="F781" t="s">
        <v>488</v>
      </c>
      <c r="G781" t="s">
        <v>476</v>
      </c>
      <c r="H781">
        <v>13</v>
      </c>
      <c r="I781" s="24">
        <v>9.9895833333333295E-2</v>
      </c>
      <c r="J781">
        <f t="shared" si="24"/>
        <v>0</v>
      </c>
      <c r="K781">
        <f t="shared" si="25"/>
        <v>0</v>
      </c>
    </row>
    <row r="782" spans="1:11" x14ac:dyDescent="0.25">
      <c r="A782">
        <v>1</v>
      </c>
      <c r="B782" t="s">
        <v>29</v>
      </c>
      <c r="C782" s="4">
        <v>0.85922453703703705</v>
      </c>
      <c r="D782" s="23">
        <v>0.9024537037037037</v>
      </c>
      <c r="E782" s="23">
        <v>0.96532407407407406</v>
      </c>
      <c r="F782" t="s">
        <v>489</v>
      </c>
      <c r="G782" t="s">
        <v>490</v>
      </c>
      <c r="H782">
        <v>12</v>
      </c>
      <c r="I782" s="24">
        <v>0.10609953703703701</v>
      </c>
      <c r="J782">
        <f t="shared" si="24"/>
        <v>0</v>
      </c>
      <c r="K782">
        <f t="shared" si="25"/>
        <v>0</v>
      </c>
    </row>
    <row r="783" spans="1:11" x14ac:dyDescent="0.25">
      <c r="A783">
        <v>2</v>
      </c>
      <c r="B783" t="s">
        <v>5</v>
      </c>
      <c r="C783" s="4">
        <v>0.85922453703703705</v>
      </c>
      <c r="D783" s="23">
        <v>0.85927083333333332</v>
      </c>
      <c r="E783" s="23">
        <v>0.96532407407407406</v>
      </c>
      <c r="F783" t="s">
        <v>492</v>
      </c>
      <c r="G783" t="s">
        <v>490</v>
      </c>
      <c r="H783">
        <v>12</v>
      </c>
      <c r="I783" s="24">
        <v>0.10609953703703701</v>
      </c>
      <c r="J783">
        <f t="shared" si="24"/>
        <v>0</v>
      </c>
      <c r="K783">
        <f t="shared" si="25"/>
        <v>0</v>
      </c>
    </row>
    <row r="784" spans="1:11" x14ac:dyDescent="0.25">
      <c r="A784">
        <v>3</v>
      </c>
      <c r="B784" t="s">
        <v>9</v>
      </c>
      <c r="C784" s="4">
        <v>0.85922453703703705</v>
      </c>
      <c r="D784" s="23">
        <v>0.85927083333333332</v>
      </c>
      <c r="E784" s="23">
        <v>0.96532407407407406</v>
      </c>
      <c r="F784" t="s">
        <v>493</v>
      </c>
      <c r="G784" t="s">
        <v>490</v>
      </c>
      <c r="H784">
        <v>12</v>
      </c>
      <c r="I784" s="24">
        <v>0.10609953703703701</v>
      </c>
      <c r="J784">
        <f t="shared" si="24"/>
        <v>0</v>
      </c>
      <c r="K784">
        <f t="shared" si="25"/>
        <v>0</v>
      </c>
    </row>
    <row r="785" spans="1:11" x14ac:dyDescent="0.25">
      <c r="A785">
        <v>4</v>
      </c>
      <c r="B785" t="s">
        <v>11</v>
      </c>
      <c r="C785" s="4">
        <v>0.85922453703703705</v>
      </c>
      <c r="D785" s="23">
        <v>0.85927083333333332</v>
      </c>
      <c r="E785" s="23">
        <v>0.96532407407407406</v>
      </c>
      <c r="F785" t="s">
        <v>494</v>
      </c>
      <c r="G785" t="s">
        <v>490</v>
      </c>
      <c r="H785">
        <v>12</v>
      </c>
      <c r="I785" s="24">
        <v>0.10609953703703701</v>
      </c>
      <c r="J785">
        <f t="shared" si="24"/>
        <v>0</v>
      </c>
      <c r="K785">
        <f t="shared" si="25"/>
        <v>0</v>
      </c>
    </row>
    <row r="786" spans="1:11" x14ac:dyDescent="0.25">
      <c r="A786">
        <v>5</v>
      </c>
      <c r="B786" t="s">
        <v>296</v>
      </c>
      <c r="C786" s="4">
        <v>0.85922453703703705</v>
      </c>
      <c r="D786" s="23">
        <v>0.85927083333333332</v>
      </c>
      <c r="E786" s="23">
        <v>0.96532407407407406</v>
      </c>
      <c r="F786" t="s">
        <v>495</v>
      </c>
      <c r="G786" t="s">
        <v>490</v>
      </c>
      <c r="H786">
        <v>12</v>
      </c>
      <c r="I786" s="24">
        <v>0.10609953703703701</v>
      </c>
      <c r="J786">
        <f t="shared" si="24"/>
        <v>0</v>
      </c>
      <c r="K786">
        <f t="shared" si="25"/>
        <v>0</v>
      </c>
    </row>
    <row r="787" spans="1:11" x14ac:dyDescent="0.25">
      <c r="A787">
        <v>6</v>
      </c>
      <c r="B787" t="s">
        <v>35</v>
      </c>
      <c r="C787" s="4">
        <v>0.85922453703703705</v>
      </c>
      <c r="D787" s="23">
        <v>0.85927083333333332</v>
      </c>
      <c r="E787" s="23">
        <v>0.96532407407407406</v>
      </c>
      <c r="F787" t="s">
        <v>496</v>
      </c>
      <c r="G787" t="s">
        <v>490</v>
      </c>
      <c r="H787">
        <v>12</v>
      </c>
      <c r="I787" s="24">
        <v>0.10609953703703701</v>
      </c>
      <c r="J787">
        <f t="shared" si="24"/>
        <v>0</v>
      </c>
      <c r="K787">
        <f t="shared" si="25"/>
        <v>0</v>
      </c>
    </row>
    <row r="788" spans="1:11" x14ac:dyDescent="0.25">
      <c r="A788">
        <v>7</v>
      </c>
      <c r="B788" t="s">
        <v>70</v>
      </c>
      <c r="C788" s="4">
        <v>0.85922453703703705</v>
      </c>
      <c r="D788" s="23">
        <v>0.85927083333333332</v>
      </c>
      <c r="E788" s="23">
        <v>0.96532407407407406</v>
      </c>
      <c r="F788" t="s">
        <v>495</v>
      </c>
      <c r="G788" t="s">
        <v>490</v>
      </c>
      <c r="H788">
        <v>12</v>
      </c>
      <c r="I788" s="24">
        <v>0.10609953703703701</v>
      </c>
      <c r="J788">
        <f t="shared" si="24"/>
        <v>0</v>
      </c>
      <c r="K788">
        <f t="shared" si="25"/>
        <v>0</v>
      </c>
    </row>
    <row r="789" spans="1:11" x14ac:dyDescent="0.25">
      <c r="A789">
        <v>8</v>
      </c>
      <c r="B789" t="s">
        <v>59</v>
      </c>
      <c r="C789" s="4">
        <v>0.85922453703703705</v>
      </c>
      <c r="D789" s="23">
        <v>0.85927083333333332</v>
      </c>
      <c r="E789" s="23">
        <v>0.96532407407407406</v>
      </c>
      <c r="F789" t="s">
        <v>495</v>
      </c>
      <c r="G789" t="s">
        <v>490</v>
      </c>
      <c r="H789">
        <v>12</v>
      </c>
      <c r="I789" s="24">
        <v>0.10609953703703701</v>
      </c>
      <c r="J789">
        <f t="shared" si="24"/>
        <v>0</v>
      </c>
      <c r="K789">
        <f t="shared" si="25"/>
        <v>0</v>
      </c>
    </row>
    <row r="790" spans="1:11" x14ac:dyDescent="0.25">
      <c r="A790">
        <v>9</v>
      </c>
      <c r="B790" t="s">
        <v>97</v>
      </c>
      <c r="C790" s="4">
        <v>0.85922453703703705</v>
      </c>
      <c r="D790" s="23">
        <v>0.85927083333333332</v>
      </c>
      <c r="E790" s="23">
        <v>0.96532407407407406</v>
      </c>
      <c r="F790" t="s">
        <v>497</v>
      </c>
      <c r="G790" t="s">
        <v>490</v>
      </c>
      <c r="H790">
        <v>12</v>
      </c>
      <c r="I790" s="24">
        <v>0.10609953703703701</v>
      </c>
      <c r="J790">
        <f t="shared" si="24"/>
        <v>0</v>
      </c>
      <c r="K790">
        <f t="shared" si="25"/>
        <v>0</v>
      </c>
    </row>
    <row r="791" spans="1:11" x14ac:dyDescent="0.25">
      <c r="A791">
        <v>10</v>
      </c>
      <c r="B791" t="s">
        <v>181</v>
      </c>
      <c r="C791" s="4">
        <v>0.85922453703703705</v>
      </c>
      <c r="D791" s="23">
        <v>0.85927083333333332</v>
      </c>
      <c r="E791" s="23">
        <v>0.96532407407407406</v>
      </c>
      <c r="F791" t="s">
        <v>495</v>
      </c>
      <c r="G791" t="s">
        <v>490</v>
      </c>
      <c r="H791">
        <v>12</v>
      </c>
      <c r="I791" s="24">
        <v>0.10609953703703701</v>
      </c>
      <c r="J791">
        <f t="shared" si="24"/>
        <v>0</v>
      </c>
      <c r="K791">
        <f t="shared" si="25"/>
        <v>0</v>
      </c>
    </row>
    <row r="792" spans="1:11" x14ac:dyDescent="0.25">
      <c r="A792">
        <v>11</v>
      </c>
      <c r="B792" t="s">
        <v>36</v>
      </c>
      <c r="C792" s="4">
        <v>0.85922453703703705</v>
      </c>
      <c r="D792" s="23">
        <v>0.85927083333333332</v>
      </c>
      <c r="E792" s="23">
        <v>0.96532407407407406</v>
      </c>
      <c r="F792" t="s">
        <v>498</v>
      </c>
      <c r="G792" t="s">
        <v>490</v>
      </c>
      <c r="H792">
        <v>12</v>
      </c>
      <c r="I792" s="24">
        <v>0.10609953703703701</v>
      </c>
      <c r="J792">
        <f t="shared" si="24"/>
        <v>0</v>
      </c>
      <c r="K792">
        <f t="shared" si="25"/>
        <v>0</v>
      </c>
    </row>
    <row r="793" spans="1:11" x14ac:dyDescent="0.25">
      <c r="A793">
        <v>12</v>
      </c>
      <c r="B793" t="s">
        <v>208</v>
      </c>
      <c r="C793" s="4">
        <v>0.85922453703703705</v>
      </c>
      <c r="D793" s="23">
        <v>0.85927083333333332</v>
      </c>
      <c r="E793" s="23">
        <v>0.96532407407407406</v>
      </c>
      <c r="F793" t="s">
        <v>495</v>
      </c>
      <c r="G793" t="s">
        <v>490</v>
      </c>
      <c r="H793">
        <v>12</v>
      </c>
      <c r="I793" s="24">
        <v>0.10609953703703701</v>
      </c>
      <c r="J793">
        <f t="shared" si="24"/>
        <v>0</v>
      </c>
      <c r="K793">
        <f t="shared" si="25"/>
        <v>0</v>
      </c>
    </row>
    <row r="794" spans="1:11" x14ac:dyDescent="0.25">
      <c r="A794">
        <v>13</v>
      </c>
      <c r="B794" t="s">
        <v>16</v>
      </c>
      <c r="C794" s="4">
        <v>0.85922453703703705</v>
      </c>
      <c r="D794" s="23">
        <v>0.85927083333333332</v>
      </c>
      <c r="E794" s="23">
        <v>0.96532407407407406</v>
      </c>
      <c r="F794" t="s">
        <v>499</v>
      </c>
      <c r="G794" t="s">
        <v>490</v>
      </c>
      <c r="H794">
        <v>12</v>
      </c>
      <c r="I794" s="24">
        <v>0.10609953703703701</v>
      </c>
      <c r="J794">
        <f t="shared" si="24"/>
        <v>0</v>
      </c>
      <c r="K794">
        <f t="shared" si="25"/>
        <v>0</v>
      </c>
    </row>
    <row r="795" spans="1:11" x14ac:dyDescent="0.25">
      <c r="A795">
        <v>14</v>
      </c>
      <c r="B795" t="s">
        <v>184</v>
      </c>
      <c r="C795" s="4">
        <v>0.85922453703703705</v>
      </c>
      <c r="D795" s="23">
        <v>0.85927083333333332</v>
      </c>
      <c r="E795" s="23">
        <v>0.96532407407407406</v>
      </c>
      <c r="F795" t="s">
        <v>500</v>
      </c>
      <c r="G795" t="s">
        <v>490</v>
      </c>
      <c r="H795">
        <v>12</v>
      </c>
      <c r="I795" s="24">
        <v>0.10609953703703701</v>
      </c>
      <c r="J795">
        <f t="shared" si="24"/>
        <v>0</v>
      </c>
      <c r="K795">
        <f t="shared" si="25"/>
        <v>0</v>
      </c>
    </row>
    <row r="796" spans="1:11" x14ac:dyDescent="0.25">
      <c r="A796">
        <v>15</v>
      </c>
      <c r="B796" t="s">
        <v>186</v>
      </c>
      <c r="C796" s="4">
        <v>0.85922453703703705</v>
      </c>
      <c r="D796" s="23">
        <v>0.9024537037037037</v>
      </c>
      <c r="E796" s="23">
        <v>0.96532407407407406</v>
      </c>
      <c r="F796" t="s">
        <v>501</v>
      </c>
      <c r="G796" t="s">
        <v>490</v>
      </c>
      <c r="H796">
        <v>12</v>
      </c>
      <c r="I796" s="24">
        <v>0.10609953703703701</v>
      </c>
      <c r="J796">
        <f t="shared" si="24"/>
        <v>0</v>
      </c>
      <c r="K796">
        <f t="shared" si="25"/>
        <v>0</v>
      </c>
    </row>
    <row r="797" spans="1:11" x14ac:dyDescent="0.25">
      <c r="A797">
        <v>16</v>
      </c>
      <c r="B797" t="s">
        <v>409</v>
      </c>
      <c r="C797" s="4">
        <v>0.85922453703703705</v>
      </c>
      <c r="D797" s="23">
        <v>0.9024537037037037</v>
      </c>
      <c r="E797" s="23">
        <v>0.96532407407407406</v>
      </c>
      <c r="F797" t="s">
        <v>502</v>
      </c>
      <c r="G797" t="s">
        <v>490</v>
      </c>
      <c r="H797">
        <v>12</v>
      </c>
      <c r="I797" s="24">
        <v>0.10609953703703701</v>
      </c>
      <c r="J797">
        <f t="shared" si="24"/>
        <v>0</v>
      </c>
      <c r="K797">
        <f t="shared" si="25"/>
        <v>0</v>
      </c>
    </row>
    <row r="798" spans="1:11" x14ac:dyDescent="0.25">
      <c r="A798">
        <v>17</v>
      </c>
      <c r="B798" t="s">
        <v>503</v>
      </c>
      <c r="C798" s="4">
        <v>0.85922453703703705</v>
      </c>
      <c r="D798" s="23">
        <v>0.9024537037037037</v>
      </c>
      <c r="E798" s="23">
        <v>0.96532407407407406</v>
      </c>
      <c r="F798" t="s">
        <v>504</v>
      </c>
      <c r="G798" t="s">
        <v>490</v>
      </c>
      <c r="H798">
        <v>12</v>
      </c>
      <c r="I798" s="24">
        <v>0.10609953703703701</v>
      </c>
      <c r="J798">
        <f t="shared" si="24"/>
        <v>0</v>
      </c>
      <c r="K798">
        <f t="shared" si="25"/>
        <v>0</v>
      </c>
    </row>
    <row r="799" spans="1:11" x14ac:dyDescent="0.25">
      <c r="A799">
        <v>18</v>
      </c>
      <c r="B799" t="s">
        <v>335</v>
      </c>
      <c r="C799" s="4">
        <v>0.85922453703703705</v>
      </c>
      <c r="D799" s="23">
        <v>0.9024537037037037</v>
      </c>
      <c r="E799" s="23">
        <v>0.96532407407407406</v>
      </c>
      <c r="F799" t="s">
        <v>501</v>
      </c>
      <c r="G799" t="s">
        <v>490</v>
      </c>
      <c r="H799">
        <v>12</v>
      </c>
      <c r="I799" s="24">
        <v>0.10609953703703701</v>
      </c>
      <c r="J799">
        <f t="shared" si="24"/>
        <v>0</v>
      </c>
      <c r="K799">
        <f t="shared" si="25"/>
        <v>0</v>
      </c>
    </row>
    <row r="800" spans="1:11" x14ac:dyDescent="0.25">
      <c r="A800">
        <v>19</v>
      </c>
      <c r="B800" t="s">
        <v>18</v>
      </c>
      <c r="C800" s="4">
        <v>0.85922453703703705</v>
      </c>
      <c r="D800" s="23">
        <v>0.85927083333333332</v>
      </c>
      <c r="E800" s="23">
        <v>0.96532407407407406</v>
      </c>
      <c r="F800" t="s">
        <v>505</v>
      </c>
      <c r="G800" t="s">
        <v>490</v>
      </c>
      <c r="H800">
        <v>12</v>
      </c>
      <c r="I800" s="24">
        <v>0.10609953703703701</v>
      </c>
      <c r="J800">
        <f t="shared" si="24"/>
        <v>0</v>
      </c>
      <c r="K800">
        <f t="shared" si="25"/>
        <v>0</v>
      </c>
    </row>
    <row r="801" spans="1:11" x14ac:dyDescent="0.25">
      <c r="A801">
        <v>20</v>
      </c>
      <c r="B801" t="s">
        <v>41</v>
      </c>
      <c r="C801" s="4">
        <v>0.85922453703703705</v>
      </c>
      <c r="D801" s="23">
        <v>0.85927083333333332</v>
      </c>
      <c r="E801" s="23">
        <v>0.96532407407407406</v>
      </c>
      <c r="F801" t="s">
        <v>499</v>
      </c>
      <c r="G801" t="s">
        <v>490</v>
      </c>
      <c r="H801">
        <v>12</v>
      </c>
      <c r="I801" s="24">
        <v>0.10609953703703701</v>
      </c>
      <c r="J801">
        <f t="shared" si="24"/>
        <v>0</v>
      </c>
      <c r="K801">
        <f t="shared" si="25"/>
        <v>0</v>
      </c>
    </row>
    <row r="802" spans="1:11" x14ac:dyDescent="0.25">
      <c r="A802">
        <v>21</v>
      </c>
      <c r="B802" t="s">
        <v>506</v>
      </c>
      <c r="C802" s="4">
        <v>0.85922453703703705</v>
      </c>
      <c r="D802" s="23">
        <v>0.85927083333333332</v>
      </c>
      <c r="E802" s="23">
        <v>0.96532407407407406</v>
      </c>
      <c r="F802" t="s">
        <v>507</v>
      </c>
      <c r="G802" t="s">
        <v>490</v>
      </c>
      <c r="H802">
        <v>12</v>
      </c>
      <c r="I802" s="24">
        <v>0.10609953703703701</v>
      </c>
      <c r="J802">
        <f t="shared" si="24"/>
        <v>0</v>
      </c>
      <c r="K802">
        <f t="shared" si="25"/>
        <v>0</v>
      </c>
    </row>
    <row r="803" spans="1:11" x14ac:dyDescent="0.25">
      <c r="A803">
        <v>22</v>
      </c>
      <c r="B803" t="s">
        <v>118</v>
      </c>
      <c r="C803" s="4">
        <v>0.85922453703703705</v>
      </c>
      <c r="D803" s="23">
        <v>0.85927083333333332</v>
      </c>
      <c r="E803" s="23">
        <v>0.96532407407407406</v>
      </c>
      <c r="F803" t="s">
        <v>508</v>
      </c>
      <c r="G803" t="s">
        <v>490</v>
      </c>
      <c r="H803">
        <v>12</v>
      </c>
      <c r="I803" s="24">
        <v>0.10609953703703701</v>
      </c>
      <c r="J803">
        <f t="shared" si="24"/>
        <v>0</v>
      </c>
      <c r="K803">
        <f t="shared" si="25"/>
        <v>0</v>
      </c>
    </row>
    <row r="804" spans="1:11" x14ac:dyDescent="0.25">
      <c r="A804">
        <v>23</v>
      </c>
      <c r="B804" t="s">
        <v>60</v>
      </c>
      <c r="C804" s="4">
        <v>0.85922453703703705</v>
      </c>
      <c r="D804" s="23">
        <v>0.9024537037037037</v>
      </c>
      <c r="E804" s="23">
        <v>0.96532407407407406</v>
      </c>
      <c r="F804" t="s">
        <v>501</v>
      </c>
      <c r="G804" t="s">
        <v>490</v>
      </c>
      <c r="H804">
        <v>12</v>
      </c>
      <c r="I804" s="24">
        <v>0.10609953703703701</v>
      </c>
      <c r="J804">
        <f t="shared" si="24"/>
        <v>0</v>
      </c>
      <c r="K804">
        <f t="shared" si="25"/>
        <v>0</v>
      </c>
    </row>
    <row r="805" spans="1:11" x14ac:dyDescent="0.25">
      <c r="A805">
        <v>24</v>
      </c>
      <c r="B805" t="s">
        <v>236</v>
      </c>
      <c r="C805" s="4">
        <v>0.85922453703703705</v>
      </c>
      <c r="D805" s="23">
        <v>0.95180555555555557</v>
      </c>
      <c r="E805" s="23">
        <v>0.96532407407407406</v>
      </c>
      <c r="F805" t="s">
        <v>509</v>
      </c>
      <c r="G805" t="s">
        <v>490</v>
      </c>
      <c r="H805">
        <v>12</v>
      </c>
      <c r="I805" s="24">
        <v>0.10609953703703701</v>
      </c>
      <c r="J805">
        <f t="shared" si="24"/>
        <v>0</v>
      </c>
      <c r="K805">
        <f t="shared" si="25"/>
        <v>0</v>
      </c>
    </row>
    <row r="806" spans="1:11" x14ac:dyDescent="0.25">
      <c r="A806">
        <v>25</v>
      </c>
      <c r="B806" t="s">
        <v>20</v>
      </c>
      <c r="C806" s="4">
        <v>0.85922453703703705</v>
      </c>
      <c r="D806" s="23">
        <v>0.85927083333333332</v>
      </c>
      <c r="E806" s="23">
        <v>0.96532407407407406</v>
      </c>
      <c r="F806" t="s">
        <v>510</v>
      </c>
      <c r="G806" t="s">
        <v>490</v>
      </c>
      <c r="H806">
        <v>12</v>
      </c>
      <c r="I806" s="24">
        <v>0.10609953703703701</v>
      </c>
      <c r="J806">
        <f t="shared" si="24"/>
        <v>0</v>
      </c>
      <c r="K806">
        <f t="shared" si="25"/>
        <v>0</v>
      </c>
    </row>
    <row r="807" spans="1:11" x14ac:dyDescent="0.25">
      <c r="A807">
        <v>26</v>
      </c>
      <c r="B807" t="s">
        <v>99</v>
      </c>
      <c r="C807" s="4">
        <v>0.85922453703703705</v>
      </c>
      <c r="D807" s="23">
        <v>0.9024537037037037</v>
      </c>
      <c r="E807" s="23">
        <v>0.96532407407407406</v>
      </c>
      <c r="F807" t="s">
        <v>504</v>
      </c>
      <c r="G807" t="s">
        <v>490</v>
      </c>
      <c r="H807">
        <v>12</v>
      </c>
      <c r="I807" s="24">
        <v>0.10609953703703701</v>
      </c>
      <c r="J807">
        <f t="shared" si="24"/>
        <v>0</v>
      </c>
      <c r="K807">
        <f t="shared" si="25"/>
        <v>0</v>
      </c>
    </row>
    <row r="808" spans="1:11" x14ac:dyDescent="0.25">
      <c r="A808">
        <v>27</v>
      </c>
      <c r="B808" t="s">
        <v>238</v>
      </c>
      <c r="C808" s="4">
        <v>0.85922453703703705</v>
      </c>
      <c r="D808" s="23">
        <v>0.85927083333333332</v>
      </c>
      <c r="E808" s="23">
        <v>0.96532407407407406</v>
      </c>
      <c r="F808" t="s">
        <v>495</v>
      </c>
      <c r="G808" t="s">
        <v>490</v>
      </c>
      <c r="H808">
        <v>12</v>
      </c>
      <c r="I808" s="24">
        <v>0.10609953703703701</v>
      </c>
      <c r="J808">
        <f t="shared" si="24"/>
        <v>0</v>
      </c>
      <c r="K808">
        <f t="shared" si="25"/>
        <v>0</v>
      </c>
    </row>
    <row r="809" spans="1:11" x14ac:dyDescent="0.25">
      <c r="A809">
        <v>28</v>
      </c>
      <c r="B809" t="s">
        <v>22</v>
      </c>
      <c r="C809" s="4">
        <v>0.85922453703703705</v>
      </c>
      <c r="D809" s="23">
        <v>0.85927083333333332</v>
      </c>
      <c r="E809" s="23">
        <v>0.96532407407407406</v>
      </c>
      <c r="F809" t="s">
        <v>499</v>
      </c>
      <c r="G809" t="s">
        <v>490</v>
      </c>
      <c r="H809">
        <v>12</v>
      </c>
      <c r="I809" s="24">
        <v>0.10609953703703701</v>
      </c>
      <c r="J809">
        <f t="shared" si="24"/>
        <v>0</v>
      </c>
      <c r="K809">
        <f t="shared" si="25"/>
        <v>0</v>
      </c>
    </row>
    <row r="810" spans="1:11" x14ac:dyDescent="0.25">
      <c r="A810">
        <v>29</v>
      </c>
      <c r="B810" t="s">
        <v>100</v>
      </c>
      <c r="C810" s="4">
        <v>0.85922453703703705</v>
      </c>
      <c r="D810" s="23">
        <v>0.85927083333333332</v>
      </c>
      <c r="E810" s="23">
        <v>0.96532407407407406</v>
      </c>
      <c r="F810" t="s">
        <v>495</v>
      </c>
      <c r="G810" t="s">
        <v>490</v>
      </c>
      <c r="H810">
        <v>12</v>
      </c>
      <c r="I810" s="24">
        <v>0.10609953703703701</v>
      </c>
      <c r="J810">
        <f t="shared" si="24"/>
        <v>0</v>
      </c>
      <c r="K810">
        <f t="shared" si="25"/>
        <v>0</v>
      </c>
    </row>
    <row r="811" spans="1:11" x14ac:dyDescent="0.25">
      <c r="A811">
        <v>30</v>
      </c>
      <c r="B811" t="s">
        <v>23</v>
      </c>
      <c r="C811" s="4">
        <v>0.85922453703703705</v>
      </c>
      <c r="D811" s="23">
        <v>0.85927083333333332</v>
      </c>
      <c r="E811" s="23">
        <v>0.96532407407407406</v>
      </c>
      <c r="F811" t="s">
        <v>510</v>
      </c>
      <c r="G811" t="s">
        <v>490</v>
      </c>
      <c r="H811">
        <v>12</v>
      </c>
      <c r="I811" s="24">
        <v>0.10609953703703701</v>
      </c>
      <c r="J811">
        <f t="shared" si="24"/>
        <v>0</v>
      </c>
      <c r="K811">
        <f t="shared" si="25"/>
        <v>0</v>
      </c>
    </row>
    <row r="812" spans="1:11" x14ac:dyDescent="0.25">
      <c r="A812">
        <v>31</v>
      </c>
      <c r="B812" t="s">
        <v>511</v>
      </c>
      <c r="C812" s="4">
        <v>0.85922453703703705</v>
      </c>
      <c r="D812" s="23">
        <v>0.85927083333333332</v>
      </c>
      <c r="E812" s="23">
        <v>0.96532407407407406</v>
      </c>
      <c r="F812" t="s">
        <v>512</v>
      </c>
      <c r="G812" t="s">
        <v>490</v>
      </c>
      <c r="H812">
        <v>12</v>
      </c>
      <c r="I812" s="24">
        <v>0.10609953703703701</v>
      </c>
      <c r="J812">
        <f t="shared" si="24"/>
        <v>0</v>
      </c>
      <c r="K812">
        <f t="shared" si="25"/>
        <v>0</v>
      </c>
    </row>
    <row r="813" spans="1:11" x14ac:dyDescent="0.25">
      <c r="A813">
        <v>32</v>
      </c>
      <c r="B813" t="s">
        <v>49</v>
      </c>
      <c r="C813" s="4">
        <v>0.85922453703703705</v>
      </c>
      <c r="D813" s="23">
        <v>0.85927083333333332</v>
      </c>
      <c r="E813" s="23">
        <v>0.96532407407407406</v>
      </c>
      <c r="F813" t="s">
        <v>495</v>
      </c>
      <c r="G813" t="s">
        <v>490</v>
      </c>
      <c r="H813">
        <v>12</v>
      </c>
      <c r="I813" s="24">
        <v>0.10609953703703701</v>
      </c>
      <c r="J813">
        <f t="shared" si="24"/>
        <v>0</v>
      </c>
      <c r="K813">
        <f t="shared" si="25"/>
        <v>0</v>
      </c>
    </row>
    <row r="814" spans="1:11" x14ac:dyDescent="0.25">
      <c r="A814">
        <v>33</v>
      </c>
      <c r="B814" t="s">
        <v>268</v>
      </c>
      <c r="C814" s="4">
        <v>0.85922453703703705</v>
      </c>
      <c r="D814" s="23">
        <v>0.9024537037037037</v>
      </c>
      <c r="E814" s="23">
        <v>0.96532407407407406</v>
      </c>
      <c r="F814" t="s">
        <v>513</v>
      </c>
      <c r="G814" t="s">
        <v>490</v>
      </c>
      <c r="H814">
        <v>12</v>
      </c>
      <c r="I814" s="24">
        <v>0.10609953703703701</v>
      </c>
      <c r="J814">
        <f t="shared" si="24"/>
        <v>0</v>
      </c>
      <c r="K814">
        <f t="shared" si="25"/>
        <v>0</v>
      </c>
    </row>
    <row r="815" spans="1:11" x14ac:dyDescent="0.25">
      <c r="A815">
        <v>34</v>
      </c>
      <c r="B815" t="s">
        <v>25</v>
      </c>
      <c r="C815" s="4">
        <v>0.85922453703703705</v>
      </c>
      <c r="D815" s="23">
        <v>0.85927083333333332</v>
      </c>
      <c r="E815" s="23">
        <v>0.96532407407407406</v>
      </c>
      <c r="F815" t="s">
        <v>514</v>
      </c>
      <c r="G815" t="s">
        <v>490</v>
      </c>
      <c r="H815">
        <v>12</v>
      </c>
      <c r="I815" s="24">
        <v>0.10609953703703701</v>
      </c>
      <c r="J815">
        <f t="shared" si="24"/>
        <v>0</v>
      </c>
      <c r="K815">
        <f t="shared" si="25"/>
        <v>0</v>
      </c>
    </row>
    <row r="816" spans="1:11" x14ac:dyDescent="0.25">
      <c r="A816">
        <v>35</v>
      </c>
      <c r="B816" t="s">
        <v>193</v>
      </c>
      <c r="C816" s="4">
        <v>0.85922453703703705</v>
      </c>
      <c r="D816" s="23">
        <v>0.85927083333333332</v>
      </c>
      <c r="E816" s="23">
        <v>0.96532407407407406</v>
      </c>
      <c r="F816" t="s">
        <v>500</v>
      </c>
      <c r="G816" t="s">
        <v>490</v>
      </c>
      <c r="H816">
        <v>12</v>
      </c>
      <c r="I816" s="24">
        <v>0.10609953703703701</v>
      </c>
      <c r="J816">
        <f t="shared" ref="J816:J878" si="26">IF(AND(H816&gt;=1,H816&lt;=7),1,0)</f>
        <v>0</v>
      </c>
      <c r="K816">
        <f t="shared" ref="K816:K878" si="27">IF(AND(H816&gt;=30,H816&lt;=36),1,0)</f>
        <v>0</v>
      </c>
    </row>
    <row r="817" spans="1:11" x14ac:dyDescent="0.25">
      <c r="A817">
        <v>36</v>
      </c>
      <c r="B817" t="s">
        <v>50</v>
      </c>
      <c r="C817" s="4">
        <v>0.85922453703703705</v>
      </c>
      <c r="D817" s="23">
        <v>0.85927083333333332</v>
      </c>
      <c r="E817" s="23">
        <v>0.96532407407407406</v>
      </c>
      <c r="F817" t="s">
        <v>515</v>
      </c>
      <c r="G817" t="s">
        <v>490</v>
      </c>
      <c r="H817">
        <v>12</v>
      </c>
      <c r="I817" s="24">
        <v>0.10609953703703701</v>
      </c>
      <c r="J817">
        <f t="shared" si="26"/>
        <v>0</v>
      </c>
      <c r="K817">
        <f t="shared" si="27"/>
        <v>0</v>
      </c>
    </row>
    <row r="818" spans="1:11" x14ac:dyDescent="0.25">
      <c r="A818">
        <v>37</v>
      </c>
      <c r="B818" t="s">
        <v>62</v>
      </c>
      <c r="C818" s="4">
        <v>0.85922453703703705</v>
      </c>
      <c r="D818" s="23">
        <v>0.85927083333333332</v>
      </c>
      <c r="E818" s="23">
        <v>0.96532407407407406</v>
      </c>
      <c r="F818" t="s">
        <v>512</v>
      </c>
      <c r="G818" t="s">
        <v>490</v>
      </c>
      <c r="H818">
        <v>12</v>
      </c>
      <c r="I818" s="24">
        <v>0.10609953703703701</v>
      </c>
      <c r="J818">
        <f t="shared" si="26"/>
        <v>0</v>
      </c>
      <c r="K818">
        <f t="shared" si="27"/>
        <v>0</v>
      </c>
    </row>
    <row r="819" spans="1:11" x14ac:dyDescent="0.25">
      <c r="A819">
        <v>38</v>
      </c>
      <c r="B819" t="s">
        <v>516</v>
      </c>
      <c r="C819" s="4">
        <v>0.85922453703703705</v>
      </c>
      <c r="D819" s="23">
        <v>0.85927083333333332</v>
      </c>
      <c r="E819" s="23">
        <v>0.96532407407407406</v>
      </c>
      <c r="F819" t="s">
        <v>500</v>
      </c>
      <c r="G819" t="s">
        <v>490</v>
      </c>
      <c r="H819">
        <v>12</v>
      </c>
      <c r="I819" s="24">
        <v>0.10609953703703701</v>
      </c>
      <c r="J819">
        <f t="shared" si="26"/>
        <v>0</v>
      </c>
      <c r="K819">
        <f t="shared" si="27"/>
        <v>0</v>
      </c>
    </row>
    <row r="820" spans="1:11" x14ac:dyDescent="0.25">
      <c r="A820">
        <v>39</v>
      </c>
      <c r="B820" t="s">
        <v>51</v>
      </c>
      <c r="C820" s="4">
        <v>0.85922453703703705</v>
      </c>
      <c r="D820" s="23">
        <v>0.85927083333333332</v>
      </c>
      <c r="E820" s="23">
        <v>0.96532407407407406</v>
      </c>
      <c r="F820" t="s">
        <v>512</v>
      </c>
      <c r="G820" t="s">
        <v>490</v>
      </c>
      <c r="H820">
        <v>12</v>
      </c>
      <c r="I820" s="24">
        <v>0.10609953703703701</v>
      </c>
      <c r="J820">
        <f t="shared" si="26"/>
        <v>0</v>
      </c>
      <c r="K820">
        <f t="shared" si="27"/>
        <v>0</v>
      </c>
    </row>
    <row r="821" spans="1:11" x14ac:dyDescent="0.25">
      <c r="A821">
        <v>40</v>
      </c>
      <c r="B821" t="s">
        <v>83</v>
      </c>
      <c r="C821" s="4">
        <v>0.85922453703703705</v>
      </c>
      <c r="D821" s="23">
        <v>0.85927083333333332</v>
      </c>
      <c r="E821" s="23">
        <v>0.96532407407407406</v>
      </c>
      <c r="F821" t="s">
        <v>517</v>
      </c>
      <c r="G821" t="s">
        <v>490</v>
      </c>
      <c r="H821">
        <v>12</v>
      </c>
      <c r="I821" s="24">
        <v>0.10609953703703701</v>
      </c>
      <c r="J821">
        <f t="shared" si="26"/>
        <v>0</v>
      </c>
      <c r="K821">
        <f t="shared" si="27"/>
        <v>0</v>
      </c>
    </row>
    <row r="822" spans="1:11" x14ac:dyDescent="0.25">
      <c r="A822">
        <v>41</v>
      </c>
      <c r="B822" t="s">
        <v>85</v>
      </c>
      <c r="C822" s="4">
        <v>0.85922453703703705</v>
      </c>
      <c r="D822" s="23">
        <v>0.9024537037037037</v>
      </c>
      <c r="E822" s="23">
        <v>0.96532407407407406</v>
      </c>
      <c r="F822" t="s">
        <v>501</v>
      </c>
      <c r="G822" t="s">
        <v>490</v>
      </c>
      <c r="H822">
        <v>12</v>
      </c>
      <c r="I822" s="24">
        <v>0.10609953703703701</v>
      </c>
      <c r="J822">
        <f t="shared" si="26"/>
        <v>0</v>
      </c>
      <c r="K822">
        <f t="shared" si="27"/>
        <v>0</v>
      </c>
    </row>
    <row r="823" spans="1:11" x14ac:dyDescent="0.25">
      <c r="A823">
        <v>42</v>
      </c>
      <c r="B823" t="s">
        <v>53</v>
      </c>
      <c r="C823" s="4">
        <v>0.85922453703703705</v>
      </c>
      <c r="D823" s="23">
        <v>0.85927083333333332</v>
      </c>
      <c r="E823" s="23">
        <v>0.96532407407407406</v>
      </c>
      <c r="F823" t="s">
        <v>499</v>
      </c>
      <c r="G823" t="s">
        <v>490</v>
      </c>
      <c r="H823">
        <v>12</v>
      </c>
      <c r="I823" s="24">
        <v>0.10609953703703701</v>
      </c>
      <c r="J823">
        <f t="shared" si="26"/>
        <v>0</v>
      </c>
      <c r="K823">
        <f t="shared" si="27"/>
        <v>0</v>
      </c>
    </row>
    <row r="824" spans="1:11" x14ac:dyDescent="0.25">
      <c r="A824">
        <v>43</v>
      </c>
      <c r="B824" t="s">
        <v>262</v>
      </c>
      <c r="C824" s="4">
        <v>0.85922453703703705</v>
      </c>
      <c r="D824" s="23">
        <v>0.9024537037037037</v>
      </c>
      <c r="E824" s="23">
        <v>0.96532407407407406</v>
      </c>
      <c r="F824" t="s">
        <v>518</v>
      </c>
      <c r="G824" t="s">
        <v>490</v>
      </c>
      <c r="H824">
        <v>12</v>
      </c>
      <c r="I824" s="24">
        <v>0.10609953703703701</v>
      </c>
      <c r="J824">
        <f t="shared" si="26"/>
        <v>0</v>
      </c>
      <c r="K824">
        <f t="shared" si="27"/>
        <v>0</v>
      </c>
    </row>
    <row r="825" spans="1:11" x14ac:dyDescent="0.25">
      <c r="A825">
        <v>44</v>
      </c>
      <c r="B825" t="s">
        <v>470</v>
      </c>
      <c r="C825" s="4">
        <v>0.85922453703703705</v>
      </c>
      <c r="D825" s="23">
        <v>0.9024537037037037</v>
      </c>
      <c r="E825" s="23">
        <v>0.96532407407407406</v>
      </c>
      <c r="F825" t="s">
        <v>519</v>
      </c>
      <c r="G825" t="s">
        <v>490</v>
      </c>
      <c r="H825">
        <v>12</v>
      </c>
      <c r="I825" s="24">
        <v>0.10609953703703701</v>
      </c>
      <c r="J825">
        <f t="shared" si="26"/>
        <v>0</v>
      </c>
      <c r="K825">
        <f t="shared" si="27"/>
        <v>0</v>
      </c>
    </row>
    <row r="826" spans="1:11" x14ac:dyDescent="0.25">
      <c r="A826">
        <v>45</v>
      </c>
      <c r="B826" t="s">
        <v>397</v>
      </c>
      <c r="C826" s="4">
        <v>0.85922453703703705</v>
      </c>
      <c r="D826" s="23">
        <v>0.85927083333333332</v>
      </c>
      <c r="E826" s="23">
        <v>0.96532407407407406</v>
      </c>
      <c r="F826" t="s">
        <v>495</v>
      </c>
      <c r="G826" t="s">
        <v>490</v>
      </c>
      <c r="H826">
        <v>12</v>
      </c>
      <c r="I826" s="24">
        <v>0.10609953703703701</v>
      </c>
      <c r="J826">
        <f t="shared" si="26"/>
        <v>0</v>
      </c>
      <c r="K826">
        <f t="shared" si="27"/>
        <v>0</v>
      </c>
    </row>
    <row r="827" spans="1:11" x14ac:dyDescent="0.25">
      <c r="A827">
        <v>46</v>
      </c>
      <c r="B827" t="s">
        <v>486</v>
      </c>
      <c r="C827" s="4">
        <v>0.85922453703703705</v>
      </c>
      <c r="D827" s="23">
        <v>0.9024537037037037</v>
      </c>
      <c r="E827" s="23">
        <v>0.96532407407407406</v>
      </c>
      <c r="F827" t="s">
        <v>501</v>
      </c>
      <c r="G827" t="s">
        <v>490</v>
      </c>
      <c r="H827">
        <v>12</v>
      </c>
      <c r="I827" s="24">
        <v>0.10609953703703701</v>
      </c>
      <c r="J827">
        <f t="shared" si="26"/>
        <v>0</v>
      </c>
      <c r="K827">
        <f t="shared" si="27"/>
        <v>0</v>
      </c>
    </row>
    <row r="828" spans="1:11" x14ac:dyDescent="0.25">
      <c r="A828">
        <v>47</v>
      </c>
      <c r="B828" t="s">
        <v>89</v>
      </c>
      <c r="C828" s="4">
        <v>0.85922453703703705</v>
      </c>
      <c r="D828" s="23">
        <v>0.85927083333333332</v>
      </c>
      <c r="E828" s="23">
        <v>0.96532407407407406</v>
      </c>
      <c r="F828" t="s">
        <v>499</v>
      </c>
      <c r="G828" t="s">
        <v>490</v>
      </c>
      <c r="H828">
        <v>12</v>
      </c>
      <c r="I828" s="24">
        <v>0.10609953703703701</v>
      </c>
      <c r="J828">
        <f t="shared" si="26"/>
        <v>0</v>
      </c>
      <c r="K828">
        <f t="shared" si="27"/>
        <v>0</v>
      </c>
    </row>
    <row r="829" spans="1:11" x14ac:dyDescent="0.25">
      <c r="A829">
        <v>48</v>
      </c>
      <c r="B829" t="s">
        <v>138</v>
      </c>
      <c r="C829" s="4">
        <v>0.85922453703703705</v>
      </c>
      <c r="D829" s="23">
        <v>0.85927083333333332</v>
      </c>
      <c r="E829" s="23">
        <v>0.96532407407407406</v>
      </c>
      <c r="F829" t="s">
        <v>520</v>
      </c>
      <c r="G829" t="s">
        <v>490</v>
      </c>
      <c r="H829">
        <v>12</v>
      </c>
      <c r="I829" s="24">
        <v>0.10609953703703701</v>
      </c>
      <c r="J829">
        <f t="shared" si="26"/>
        <v>0</v>
      </c>
      <c r="K829">
        <f t="shared" si="27"/>
        <v>0</v>
      </c>
    </row>
    <row r="830" spans="1:11" x14ac:dyDescent="0.25">
      <c r="A830">
        <v>49</v>
      </c>
      <c r="B830" t="s">
        <v>348</v>
      </c>
      <c r="C830" s="4">
        <v>0.85922453703703705</v>
      </c>
      <c r="D830" s="23">
        <v>0.9024537037037037</v>
      </c>
      <c r="E830" s="23">
        <v>0.96532407407407406</v>
      </c>
      <c r="F830" t="s">
        <v>501</v>
      </c>
      <c r="G830" t="s">
        <v>490</v>
      </c>
      <c r="H830">
        <v>12</v>
      </c>
      <c r="I830" s="24">
        <v>0.10609953703703701</v>
      </c>
      <c r="J830">
        <f t="shared" si="26"/>
        <v>0</v>
      </c>
      <c r="K830">
        <f t="shared" si="27"/>
        <v>0</v>
      </c>
    </row>
    <row r="831" spans="1:11" x14ac:dyDescent="0.25">
      <c r="A831">
        <v>50</v>
      </c>
      <c r="B831" t="s">
        <v>321</v>
      </c>
      <c r="C831" s="4">
        <v>0.85922453703703705</v>
      </c>
      <c r="D831" s="23">
        <v>0.9024537037037037</v>
      </c>
      <c r="E831" s="23">
        <v>0.96532407407407406</v>
      </c>
      <c r="F831" t="s">
        <v>501</v>
      </c>
      <c r="G831" t="s">
        <v>490</v>
      </c>
      <c r="H831">
        <v>12</v>
      </c>
      <c r="I831" s="24">
        <v>0.10609953703703701</v>
      </c>
      <c r="J831">
        <f t="shared" si="26"/>
        <v>0</v>
      </c>
      <c r="K831">
        <f t="shared" si="27"/>
        <v>0</v>
      </c>
    </row>
    <row r="832" spans="1:11" x14ac:dyDescent="0.25">
      <c r="A832">
        <v>51</v>
      </c>
      <c r="B832" t="s">
        <v>27</v>
      </c>
      <c r="C832" s="4">
        <v>0.85922453703703705</v>
      </c>
      <c r="D832" s="23">
        <v>0.85927083333333332</v>
      </c>
      <c r="E832" s="23">
        <v>0.96532407407407406</v>
      </c>
      <c r="F832" t="s">
        <v>512</v>
      </c>
      <c r="G832" t="s">
        <v>490</v>
      </c>
      <c r="H832">
        <v>12</v>
      </c>
      <c r="I832" s="24">
        <v>0.10609953703703701</v>
      </c>
      <c r="J832">
        <f t="shared" si="26"/>
        <v>0</v>
      </c>
      <c r="K832">
        <f t="shared" si="27"/>
        <v>0</v>
      </c>
    </row>
    <row r="833" spans="1:11" x14ac:dyDescent="0.25">
      <c r="A833">
        <v>52</v>
      </c>
      <c r="B833" t="s">
        <v>55</v>
      </c>
      <c r="C833" s="4">
        <v>0.85922453703703705</v>
      </c>
      <c r="D833" s="23">
        <v>0.85927083333333332</v>
      </c>
      <c r="E833" s="23">
        <v>0.96532407407407406</v>
      </c>
      <c r="F833" t="s">
        <v>500</v>
      </c>
      <c r="G833" t="s">
        <v>490</v>
      </c>
      <c r="H833">
        <v>12</v>
      </c>
      <c r="I833" s="24">
        <v>0.10609953703703701</v>
      </c>
      <c r="J833">
        <f t="shared" si="26"/>
        <v>0</v>
      </c>
      <c r="K833">
        <f t="shared" si="27"/>
        <v>0</v>
      </c>
    </row>
    <row r="834" spans="1:11" x14ac:dyDescent="0.25">
      <c r="A834">
        <v>1</v>
      </c>
      <c r="B834" t="s">
        <v>5</v>
      </c>
      <c r="C834" s="4">
        <v>0.85949074074074072</v>
      </c>
      <c r="D834" s="23">
        <v>0.85953703703703699</v>
      </c>
      <c r="E834" s="23">
        <v>0.95013888888888887</v>
      </c>
      <c r="F834" t="s">
        <v>521</v>
      </c>
      <c r="G834" t="s">
        <v>522</v>
      </c>
      <c r="H834">
        <v>11</v>
      </c>
      <c r="I834" s="24">
        <v>9.0648148148148255E-2</v>
      </c>
      <c r="J834">
        <f t="shared" si="26"/>
        <v>0</v>
      </c>
      <c r="K834">
        <f t="shared" si="27"/>
        <v>0</v>
      </c>
    </row>
    <row r="835" spans="1:11" x14ac:dyDescent="0.25">
      <c r="A835">
        <v>2</v>
      </c>
      <c r="B835" t="s">
        <v>9</v>
      </c>
      <c r="C835" s="4">
        <v>0.85949074074074072</v>
      </c>
      <c r="D835" s="23">
        <v>0.85953703703703699</v>
      </c>
      <c r="E835" s="23">
        <v>0.95013888888888887</v>
      </c>
      <c r="F835" t="s">
        <v>521</v>
      </c>
      <c r="G835" t="s">
        <v>522</v>
      </c>
      <c r="H835">
        <v>11</v>
      </c>
      <c r="I835" s="24">
        <v>9.0648148148148255E-2</v>
      </c>
      <c r="J835">
        <f t="shared" si="26"/>
        <v>0</v>
      </c>
      <c r="K835">
        <f t="shared" si="27"/>
        <v>0</v>
      </c>
    </row>
    <row r="836" spans="1:11" x14ac:dyDescent="0.25">
      <c r="A836">
        <v>3</v>
      </c>
      <c r="B836" t="s">
        <v>11</v>
      </c>
      <c r="C836" s="4">
        <v>0.85949074074074072</v>
      </c>
      <c r="D836" s="23">
        <v>0.85953703703703699</v>
      </c>
      <c r="E836" s="23">
        <v>0.95013888888888887</v>
      </c>
      <c r="F836" t="s">
        <v>524</v>
      </c>
      <c r="G836" t="s">
        <v>522</v>
      </c>
      <c r="H836">
        <v>11</v>
      </c>
      <c r="I836" s="24">
        <v>9.0648148148148255E-2</v>
      </c>
      <c r="J836">
        <f t="shared" si="26"/>
        <v>0</v>
      </c>
      <c r="K836">
        <f t="shared" si="27"/>
        <v>0</v>
      </c>
    </row>
    <row r="837" spans="1:11" x14ac:dyDescent="0.25">
      <c r="A837">
        <v>4</v>
      </c>
      <c r="B837" t="s">
        <v>296</v>
      </c>
      <c r="C837" s="4">
        <v>0.85949074074074072</v>
      </c>
      <c r="D837" s="23">
        <v>0.85953703703703699</v>
      </c>
      <c r="E837" s="23">
        <v>0.95013888888888887</v>
      </c>
      <c r="F837" t="s">
        <v>525</v>
      </c>
      <c r="G837" t="s">
        <v>522</v>
      </c>
      <c r="H837">
        <v>11</v>
      </c>
      <c r="I837" s="24">
        <v>9.0648148148148255E-2</v>
      </c>
      <c r="J837">
        <f t="shared" si="26"/>
        <v>0</v>
      </c>
      <c r="K837">
        <f t="shared" si="27"/>
        <v>0</v>
      </c>
    </row>
    <row r="838" spans="1:11" x14ac:dyDescent="0.25">
      <c r="A838">
        <v>5</v>
      </c>
      <c r="B838" t="s">
        <v>35</v>
      </c>
      <c r="C838" s="4">
        <v>0.85949074074074072</v>
      </c>
      <c r="D838" s="23">
        <v>0.85953703703703699</v>
      </c>
      <c r="E838" s="23">
        <v>0.95013888888888887</v>
      </c>
      <c r="F838" t="s">
        <v>524</v>
      </c>
      <c r="G838" t="s">
        <v>522</v>
      </c>
      <c r="H838">
        <v>11</v>
      </c>
      <c r="I838" s="24">
        <v>9.0648148148148255E-2</v>
      </c>
      <c r="J838">
        <f t="shared" si="26"/>
        <v>0</v>
      </c>
      <c r="K838">
        <f t="shared" si="27"/>
        <v>0</v>
      </c>
    </row>
    <row r="839" spans="1:11" x14ac:dyDescent="0.25">
      <c r="A839">
        <v>7</v>
      </c>
      <c r="B839" t="s">
        <v>70</v>
      </c>
      <c r="C839" s="4">
        <v>0.85949074074074072</v>
      </c>
      <c r="D839" s="23">
        <v>0.85953703703703699</v>
      </c>
      <c r="E839" s="23">
        <v>0.95013888888888887</v>
      </c>
      <c r="F839" t="s">
        <v>527</v>
      </c>
      <c r="G839" t="s">
        <v>522</v>
      </c>
      <c r="H839">
        <v>11</v>
      </c>
      <c r="I839" s="24">
        <v>9.0648148148148255E-2</v>
      </c>
      <c r="J839">
        <f t="shared" si="26"/>
        <v>0</v>
      </c>
      <c r="K839">
        <f t="shared" si="27"/>
        <v>0</v>
      </c>
    </row>
    <row r="840" spans="1:11" x14ac:dyDescent="0.25">
      <c r="A840">
        <v>8</v>
      </c>
      <c r="B840" t="s">
        <v>59</v>
      </c>
      <c r="C840" s="4">
        <v>0.85949074074074072</v>
      </c>
      <c r="D840" s="23">
        <v>0.85953703703703699</v>
      </c>
      <c r="E840" s="23">
        <v>0.95013888888888887</v>
      </c>
      <c r="F840" t="s">
        <v>528</v>
      </c>
      <c r="G840" t="s">
        <v>522</v>
      </c>
      <c r="H840">
        <v>11</v>
      </c>
      <c r="I840" s="24">
        <v>9.0648148148148255E-2</v>
      </c>
      <c r="J840">
        <f t="shared" si="26"/>
        <v>0</v>
      </c>
      <c r="K840">
        <f t="shared" si="27"/>
        <v>0</v>
      </c>
    </row>
    <row r="841" spans="1:11" x14ac:dyDescent="0.25">
      <c r="A841">
        <v>9</v>
      </c>
      <c r="B841" t="s">
        <v>181</v>
      </c>
      <c r="C841" s="4">
        <v>0.85949074074074072</v>
      </c>
      <c r="D841" s="23">
        <v>0.85953703703703699</v>
      </c>
      <c r="E841" s="23">
        <v>0.95013888888888887</v>
      </c>
      <c r="F841" t="s">
        <v>529</v>
      </c>
      <c r="G841" t="s">
        <v>522</v>
      </c>
      <c r="H841">
        <v>11</v>
      </c>
      <c r="I841" s="24">
        <v>9.0648148148148255E-2</v>
      </c>
      <c r="J841">
        <f t="shared" si="26"/>
        <v>0</v>
      </c>
      <c r="K841">
        <f t="shared" si="27"/>
        <v>0</v>
      </c>
    </row>
    <row r="842" spans="1:11" x14ac:dyDescent="0.25">
      <c r="A842">
        <v>10</v>
      </c>
      <c r="B842" t="s">
        <v>36</v>
      </c>
      <c r="C842" s="4">
        <v>0.85949074074074072</v>
      </c>
      <c r="D842" s="23">
        <v>0.85953703703703699</v>
      </c>
      <c r="E842" s="23">
        <v>0.95013888888888887</v>
      </c>
      <c r="F842" t="s">
        <v>524</v>
      </c>
      <c r="G842" t="s">
        <v>522</v>
      </c>
      <c r="H842">
        <v>11</v>
      </c>
      <c r="I842" s="24">
        <v>9.0648148148148255E-2</v>
      </c>
      <c r="J842">
        <f t="shared" si="26"/>
        <v>0</v>
      </c>
      <c r="K842">
        <f t="shared" si="27"/>
        <v>0</v>
      </c>
    </row>
    <row r="843" spans="1:11" x14ac:dyDescent="0.25">
      <c r="A843">
        <v>11</v>
      </c>
      <c r="B843" t="s">
        <v>530</v>
      </c>
      <c r="C843" s="4">
        <v>0.85949074074074072</v>
      </c>
      <c r="D843" s="23">
        <v>0.85953703703703699</v>
      </c>
      <c r="E843" s="23">
        <v>0.95013888888888887</v>
      </c>
      <c r="F843" t="s">
        <v>531</v>
      </c>
      <c r="G843" t="s">
        <v>522</v>
      </c>
      <c r="H843">
        <v>11</v>
      </c>
      <c r="I843" s="24">
        <v>9.0648148148148255E-2</v>
      </c>
      <c r="J843">
        <f t="shared" si="26"/>
        <v>0</v>
      </c>
      <c r="K843">
        <f t="shared" si="27"/>
        <v>0</v>
      </c>
    </row>
    <row r="844" spans="1:11" x14ac:dyDescent="0.25">
      <c r="A844">
        <v>12</v>
      </c>
      <c r="B844" t="s">
        <v>37</v>
      </c>
      <c r="C844" s="4">
        <v>0.85949074074074072</v>
      </c>
      <c r="D844" s="23">
        <v>0.91423611111111114</v>
      </c>
      <c r="E844" s="23">
        <v>0.95013888888888887</v>
      </c>
      <c r="F844" t="s">
        <v>532</v>
      </c>
      <c r="G844" t="s">
        <v>522</v>
      </c>
      <c r="H844">
        <v>11</v>
      </c>
      <c r="I844" s="24">
        <v>9.0648148148148255E-2</v>
      </c>
      <c r="J844">
        <f t="shared" si="26"/>
        <v>0</v>
      </c>
      <c r="K844">
        <f t="shared" si="27"/>
        <v>0</v>
      </c>
    </row>
    <row r="845" spans="1:11" x14ac:dyDescent="0.25">
      <c r="A845">
        <v>13</v>
      </c>
      <c r="B845" t="s">
        <v>16</v>
      </c>
      <c r="C845" s="4">
        <v>0.85949074074074072</v>
      </c>
      <c r="D845" s="23">
        <v>0.85953703703703699</v>
      </c>
      <c r="E845" s="23">
        <v>0.95013888888888887</v>
      </c>
      <c r="F845" t="s">
        <v>524</v>
      </c>
      <c r="G845" t="s">
        <v>522</v>
      </c>
      <c r="H845">
        <v>11</v>
      </c>
      <c r="I845" s="24">
        <v>9.0648148148148255E-2</v>
      </c>
      <c r="J845">
        <f t="shared" si="26"/>
        <v>0</v>
      </c>
      <c r="K845">
        <f t="shared" si="27"/>
        <v>0</v>
      </c>
    </row>
    <row r="846" spans="1:11" x14ac:dyDescent="0.25">
      <c r="A846">
        <v>14</v>
      </c>
      <c r="B846" t="s">
        <v>184</v>
      </c>
      <c r="C846" s="4">
        <v>0.85949074074074072</v>
      </c>
      <c r="D846" s="23">
        <v>0.87185185185185188</v>
      </c>
      <c r="E846" s="23">
        <v>0.95013888888888887</v>
      </c>
      <c r="F846" t="s">
        <v>533</v>
      </c>
      <c r="G846" t="s">
        <v>522</v>
      </c>
      <c r="H846">
        <v>11</v>
      </c>
      <c r="I846" s="24">
        <v>9.0648148148148255E-2</v>
      </c>
      <c r="J846">
        <f t="shared" si="26"/>
        <v>0</v>
      </c>
      <c r="K846">
        <f t="shared" si="27"/>
        <v>0</v>
      </c>
    </row>
    <row r="847" spans="1:11" x14ac:dyDescent="0.25">
      <c r="A847">
        <v>15</v>
      </c>
      <c r="B847" t="s">
        <v>534</v>
      </c>
      <c r="C847" s="4">
        <v>0.85949074074074072</v>
      </c>
      <c r="D847" s="23">
        <v>0.85953703703703699</v>
      </c>
      <c r="E847" s="23">
        <v>0.95013888888888887</v>
      </c>
      <c r="F847" t="s">
        <v>535</v>
      </c>
      <c r="G847" t="s">
        <v>522</v>
      </c>
      <c r="H847">
        <v>11</v>
      </c>
      <c r="I847" s="24">
        <v>9.0648148148148255E-2</v>
      </c>
      <c r="J847">
        <f t="shared" si="26"/>
        <v>0</v>
      </c>
      <c r="K847">
        <f t="shared" si="27"/>
        <v>0</v>
      </c>
    </row>
    <row r="848" spans="1:11" x14ac:dyDescent="0.25">
      <c r="A848">
        <v>16</v>
      </c>
      <c r="B848" t="s">
        <v>186</v>
      </c>
      <c r="C848" s="4">
        <v>0.85949074074074072</v>
      </c>
      <c r="D848" s="23">
        <v>0.85953703703703699</v>
      </c>
      <c r="E848" s="23">
        <v>0.95013888888888887</v>
      </c>
      <c r="F848" t="s">
        <v>521</v>
      </c>
      <c r="G848" t="s">
        <v>522</v>
      </c>
      <c r="H848">
        <v>11</v>
      </c>
      <c r="I848" s="24">
        <v>9.0648148148148255E-2</v>
      </c>
      <c r="J848">
        <f t="shared" si="26"/>
        <v>0</v>
      </c>
      <c r="K848">
        <f t="shared" si="27"/>
        <v>0</v>
      </c>
    </row>
    <row r="849" spans="1:11" x14ac:dyDescent="0.25">
      <c r="A849">
        <v>17</v>
      </c>
      <c r="B849" t="s">
        <v>409</v>
      </c>
      <c r="C849" s="4">
        <v>0.85949074074074072</v>
      </c>
      <c r="D849" s="23">
        <v>0.87185185185185188</v>
      </c>
      <c r="E849" s="23">
        <v>0.95013888888888887</v>
      </c>
      <c r="F849" t="s">
        <v>536</v>
      </c>
      <c r="G849" t="s">
        <v>522</v>
      </c>
      <c r="H849">
        <v>11</v>
      </c>
      <c r="I849" s="24">
        <v>9.0648148148148255E-2</v>
      </c>
      <c r="J849">
        <f t="shared" si="26"/>
        <v>0</v>
      </c>
      <c r="K849">
        <f t="shared" si="27"/>
        <v>0</v>
      </c>
    </row>
    <row r="850" spans="1:11" x14ac:dyDescent="0.25">
      <c r="A850">
        <v>18</v>
      </c>
      <c r="B850" t="s">
        <v>503</v>
      </c>
      <c r="C850" s="4">
        <v>0.85949074074074072</v>
      </c>
      <c r="D850" s="23">
        <v>0.91423611111111114</v>
      </c>
      <c r="E850" s="23">
        <v>0.95013888888888887</v>
      </c>
      <c r="F850" t="s">
        <v>537</v>
      </c>
      <c r="G850" t="s">
        <v>522</v>
      </c>
      <c r="H850">
        <v>11</v>
      </c>
      <c r="I850" s="24">
        <v>9.0648148148148255E-2</v>
      </c>
      <c r="J850">
        <f t="shared" si="26"/>
        <v>0</v>
      </c>
      <c r="K850">
        <f t="shared" si="27"/>
        <v>0</v>
      </c>
    </row>
    <row r="851" spans="1:11" x14ac:dyDescent="0.25">
      <c r="A851">
        <v>19</v>
      </c>
      <c r="B851" t="s">
        <v>538</v>
      </c>
      <c r="C851" s="4">
        <v>0.85949074074074072</v>
      </c>
      <c r="D851" s="23">
        <v>0.85953703703703699</v>
      </c>
      <c r="E851" s="23">
        <v>0.95013888888888887</v>
      </c>
      <c r="F851" t="s">
        <v>535</v>
      </c>
      <c r="G851" t="s">
        <v>522</v>
      </c>
      <c r="H851">
        <v>11</v>
      </c>
      <c r="I851" s="24">
        <v>9.0648148148148255E-2</v>
      </c>
      <c r="J851">
        <f t="shared" si="26"/>
        <v>0</v>
      </c>
      <c r="K851">
        <f t="shared" si="27"/>
        <v>0</v>
      </c>
    </row>
    <row r="852" spans="1:11" x14ac:dyDescent="0.25">
      <c r="A852">
        <v>20</v>
      </c>
      <c r="B852" t="s">
        <v>18</v>
      </c>
      <c r="C852" s="4">
        <v>0.85949074074074072</v>
      </c>
      <c r="D852" s="23">
        <v>0.85953703703703699</v>
      </c>
      <c r="E852" s="23">
        <v>0.95013888888888887</v>
      </c>
      <c r="F852" t="s">
        <v>524</v>
      </c>
      <c r="G852" t="s">
        <v>522</v>
      </c>
      <c r="H852">
        <v>11</v>
      </c>
      <c r="I852" s="24">
        <v>9.0648148148148255E-2</v>
      </c>
      <c r="J852">
        <f t="shared" si="26"/>
        <v>0</v>
      </c>
      <c r="K852">
        <f t="shared" si="27"/>
        <v>0</v>
      </c>
    </row>
    <row r="853" spans="1:11" x14ac:dyDescent="0.25">
      <c r="A853">
        <v>21</v>
      </c>
      <c r="B853" t="s">
        <v>41</v>
      </c>
      <c r="C853" s="4">
        <v>0.85949074074074072</v>
      </c>
      <c r="D853" s="23">
        <v>0.87185185185185188</v>
      </c>
      <c r="E853" s="23">
        <v>0.95013888888888887</v>
      </c>
      <c r="F853" t="s">
        <v>536</v>
      </c>
      <c r="G853" t="s">
        <v>522</v>
      </c>
      <c r="H853">
        <v>11</v>
      </c>
      <c r="I853" s="24">
        <v>9.0648148148148255E-2</v>
      </c>
      <c r="J853">
        <f t="shared" si="26"/>
        <v>0</v>
      </c>
      <c r="K853">
        <f t="shared" si="27"/>
        <v>0</v>
      </c>
    </row>
    <row r="854" spans="1:11" x14ac:dyDescent="0.25">
      <c r="A854">
        <v>22</v>
      </c>
      <c r="B854" t="s">
        <v>118</v>
      </c>
      <c r="C854" s="4">
        <v>0.85949074074074072</v>
      </c>
      <c r="D854" s="23">
        <v>0.85953703703703699</v>
      </c>
      <c r="E854" s="23">
        <v>0.95013888888888887</v>
      </c>
      <c r="F854" t="s">
        <v>535</v>
      </c>
      <c r="G854" t="s">
        <v>522</v>
      </c>
      <c r="H854">
        <v>11</v>
      </c>
      <c r="I854" s="24">
        <v>9.0648148148148255E-2</v>
      </c>
      <c r="J854">
        <f t="shared" si="26"/>
        <v>0</v>
      </c>
      <c r="K854">
        <f t="shared" si="27"/>
        <v>0</v>
      </c>
    </row>
    <row r="855" spans="1:11" x14ac:dyDescent="0.25">
      <c r="A855">
        <v>23</v>
      </c>
      <c r="B855" t="s">
        <v>383</v>
      </c>
      <c r="C855" s="4">
        <v>0.85949074074074072</v>
      </c>
      <c r="D855" s="23">
        <v>0.85953703703703699</v>
      </c>
      <c r="E855" s="23">
        <v>0.95013888888888887</v>
      </c>
      <c r="F855" t="s">
        <v>524</v>
      </c>
      <c r="G855" t="s">
        <v>522</v>
      </c>
      <c r="H855">
        <v>11</v>
      </c>
      <c r="I855" s="24">
        <v>9.0648148148148255E-2</v>
      </c>
      <c r="J855">
        <f t="shared" si="26"/>
        <v>0</v>
      </c>
      <c r="K855">
        <f t="shared" si="27"/>
        <v>0</v>
      </c>
    </row>
    <row r="856" spans="1:11" x14ac:dyDescent="0.25">
      <c r="A856">
        <v>24</v>
      </c>
      <c r="B856" t="s">
        <v>20</v>
      </c>
      <c r="C856" s="4">
        <v>0.85949074074074072</v>
      </c>
      <c r="D856" s="23">
        <v>0.87185185185185188</v>
      </c>
      <c r="E856" s="23">
        <v>0.95013888888888887</v>
      </c>
      <c r="F856" t="s">
        <v>539</v>
      </c>
      <c r="G856" t="s">
        <v>522</v>
      </c>
      <c r="H856">
        <v>11</v>
      </c>
      <c r="I856" s="24">
        <v>9.0648148148148255E-2</v>
      </c>
      <c r="J856">
        <f t="shared" si="26"/>
        <v>0</v>
      </c>
      <c r="K856">
        <f t="shared" si="27"/>
        <v>0</v>
      </c>
    </row>
    <row r="857" spans="1:11" x14ac:dyDescent="0.25">
      <c r="A857">
        <v>25</v>
      </c>
      <c r="B857" t="s">
        <v>540</v>
      </c>
      <c r="C857" s="4">
        <v>0.85949074074074072</v>
      </c>
      <c r="D857" s="23">
        <v>0.85953703703703699</v>
      </c>
      <c r="E857" s="23">
        <v>0.95013888888888887</v>
      </c>
      <c r="F857" t="s">
        <v>541</v>
      </c>
      <c r="G857" t="s">
        <v>522</v>
      </c>
      <c r="H857">
        <v>11</v>
      </c>
      <c r="I857" s="24">
        <v>9.0648148148148255E-2</v>
      </c>
      <c r="J857">
        <f t="shared" si="26"/>
        <v>0</v>
      </c>
      <c r="K857">
        <f t="shared" si="27"/>
        <v>0</v>
      </c>
    </row>
    <row r="858" spans="1:11" x14ac:dyDescent="0.25">
      <c r="A858">
        <v>26</v>
      </c>
      <c r="B858" t="s">
        <v>156</v>
      </c>
      <c r="C858" s="4">
        <v>0.85949074074074072</v>
      </c>
      <c r="D858" s="23">
        <v>0.85953703703703699</v>
      </c>
      <c r="E858" s="23">
        <v>0.95013888888888887</v>
      </c>
      <c r="F858" t="s">
        <v>527</v>
      </c>
      <c r="G858" t="s">
        <v>522</v>
      </c>
      <c r="H858">
        <v>11</v>
      </c>
      <c r="I858" s="24">
        <v>9.0648148148148255E-2</v>
      </c>
      <c r="J858">
        <f t="shared" si="26"/>
        <v>0</v>
      </c>
      <c r="K858">
        <f t="shared" si="27"/>
        <v>0</v>
      </c>
    </row>
    <row r="859" spans="1:11" x14ac:dyDescent="0.25">
      <c r="A859">
        <v>27</v>
      </c>
      <c r="B859" t="s">
        <v>384</v>
      </c>
      <c r="C859" s="4">
        <v>0.85949074074074072</v>
      </c>
      <c r="D859" s="23">
        <v>0.87185185185185188</v>
      </c>
      <c r="E859" s="23">
        <v>0.95013888888888887</v>
      </c>
      <c r="F859" t="s">
        <v>536</v>
      </c>
      <c r="G859" t="s">
        <v>522</v>
      </c>
      <c r="H859">
        <v>11</v>
      </c>
      <c r="I859" s="24">
        <v>9.0648148148148255E-2</v>
      </c>
      <c r="J859">
        <f t="shared" si="26"/>
        <v>0</v>
      </c>
      <c r="K859">
        <f t="shared" si="27"/>
        <v>0</v>
      </c>
    </row>
    <row r="860" spans="1:11" x14ac:dyDescent="0.25">
      <c r="A860">
        <v>28</v>
      </c>
      <c r="B860" t="s">
        <v>238</v>
      </c>
      <c r="C860" s="4">
        <v>0.85949074074074072</v>
      </c>
      <c r="D860" s="23">
        <v>0.85953703703703699</v>
      </c>
      <c r="E860" s="23">
        <v>0.95013888888888887</v>
      </c>
      <c r="F860" t="s">
        <v>521</v>
      </c>
      <c r="G860" t="s">
        <v>522</v>
      </c>
      <c r="H860">
        <v>11</v>
      </c>
      <c r="I860" s="24">
        <v>9.0648148148148255E-2</v>
      </c>
      <c r="J860">
        <f t="shared" si="26"/>
        <v>0</v>
      </c>
      <c r="K860">
        <f t="shared" si="27"/>
        <v>0</v>
      </c>
    </row>
    <row r="861" spans="1:11" x14ac:dyDescent="0.25">
      <c r="A861">
        <v>29</v>
      </c>
      <c r="B861" t="s">
        <v>22</v>
      </c>
      <c r="C861" s="4">
        <v>0.85949074074074072</v>
      </c>
      <c r="D861" s="23">
        <v>0.85953703703703699</v>
      </c>
      <c r="E861" s="23">
        <v>0.95013888888888887</v>
      </c>
      <c r="F861" t="s">
        <v>524</v>
      </c>
      <c r="G861" t="s">
        <v>522</v>
      </c>
      <c r="H861">
        <v>11</v>
      </c>
      <c r="I861" s="24">
        <v>9.0648148148148255E-2</v>
      </c>
      <c r="J861">
        <f t="shared" si="26"/>
        <v>0</v>
      </c>
      <c r="K861">
        <f t="shared" si="27"/>
        <v>0</v>
      </c>
    </row>
    <row r="862" spans="1:11" x14ac:dyDescent="0.25">
      <c r="A862">
        <v>30</v>
      </c>
      <c r="B862" t="s">
        <v>61</v>
      </c>
      <c r="C862" s="4">
        <v>0.85949074074074072</v>
      </c>
      <c r="D862" s="23">
        <v>0.87185185185185188</v>
      </c>
      <c r="E862" s="23">
        <v>0.95013888888888887</v>
      </c>
      <c r="F862" t="s">
        <v>542</v>
      </c>
      <c r="G862" t="s">
        <v>522</v>
      </c>
      <c r="H862">
        <v>11</v>
      </c>
      <c r="I862" s="24">
        <v>9.0648148148148255E-2</v>
      </c>
      <c r="J862">
        <f t="shared" si="26"/>
        <v>0</v>
      </c>
      <c r="K862">
        <f t="shared" si="27"/>
        <v>0</v>
      </c>
    </row>
    <row r="863" spans="1:11" x14ac:dyDescent="0.25">
      <c r="A863">
        <v>31</v>
      </c>
      <c r="B863" t="s">
        <v>46</v>
      </c>
      <c r="C863" s="4">
        <v>0.85949074074074072</v>
      </c>
      <c r="D863" s="23">
        <v>0.85987268518518523</v>
      </c>
      <c r="E863" s="23">
        <v>0.95013888888888887</v>
      </c>
      <c r="F863" t="s">
        <v>543</v>
      </c>
      <c r="G863" t="s">
        <v>522</v>
      </c>
      <c r="H863">
        <v>11</v>
      </c>
      <c r="I863" s="24">
        <v>9.0648148148148255E-2</v>
      </c>
      <c r="J863">
        <f t="shared" si="26"/>
        <v>0</v>
      </c>
      <c r="K863">
        <f t="shared" si="27"/>
        <v>0</v>
      </c>
    </row>
    <row r="864" spans="1:11" x14ac:dyDescent="0.25">
      <c r="A864">
        <v>32</v>
      </c>
      <c r="B864" t="s">
        <v>100</v>
      </c>
      <c r="C864" s="4">
        <v>0.85949074074074072</v>
      </c>
      <c r="D864" s="23">
        <v>0.85953703703703699</v>
      </c>
      <c r="E864" s="23">
        <v>0.95013888888888887</v>
      </c>
      <c r="F864" t="s">
        <v>544</v>
      </c>
      <c r="G864" t="s">
        <v>522</v>
      </c>
      <c r="H864">
        <v>11</v>
      </c>
      <c r="I864" s="24">
        <v>9.0648148148148255E-2</v>
      </c>
      <c r="J864">
        <f t="shared" si="26"/>
        <v>0</v>
      </c>
      <c r="K864">
        <f t="shared" si="27"/>
        <v>0</v>
      </c>
    </row>
    <row r="865" spans="1:11" x14ac:dyDescent="0.25">
      <c r="A865">
        <v>33</v>
      </c>
      <c r="B865" t="s">
        <v>23</v>
      </c>
      <c r="C865" s="4">
        <v>0.85949074074074072</v>
      </c>
      <c r="D865" s="23">
        <v>0.91423611111111114</v>
      </c>
      <c r="E865" s="23">
        <v>0.95013888888888887</v>
      </c>
      <c r="F865" t="s">
        <v>545</v>
      </c>
      <c r="G865" t="s">
        <v>522</v>
      </c>
      <c r="H865">
        <v>11</v>
      </c>
      <c r="I865" s="24">
        <v>9.0648148148148255E-2</v>
      </c>
      <c r="J865">
        <f t="shared" si="26"/>
        <v>0</v>
      </c>
      <c r="K865">
        <f t="shared" si="27"/>
        <v>0</v>
      </c>
    </row>
    <row r="866" spans="1:11" x14ac:dyDescent="0.25">
      <c r="A866">
        <v>34</v>
      </c>
      <c r="B866" t="s">
        <v>511</v>
      </c>
      <c r="C866" s="4">
        <v>0.85949074074074072</v>
      </c>
      <c r="D866" s="23">
        <v>0.85953703703703699</v>
      </c>
      <c r="E866" s="23">
        <v>0.95013888888888887</v>
      </c>
      <c r="F866" t="s">
        <v>535</v>
      </c>
      <c r="G866" t="s">
        <v>522</v>
      </c>
      <c r="H866">
        <v>11</v>
      </c>
      <c r="I866" s="24">
        <v>9.0648148148148255E-2</v>
      </c>
      <c r="J866">
        <f t="shared" si="26"/>
        <v>0</v>
      </c>
      <c r="K866">
        <f t="shared" si="27"/>
        <v>0</v>
      </c>
    </row>
    <row r="867" spans="1:11" x14ac:dyDescent="0.25">
      <c r="A867">
        <v>35</v>
      </c>
      <c r="B867" t="s">
        <v>268</v>
      </c>
      <c r="C867" s="4">
        <v>0.85949074074074072</v>
      </c>
      <c r="D867" s="23">
        <v>0.85953703703703699</v>
      </c>
      <c r="E867" s="23">
        <v>0.95013888888888887</v>
      </c>
      <c r="F867" t="s">
        <v>535</v>
      </c>
      <c r="G867" t="s">
        <v>522</v>
      </c>
      <c r="H867">
        <v>11</v>
      </c>
      <c r="I867" s="24">
        <v>9.0648148148148255E-2</v>
      </c>
      <c r="J867">
        <f t="shared" si="26"/>
        <v>0</v>
      </c>
      <c r="K867">
        <f t="shared" si="27"/>
        <v>0</v>
      </c>
    </row>
    <row r="868" spans="1:11" x14ac:dyDescent="0.25">
      <c r="A868">
        <v>36</v>
      </c>
      <c r="B868" t="s">
        <v>25</v>
      </c>
      <c r="C868" s="4">
        <v>0.85949074074074072</v>
      </c>
      <c r="D868" s="23">
        <v>0.85953703703703699</v>
      </c>
      <c r="E868" s="23">
        <v>0.95013888888888887</v>
      </c>
      <c r="F868" t="s">
        <v>524</v>
      </c>
      <c r="G868" t="s">
        <v>522</v>
      </c>
      <c r="H868">
        <v>11</v>
      </c>
      <c r="I868" s="24">
        <v>9.0648148148148255E-2</v>
      </c>
      <c r="J868">
        <f t="shared" si="26"/>
        <v>0</v>
      </c>
      <c r="K868">
        <f t="shared" si="27"/>
        <v>0</v>
      </c>
    </row>
    <row r="869" spans="1:11" x14ac:dyDescent="0.25">
      <c r="A869">
        <v>37</v>
      </c>
      <c r="B869" t="s">
        <v>546</v>
      </c>
      <c r="C869" s="4">
        <v>0.85949074074074072</v>
      </c>
      <c r="D869" s="23">
        <v>0.87185185185185188</v>
      </c>
      <c r="E869" s="23">
        <v>0.95013888888888887</v>
      </c>
      <c r="F869" t="s">
        <v>542</v>
      </c>
      <c r="G869" t="s">
        <v>522</v>
      </c>
      <c r="H869">
        <v>11</v>
      </c>
      <c r="I869" s="24">
        <v>9.0648148148148255E-2</v>
      </c>
      <c r="J869">
        <f t="shared" si="26"/>
        <v>0</v>
      </c>
      <c r="K869">
        <f t="shared" si="27"/>
        <v>0</v>
      </c>
    </row>
    <row r="870" spans="1:11" x14ac:dyDescent="0.25">
      <c r="A870">
        <v>38</v>
      </c>
      <c r="B870" t="s">
        <v>193</v>
      </c>
      <c r="C870" s="4">
        <v>0.85949074074074072</v>
      </c>
      <c r="D870" s="23">
        <v>0.85953703703703699</v>
      </c>
      <c r="E870" s="23">
        <v>0.95013888888888887</v>
      </c>
      <c r="F870" t="s">
        <v>547</v>
      </c>
      <c r="G870" t="s">
        <v>522</v>
      </c>
      <c r="H870">
        <v>11</v>
      </c>
      <c r="I870" s="24">
        <v>9.0648148148148255E-2</v>
      </c>
      <c r="J870">
        <f t="shared" si="26"/>
        <v>0</v>
      </c>
      <c r="K870">
        <f t="shared" si="27"/>
        <v>0</v>
      </c>
    </row>
    <row r="871" spans="1:11" x14ac:dyDescent="0.25">
      <c r="A871">
        <v>39</v>
      </c>
      <c r="B871" t="s">
        <v>50</v>
      </c>
      <c r="C871" s="4">
        <v>0.85949074074074072</v>
      </c>
      <c r="D871" s="23">
        <v>0.85953703703703699</v>
      </c>
      <c r="E871" s="23">
        <v>0.95013888888888887</v>
      </c>
      <c r="F871" t="s">
        <v>541</v>
      </c>
      <c r="G871" t="s">
        <v>522</v>
      </c>
      <c r="H871">
        <v>11</v>
      </c>
      <c r="I871" s="24">
        <v>9.0648148148148255E-2</v>
      </c>
      <c r="J871">
        <f t="shared" si="26"/>
        <v>0</v>
      </c>
      <c r="K871">
        <f t="shared" si="27"/>
        <v>0</v>
      </c>
    </row>
    <row r="872" spans="1:11" x14ac:dyDescent="0.25">
      <c r="A872">
        <v>40</v>
      </c>
      <c r="B872" t="s">
        <v>62</v>
      </c>
      <c r="C872" s="4">
        <v>0.85949074074074072</v>
      </c>
      <c r="D872" s="23">
        <v>0.85953703703703699</v>
      </c>
      <c r="E872" s="23">
        <v>0.95013888888888887</v>
      </c>
      <c r="F872" t="s">
        <v>524</v>
      </c>
      <c r="G872" t="s">
        <v>522</v>
      </c>
      <c r="H872">
        <v>11</v>
      </c>
      <c r="I872" s="24">
        <v>9.0648148148148255E-2</v>
      </c>
      <c r="J872">
        <f t="shared" si="26"/>
        <v>0</v>
      </c>
      <c r="K872">
        <f t="shared" si="27"/>
        <v>0</v>
      </c>
    </row>
    <row r="873" spans="1:11" x14ac:dyDescent="0.25">
      <c r="A873">
        <v>41</v>
      </c>
      <c r="B873" t="s">
        <v>51</v>
      </c>
      <c r="C873" s="4">
        <v>0.85949074074074072</v>
      </c>
      <c r="D873" s="23">
        <v>0.85953703703703699</v>
      </c>
      <c r="E873" s="23">
        <v>0.95013888888888887</v>
      </c>
      <c r="F873" t="s">
        <v>548</v>
      </c>
      <c r="G873" t="s">
        <v>522</v>
      </c>
      <c r="H873">
        <v>11</v>
      </c>
      <c r="I873" s="24">
        <v>9.0648148148148255E-2</v>
      </c>
      <c r="J873">
        <f t="shared" si="26"/>
        <v>0</v>
      </c>
      <c r="K873">
        <f t="shared" si="27"/>
        <v>0</v>
      </c>
    </row>
    <row r="874" spans="1:11" x14ac:dyDescent="0.25">
      <c r="A874">
        <v>42</v>
      </c>
      <c r="B874" t="s">
        <v>83</v>
      </c>
      <c r="C874" s="4">
        <v>0.85949074074074072</v>
      </c>
      <c r="D874" s="23">
        <v>0.85953703703703699</v>
      </c>
      <c r="E874" s="23">
        <v>0.95013888888888887</v>
      </c>
      <c r="F874" t="s">
        <v>521</v>
      </c>
      <c r="G874" t="s">
        <v>522</v>
      </c>
      <c r="H874">
        <v>11</v>
      </c>
      <c r="I874" s="24">
        <v>9.0648148148148255E-2</v>
      </c>
      <c r="J874">
        <f t="shared" si="26"/>
        <v>0</v>
      </c>
      <c r="K874">
        <f t="shared" si="27"/>
        <v>0</v>
      </c>
    </row>
    <row r="875" spans="1:11" x14ac:dyDescent="0.25">
      <c r="A875">
        <v>43</v>
      </c>
      <c r="B875" t="s">
        <v>549</v>
      </c>
      <c r="C875" s="4">
        <v>0.85949074074074072</v>
      </c>
      <c r="D875" s="23">
        <v>0.85953703703703699</v>
      </c>
      <c r="E875" s="23">
        <v>0.95013888888888887</v>
      </c>
      <c r="F875" t="s">
        <v>521</v>
      </c>
      <c r="G875" t="s">
        <v>522</v>
      </c>
      <c r="H875">
        <v>11</v>
      </c>
      <c r="I875" s="24">
        <v>9.0648148148148255E-2</v>
      </c>
      <c r="J875">
        <f t="shared" si="26"/>
        <v>0</v>
      </c>
      <c r="K875">
        <f t="shared" si="27"/>
        <v>0</v>
      </c>
    </row>
    <row r="876" spans="1:11" x14ac:dyDescent="0.25">
      <c r="A876">
        <v>44</v>
      </c>
      <c r="B876" t="s">
        <v>53</v>
      </c>
      <c r="C876" s="4">
        <v>0.85949074074074072</v>
      </c>
      <c r="D876" s="23">
        <v>0.87185185185185188</v>
      </c>
      <c r="E876" s="23">
        <v>0.95013888888888887</v>
      </c>
      <c r="F876" t="s">
        <v>550</v>
      </c>
      <c r="G876" t="s">
        <v>522</v>
      </c>
      <c r="H876">
        <v>11</v>
      </c>
      <c r="I876" s="24">
        <v>9.0648148148148255E-2</v>
      </c>
      <c r="J876">
        <f t="shared" si="26"/>
        <v>0</v>
      </c>
      <c r="K876">
        <f t="shared" si="27"/>
        <v>0</v>
      </c>
    </row>
    <row r="877" spans="1:11" x14ac:dyDescent="0.25">
      <c r="A877">
        <v>45</v>
      </c>
      <c r="B877" t="s">
        <v>54</v>
      </c>
      <c r="C877" s="4">
        <v>0.85949074074074072</v>
      </c>
      <c r="D877" s="23">
        <v>0.85953703703703699</v>
      </c>
      <c r="E877" s="23">
        <v>0.95013888888888887</v>
      </c>
      <c r="F877" t="s">
        <v>527</v>
      </c>
      <c r="G877" t="s">
        <v>522</v>
      </c>
      <c r="H877">
        <v>11</v>
      </c>
      <c r="I877" s="24">
        <v>9.0648148148148255E-2</v>
      </c>
      <c r="J877">
        <f t="shared" si="26"/>
        <v>0</v>
      </c>
      <c r="K877">
        <f t="shared" si="27"/>
        <v>0</v>
      </c>
    </row>
    <row r="878" spans="1:11" x14ac:dyDescent="0.25">
      <c r="A878">
        <v>46</v>
      </c>
      <c r="B878" t="s">
        <v>470</v>
      </c>
      <c r="C878" s="4">
        <v>0.85949074074074072</v>
      </c>
      <c r="D878" s="23">
        <v>0.85953703703703699</v>
      </c>
      <c r="E878" s="23">
        <v>0.95013888888888887</v>
      </c>
      <c r="F878" t="s">
        <v>524</v>
      </c>
      <c r="G878" t="s">
        <v>522</v>
      </c>
      <c r="H878">
        <v>11</v>
      </c>
      <c r="I878" s="24">
        <v>9.0648148148148255E-2</v>
      </c>
      <c r="J878">
        <f t="shared" si="26"/>
        <v>0</v>
      </c>
      <c r="K878">
        <f t="shared" si="27"/>
        <v>0</v>
      </c>
    </row>
    <row r="879" spans="1:11" x14ac:dyDescent="0.25">
      <c r="A879">
        <v>47</v>
      </c>
      <c r="B879" t="s">
        <v>397</v>
      </c>
      <c r="C879" s="4">
        <v>0.85949074074074072</v>
      </c>
      <c r="D879" s="23">
        <v>0.85953703703703699</v>
      </c>
      <c r="E879" s="23">
        <v>0.95013888888888887</v>
      </c>
      <c r="F879" t="s">
        <v>551</v>
      </c>
      <c r="G879" t="s">
        <v>522</v>
      </c>
      <c r="H879">
        <v>11</v>
      </c>
      <c r="I879" s="24">
        <v>9.0648148148148255E-2</v>
      </c>
      <c r="J879">
        <f t="shared" ref="J879:J941" si="28">IF(AND(H879&gt;=1,H879&lt;=7),1,0)</f>
        <v>0</v>
      </c>
      <c r="K879">
        <f t="shared" ref="K879:K941" si="29">IF(AND(H879&gt;=30,H879&lt;=36),1,0)</f>
        <v>0</v>
      </c>
    </row>
    <row r="880" spans="1:11" x14ac:dyDescent="0.25">
      <c r="A880">
        <v>48</v>
      </c>
      <c r="B880" t="s">
        <v>89</v>
      </c>
      <c r="C880" s="4">
        <v>0.85949074074074072</v>
      </c>
      <c r="D880" s="23">
        <v>0.87185185185185188</v>
      </c>
      <c r="E880" s="23">
        <v>0.95013888888888887</v>
      </c>
      <c r="F880" t="s">
        <v>526</v>
      </c>
      <c r="G880" t="s">
        <v>522</v>
      </c>
      <c r="H880">
        <v>11</v>
      </c>
      <c r="I880" s="24">
        <v>9.0648148148148255E-2</v>
      </c>
      <c r="J880">
        <f t="shared" si="28"/>
        <v>0</v>
      </c>
      <c r="K880">
        <f t="shared" si="29"/>
        <v>0</v>
      </c>
    </row>
    <row r="881" spans="1:11" x14ac:dyDescent="0.25">
      <c r="A881">
        <v>49</v>
      </c>
      <c r="B881" t="s">
        <v>321</v>
      </c>
      <c r="C881" s="4">
        <v>0.85949074074074072</v>
      </c>
      <c r="D881" s="23">
        <v>0.85953703703703699</v>
      </c>
      <c r="E881" s="23">
        <v>0.95013888888888887</v>
      </c>
      <c r="F881" t="s">
        <v>521</v>
      </c>
      <c r="G881" t="s">
        <v>522</v>
      </c>
      <c r="H881">
        <v>11</v>
      </c>
      <c r="I881" s="24">
        <v>9.0648148148148255E-2</v>
      </c>
      <c r="J881">
        <f t="shared" si="28"/>
        <v>0</v>
      </c>
      <c r="K881">
        <f t="shared" si="29"/>
        <v>0</v>
      </c>
    </row>
    <row r="882" spans="1:11" x14ac:dyDescent="0.25">
      <c r="A882">
        <v>1</v>
      </c>
      <c r="B882" t="s">
        <v>29</v>
      </c>
      <c r="C882" s="4">
        <v>0.85922453703703705</v>
      </c>
      <c r="D882" s="23">
        <v>0.85925925925925928</v>
      </c>
      <c r="E882" s="23">
        <v>0.94293981481481481</v>
      </c>
      <c r="F882" t="s">
        <v>552</v>
      </c>
      <c r="G882" t="s">
        <v>553</v>
      </c>
      <c r="H882">
        <v>10</v>
      </c>
      <c r="I882" s="24">
        <v>8.3715277777777874E-2</v>
      </c>
      <c r="J882">
        <f t="shared" si="28"/>
        <v>0</v>
      </c>
      <c r="K882">
        <f t="shared" si="29"/>
        <v>0</v>
      </c>
    </row>
    <row r="883" spans="1:11" x14ac:dyDescent="0.25">
      <c r="A883">
        <v>2</v>
      </c>
      <c r="B883" t="s">
        <v>9</v>
      </c>
      <c r="C883" s="4">
        <v>0.85922453703703705</v>
      </c>
      <c r="D883" s="23">
        <v>0.85925925925925928</v>
      </c>
      <c r="E883" s="23">
        <v>0.94293981481481481</v>
      </c>
      <c r="F883" t="s">
        <v>555</v>
      </c>
      <c r="G883" t="s">
        <v>553</v>
      </c>
      <c r="H883">
        <v>10</v>
      </c>
      <c r="I883" s="24">
        <v>8.3715277777777874E-2</v>
      </c>
      <c r="J883">
        <f t="shared" si="28"/>
        <v>0</v>
      </c>
      <c r="K883">
        <f t="shared" si="29"/>
        <v>0</v>
      </c>
    </row>
    <row r="884" spans="1:11" x14ac:dyDescent="0.25">
      <c r="A884">
        <v>3</v>
      </c>
      <c r="B884" t="s">
        <v>11</v>
      </c>
      <c r="C884" s="4">
        <v>0.85922453703703705</v>
      </c>
      <c r="D884" s="23">
        <v>0.85925925925925928</v>
      </c>
      <c r="E884" s="23">
        <v>0.94293981481481481</v>
      </c>
      <c r="F884" t="s">
        <v>391</v>
      </c>
      <c r="G884" t="s">
        <v>553</v>
      </c>
      <c r="H884">
        <v>10</v>
      </c>
      <c r="I884" s="24">
        <v>8.3715277777777874E-2</v>
      </c>
      <c r="J884">
        <f t="shared" si="28"/>
        <v>0</v>
      </c>
      <c r="K884">
        <f t="shared" si="29"/>
        <v>0</v>
      </c>
    </row>
    <row r="885" spans="1:11" x14ac:dyDescent="0.25">
      <c r="A885">
        <v>4</v>
      </c>
      <c r="B885" t="s">
        <v>296</v>
      </c>
      <c r="C885" s="4">
        <v>0.85922453703703705</v>
      </c>
      <c r="D885" s="23">
        <v>0.9086805555555556</v>
      </c>
      <c r="E885" s="23">
        <v>0.94293981481481481</v>
      </c>
      <c r="F885" t="s">
        <v>556</v>
      </c>
      <c r="G885" t="s">
        <v>553</v>
      </c>
      <c r="H885">
        <v>10</v>
      </c>
      <c r="I885" s="24">
        <v>8.3715277777777874E-2</v>
      </c>
      <c r="J885">
        <f t="shared" si="28"/>
        <v>0</v>
      </c>
      <c r="K885">
        <f t="shared" si="29"/>
        <v>0</v>
      </c>
    </row>
    <row r="886" spans="1:11" x14ac:dyDescent="0.25">
      <c r="A886">
        <v>5</v>
      </c>
      <c r="B886" t="s">
        <v>35</v>
      </c>
      <c r="C886" s="4">
        <v>0.85922453703703705</v>
      </c>
      <c r="D886" s="23">
        <v>0.9086805555555556</v>
      </c>
      <c r="E886" s="23">
        <v>0.94293981481481481</v>
      </c>
      <c r="F886" t="s">
        <v>556</v>
      </c>
      <c r="G886" t="s">
        <v>553</v>
      </c>
      <c r="H886">
        <v>10</v>
      </c>
      <c r="I886" s="24">
        <v>8.3715277777777874E-2</v>
      </c>
      <c r="J886">
        <f t="shared" si="28"/>
        <v>0</v>
      </c>
      <c r="K886">
        <f t="shared" si="29"/>
        <v>0</v>
      </c>
    </row>
    <row r="887" spans="1:11" x14ac:dyDescent="0.25">
      <c r="A887">
        <v>6</v>
      </c>
      <c r="B887" t="s">
        <v>70</v>
      </c>
      <c r="C887" s="4">
        <v>0.85922453703703705</v>
      </c>
      <c r="D887" s="23">
        <v>0.85925925925925928</v>
      </c>
      <c r="E887" s="23">
        <v>0.94293981481481481</v>
      </c>
      <c r="F887" t="s">
        <v>557</v>
      </c>
      <c r="G887" t="s">
        <v>553</v>
      </c>
      <c r="H887">
        <v>10</v>
      </c>
      <c r="I887" s="24">
        <v>8.3715277777777874E-2</v>
      </c>
      <c r="J887">
        <f t="shared" si="28"/>
        <v>0</v>
      </c>
      <c r="K887">
        <f t="shared" si="29"/>
        <v>0</v>
      </c>
    </row>
    <row r="888" spans="1:11" x14ac:dyDescent="0.25">
      <c r="A888">
        <v>7</v>
      </c>
      <c r="B888" t="s">
        <v>181</v>
      </c>
      <c r="C888" s="4">
        <v>0.85922453703703705</v>
      </c>
      <c r="D888" s="23">
        <v>0.9086805555555556</v>
      </c>
      <c r="E888" s="23">
        <v>0.94293981481481481</v>
      </c>
      <c r="F888" t="s">
        <v>556</v>
      </c>
      <c r="G888" t="s">
        <v>553</v>
      </c>
      <c r="H888">
        <v>10</v>
      </c>
      <c r="I888" s="24">
        <v>8.3715277777777874E-2</v>
      </c>
      <c r="J888">
        <f t="shared" si="28"/>
        <v>0</v>
      </c>
      <c r="K888">
        <f t="shared" si="29"/>
        <v>0</v>
      </c>
    </row>
    <row r="889" spans="1:11" x14ac:dyDescent="0.25">
      <c r="A889">
        <v>9</v>
      </c>
      <c r="B889" t="s">
        <v>36</v>
      </c>
      <c r="C889" s="4">
        <v>0.85922453703703705</v>
      </c>
      <c r="D889" s="23">
        <v>0.85925925925925928</v>
      </c>
      <c r="E889" s="23">
        <v>0.94293981481481481</v>
      </c>
      <c r="F889" t="s">
        <v>391</v>
      </c>
      <c r="G889" t="s">
        <v>553</v>
      </c>
      <c r="H889">
        <v>10</v>
      </c>
      <c r="I889" s="24">
        <v>8.3715277777777874E-2</v>
      </c>
      <c r="J889">
        <f t="shared" si="28"/>
        <v>0</v>
      </c>
      <c r="K889">
        <f t="shared" si="29"/>
        <v>0</v>
      </c>
    </row>
    <row r="890" spans="1:11" x14ac:dyDescent="0.25">
      <c r="A890">
        <v>10</v>
      </c>
      <c r="B890" t="s">
        <v>530</v>
      </c>
      <c r="C890" s="4">
        <v>0.85922453703703705</v>
      </c>
      <c r="D890" s="23">
        <v>0.9086805555555556</v>
      </c>
      <c r="E890" s="23">
        <v>0.94293981481481481</v>
      </c>
      <c r="F890" t="s">
        <v>558</v>
      </c>
      <c r="G890" t="s">
        <v>553</v>
      </c>
      <c r="H890">
        <v>10</v>
      </c>
      <c r="I890" s="24">
        <v>8.3715277777777874E-2</v>
      </c>
      <c r="J890">
        <f t="shared" si="28"/>
        <v>0</v>
      </c>
      <c r="K890">
        <f t="shared" si="29"/>
        <v>0</v>
      </c>
    </row>
    <row r="891" spans="1:11" x14ac:dyDescent="0.25">
      <c r="A891">
        <v>11</v>
      </c>
      <c r="B891" t="s">
        <v>208</v>
      </c>
      <c r="C891" s="4">
        <v>0.85922453703703705</v>
      </c>
      <c r="D891" s="23">
        <v>0.85925925925925928</v>
      </c>
      <c r="E891" s="23">
        <v>0.94293981481481481</v>
      </c>
      <c r="F891" t="s">
        <v>391</v>
      </c>
      <c r="G891" t="s">
        <v>553</v>
      </c>
      <c r="H891">
        <v>10</v>
      </c>
      <c r="I891" s="24">
        <v>8.3715277777777874E-2</v>
      </c>
      <c r="J891">
        <f t="shared" si="28"/>
        <v>0</v>
      </c>
      <c r="K891">
        <f t="shared" si="29"/>
        <v>0</v>
      </c>
    </row>
    <row r="892" spans="1:11" x14ac:dyDescent="0.25">
      <c r="A892">
        <v>12</v>
      </c>
      <c r="B892" t="s">
        <v>37</v>
      </c>
      <c r="C892" s="4">
        <v>0.85922453703703705</v>
      </c>
      <c r="D892" s="23">
        <v>0.85925925925925928</v>
      </c>
      <c r="E892" s="23">
        <v>0.94293981481481481</v>
      </c>
      <c r="F892" t="s">
        <v>559</v>
      </c>
      <c r="G892" t="s">
        <v>553</v>
      </c>
      <c r="H892">
        <v>10</v>
      </c>
      <c r="I892" s="24">
        <v>8.3715277777777874E-2</v>
      </c>
      <c r="J892">
        <f t="shared" si="28"/>
        <v>0</v>
      </c>
      <c r="K892">
        <f t="shared" si="29"/>
        <v>0</v>
      </c>
    </row>
    <row r="893" spans="1:11" x14ac:dyDescent="0.25">
      <c r="A893">
        <v>13</v>
      </c>
      <c r="B893" t="s">
        <v>16</v>
      </c>
      <c r="C893" s="4">
        <v>0.85922453703703705</v>
      </c>
      <c r="D893" s="23">
        <v>0.85925925925925928</v>
      </c>
      <c r="E893" s="23">
        <v>0.94293981481481481</v>
      </c>
      <c r="F893" t="s">
        <v>391</v>
      </c>
      <c r="G893" t="s">
        <v>553</v>
      </c>
      <c r="H893">
        <v>10</v>
      </c>
      <c r="I893" s="24">
        <v>8.3715277777777874E-2</v>
      </c>
      <c r="J893">
        <f t="shared" si="28"/>
        <v>0</v>
      </c>
      <c r="K893">
        <f t="shared" si="29"/>
        <v>0</v>
      </c>
    </row>
    <row r="894" spans="1:11" x14ac:dyDescent="0.25">
      <c r="A894">
        <v>14</v>
      </c>
      <c r="B894" t="s">
        <v>184</v>
      </c>
      <c r="C894" s="4">
        <v>0.85922453703703705</v>
      </c>
      <c r="D894" s="23">
        <v>0.85925925925925928</v>
      </c>
      <c r="E894" s="23">
        <v>0.94293981481481481</v>
      </c>
      <c r="F894" t="s">
        <v>560</v>
      </c>
      <c r="G894" t="s">
        <v>553</v>
      </c>
      <c r="H894">
        <v>10</v>
      </c>
      <c r="I894" s="24">
        <v>8.3715277777777874E-2</v>
      </c>
      <c r="J894">
        <f t="shared" si="28"/>
        <v>0</v>
      </c>
      <c r="K894">
        <f t="shared" si="29"/>
        <v>0</v>
      </c>
    </row>
    <row r="895" spans="1:11" x14ac:dyDescent="0.25">
      <c r="A895">
        <v>15</v>
      </c>
      <c r="B895" t="s">
        <v>186</v>
      </c>
      <c r="C895" s="4">
        <v>0.85922453703703705</v>
      </c>
      <c r="D895" s="23">
        <v>0.9086805555555556</v>
      </c>
      <c r="E895" s="23">
        <v>0.94293981481481481</v>
      </c>
      <c r="F895" t="s">
        <v>556</v>
      </c>
      <c r="G895" t="s">
        <v>553</v>
      </c>
      <c r="H895">
        <v>10</v>
      </c>
      <c r="I895" s="24">
        <v>8.3715277777777874E-2</v>
      </c>
      <c r="J895">
        <f t="shared" si="28"/>
        <v>0</v>
      </c>
      <c r="K895">
        <f t="shared" si="29"/>
        <v>0</v>
      </c>
    </row>
    <row r="896" spans="1:11" x14ac:dyDescent="0.25">
      <c r="A896">
        <v>16</v>
      </c>
      <c r="B896" t="s">
        <v>409</v>
      </c>
      <c r="C896" s="4">
        <v>0.85922453703703705</v>
      </c>
      <c r="D896" s="23">
        <v>0.9086805555555556</v>
      </c>
      <c r="E896" s="23">
        <v>0.94293981481481481</v>
      </c>
      <c r="F896" t="s">
        <v>561</v>
      </c>
      <c r="G896" t="s">
        <v>553</v>
      </c>
      <c r="H896">
        <v>10</v>
      </c>
      <c r="I896" s="24">
        <v>8.3715277777777874E-2</v>
      </c>
      <c r="J896">
        <f t="shared" si="28"/>
        <v>0</v>
      </c>
      <c r="K896">
        <f t="shared" si="29"/>
        <v>0</v>
      </c>
    </row>
    <row r="897" spans="1:11" x14ac:dyDescent="0.25">
      <c r="A897">
        <v>17</v>
      </c>
      <c r="B897" t="s">
        <v>538</v>
      </c>
      <c r="C897" s="4">
        <v>0.85922453703703705</v>
      </c>
      <c r="D897" s="23">
        <v>0.85925925925925928</v>
      </c>
      <c r="E897" s="23">
        <v>0.94293981481481481</v>
      </c>
      <c r="F897" t="s">
        <v>557</v>
      </c>
      <c r="G897" t="s">
        <v>553</v>
      </c>
      <c r="H897">
        <v>10</v>
      </c>
      <c r="I897" s="24">
        <v>8.3715277777777874E-2</v>
      </c>
      <c r="J897">
        <f t="shared" si="28"/>
        <v>0</v>
      </c>
      <c r="K897">
        <f t="shared" si="29"/>
        <v>0</v>
      </c>
    </row>
    <row r="898" spans="1:11" x14ac:dyDescent="0.25">
      <c r="A898">
        <v>18</v>
      </c>
      <c r="B898" t="s">
        <v>410</v>
      </c>
      <c r="C898" s="4">
        <v>0.85922453703703705</v>
      </c>
      <c r="D898" s="23">
        <v>0.85925925925925928</v>
      </c>
      <c r="E898" s="23">
        <v>0.94293981481481481</v>
      </c>
      <c r="F898" t="s">
        <v>391</v>
      </c>
      <c r="G898" t="s">
        <v>553</v>
      </c>
      <c r="H898">
        <v>10</v>
      </c>
      <c r="I898" s="24">
        <v>8.3715277777777874E-2</v>
      </c>
      <c r="J898">
        <f t="shared" si="28"/>
        <v>0</v>
      </c>
      <c r="K898">
        <f t="shared" si="29"/>
        <v>0</v>
      </c>
    </row>
    <row r="899" spans="1:11" x14ac:dyDescent="0.25">
      <c r="A899">
        <v>19</v>
      </c>
      <c r="B899" t="s">
        <v>335</v>
      </c>
      <c r="C899" s="4">
        <v>0.85922453703703705</v>
      </c>
      <c r="D899" s="23">
        <v>0.85925925925925928</v>
      </c>
      <c r="E899" s="23">
        <v>0.94293981481481481</v>
      </c>
      <c r="F899" t="s">
        <v>391</v>
      </c>
      <c r="G899" t="s">
        <v>553</v>
      </c>
      <c r="H899">
        <v>10</v>
      </c>
      <c r="I899" s="24">
        <v>8.3715277777777874E-2</v>
      </c>
      <c r="J899">
        <f t="shared" si="28"/>
        <v>0</v>
      </c>
      <c r="K899">
        <f t="shared" si="29"/>
        <v>0</v>
      </c>
    </row>
    <row r="900" spans="1:11" x14ac:dyDescent="0.25">
      <c r="A900">
        <v>20</v>
      </c>
      <c r="B900" t="s">
        <v>18</v>
      </c>
      <c r="C900" s="4">
        <v>0.85922453703703705</v>
      </c>
      <c r="D900" s="23">
        <v>0.9086805555555556</v>
      </c>
      <c r="E900" s="23">
        <v>0.94293981481481481</v>
      </c>
      <c r="F900" t="s">
        <v>562</v>
      </c>
      <c r="G900" t="s">
        <v>553</v>
      </c>
      <c r="H900">
        <v>10</v>
      </c>
      <c r="I900" s="24">
        <v>8.3715277777777874E-2</v>
      </c>
      <c r="J900">
        <f t="shared" si="28"/>
        <v>0</v>
      </c>
      <c r="K900">
        <f t="shared" si="29"/>
        <v>0</v>
      </c>
    </row>
    <row r="901" spans="1:11" x14ac:dyDescent="0.25">
      <c r="A901">
        <v>21</v>
      </c>
      <c r="B901" t="s">
        <v>41</v>
      </c>
      <c r="C901" s="4">
        <v>0.85922453703703705</v>
      </c>
      <c r="D901" s="23">
        <v>0.85925925925925928</v>
      </c>
      <c r="E901" s="23">
        <v>0.94293981481481481</v>
      </c>
      <c r="F901" t="s">
        <v>391</v>
      </c>
      <c r="G901" t="s">
        <v>553</v>
      </c>
      <c r="H901">
        <v>10</v>
      </c>
      <c r="I901" s="24">
        <v>8.3715277777777874E-2</v>
      </c>
      <c r="J901">
        <f t="shared" si="28"/>
        <v>0</v>
      </c>
      <c r="K901">
        <f t="shared" si="29"/>
        <v>0</v>
      </c>
    </row>
    <row r="902" spans="1:11" x14ac:dyDescent="0.25">
      <c r="A902">
        <v>22</v>
      </c>
      <c r="B902" t="s">
        <v>267</v>
      </c>
      <c r="C902" s="4">
        <v>0.85922453703703705</v>
      </c>
      <c r="D902" s="23">
        <v>0.85925925925925928</v>
      </c>
      <c r="E902" s="23">
        <v>0.94293981481481481</v>
      </c>
      <c r="F902" t="s">
        <v>391</v>
      </c>
      <c r="G902" t="s">
        <v>553</v>
      </c>
      <c r="H902">
        <v>10</v>
      </c>
      <c r="I902" s="24">
        <v>8.3715277777777874E-2</v>
      </c>
      <c r="J902">
        <f t="shared" si="28"/>
        <v>0</v>
      </c>
      <c r="K902">
        <f t="shared" si="29"/>
        <v>0</v>
      </c>
    </row>
    <row r="903" spans="1:11" x14ac:dyDescent="0.25">
      <c r="A903">
        <v>23</v>
      </c>
      <c r="B903" t="s">
        <v>506</v>
      </c>
      <c r="C903" s="4">
        <v>0.85922453703703705</v>
      </c>
      <c r="D903" s="23">
        <v>0.9086805555555556</v>
      </c>
      <c r="E903" s="23">
        <v>0.94293981481481481</v>
      </c>
      <c r="F903" t="s">
        <v>556</v>
      </c>
      <c r="G903" t="s">
        <v>553</v>
      </c>
      <c r="H903">
        <v>10</v>
      </c>
      <c r="I903" s="24">
        <v>8.3715277777777874E-2</v>
      </c>
      <c r="J903">
        <f t="shared" si="28"/>
        <v>0</v>
      </c>
      <c r="K903">
        <f t="shared" si="29"/>
        <v>0</v>
      </c>
    </row>
    <row r="904" spans="1:11" x14ac:dyDescent="0.25">
      <c r="A904">
        <v>24</v>
      </c>
      <c r="B904" t="s">
        <v>118</v>
      </c>
      <c r="C904" s="4">
        <v>0.85922453703703705</v>
      </c>
      <c r="D904" s="23">
        <v>0.85925925925925928</v>
      </c>
      <c r="E904" s="23">
        <v>0.94293981481481481</v>
      </c>
      <c r="F904" t="s">
        <v>391</v>
      </c>
      <c r="G904" t="s">
        <v>553</v>
      </c>
      <c r="H904">
        <v>10</v>
      </c>
      <c r="I904" s="24">
        <v>8.3715277777777874E-2</v>
      </c>
      <c r="J904">
        <f t="shared" si="28"/>
        <v>0</v>
      </c>
      <c r="K904">
        <f t="shared" si="29"/>
        <v>0</v>
      </c>
    </row>
    <row r="905" spans="1:11" x14ac:dyDescent="0.25">
      <c r="A905">
        <v>25</v>
      </c>
      <c r="B905" t="s">
        <v>383</v>
      </c>
      <c r="C905" s="4">
        <v>0.85922453703703705</v>
      </c>
      <c r="D905" s="23">
        <v>0.85925925925925928</v>
      </c>
      <c r="E905" s="23">
        <v>0.94293981481481481</v>
      </c>
      <c r="F905" t="s">
        <v>302</v>
      </c>
      <c r="G905" t="s">
        <v>553</v>
      </c>
      <c r="H905">
        <v>10</v>
      </c>
      <c r="I905" s="24">
        <v>8.3715277777777874E-2</v>
      </c>
      <c r="J905">
        <f t="shared" si="28"/>
        <v>0</v>
      </c>
      <c r="K905">
        <f t="shared" si="29"/>
        <v>0</v>
      </c>
    </row>
    <row r="906" spans="1:11" x14ac:dyDescent="0.25">
      <c r="A906">
        <v>26</v>
      </c>
      <c r="B906" t="s">
        <v>60</v>
      </c>
      <c r="C906" s="4">
        <v>0.85922453703703705</v>
      </c>
      <c r="D906" s="23">
        <v>0.85925925925925928</v>
      </c>
      <c r="E906" s="23">
        <v>0.94293981481481481</v>
      </c>
      <c r="F906" t="s">
        <v>563</v>
      </c>
      <c r="G906" t="s">
        <v>553</v>
      </c>
      <c r="H906">
        <v>10</v>
      </c>
      <c r="I906" s="24">
        <v>8.3715277777777874E-2</v>
      </c>
      <c r="J906">
        <f t="shared" si="28"/>
        <v>0</v>
      </c>
      <c r="K906">
        <f t="shared" si="29"/>
        <v>0</v>
      </c>
    </row>
    <row r="907" spans="1:11" x14ac:dyDescent="0.25">
      <c r="A907">
        <v>27</v>
      </c>
      <c r="B907" t="s">
        <v>20</v>
      </c>
      <c r="C907" s="4">
        <v>0.85922453703703705</v>
      </c>
      <c r="D907" s="23">
        <v>0.85925925925925928</v>
      </c>
      <c r="E907" s="23">
        <v>0.94293981481481481</v>
      </c>
      <c r="F907" t="s">
        <v>564</v>
      </c>
      <c r="G907" t="s">
        <v>553</v>
      </c>
      <c r="H907">
        <v>10</v>
      </c>
      <c r="I907" s="24">
        <v>8.3715277777777874E-2</v>
      </c>
      <c r="J907">
        <f t="shared" si="28"/>
        <v>0</v>
      </c>
      <c r="K907">
        <f t="shared" si="29"/>
        <v>0</v>
      </c>
    </row>
    <row r="908" spans="1:11" x14ac:dyDescent="0.25">
      <c r="A908">
        <v>28</v>
      </c>
      <c r="B908" t="s">
        <v>540</v>
      </c>
      <c r="C908" s="4">
        <v>0.85922453703703705</v>
      </c>
      <c r="D908" s="23">
        <v>0.85925925925925928</v>
      </c>
      <c r="E908" s="23">
        <v>0.94293981481481481</v>
      </c>
      <c r="F908" t="s">
        <v>391</v>
      </c>
      <c r="G908" t="s">
        <v>553</v>
      </c>
      <c r="H908">
        <v>10</v>
      </c>
      <c r="I908" s="24">
        <v>8.3715277777777874E-2</v>
      </c>
      <c r="J908">
        <f t="shared" si="28"/>
        <v>0</v>
      </c>
      <c r="K908">
        <f t="shared" si="29"/>
        <v>0</v>
      </c>
    </row>
    <row r="909" spans="1:11" x14ac:dyDescent="0.25">
      <c r="A909">
        <v>29</v>
      </c>
      <c r="B909" t="s">
        <v>156</v>
      </c>
      <c r="C909" s="4">
        <v>0.85922453703703705</v>
      </c>
      <c r="D909" s="23">
        <v>0.85925925925925928</v>
      </c>
      <c r="E909" s="23">
        <v>0.94293981481481481</v>
      </c>
      <c r="F909" t="s">
        <v>557</v>
      </c>
      <c r="G909" t="s">
        <v>553</v>
      </c>
      <c r="H909">
        <v>10</v>
      </c>
      <c r="I909" s="24">
        <v>8.3715277777777874E-2</v>
      </c>
      <c r="J909">
        <f t="shared" si="28"/>
        <v>0</v>
      </c>
      <c r="K909">
        <f t="shared" si="29"/>
        <v>0</v>
      </c>
    </row>
    <row r="910" spans="1:11" x14ac:dyDescent="0.25">
      <c r="A910">
        <v>30</v>
      </c>
      <c r="B910" t="s">
        <v>384</v>
      </c>
      <c r="C910" s="4">
        <v>0.85922453703703705</v>
      </c>
      <c r="D910" s="23">
        <v>0.9086805555555556</v>
      </c>
      <c r="E910" s="23">
        <v>0.94293981481481481</v>
      </c>
      <c r="F910" t="s">
        <v>556</v>
      </c>
      <c r="G910" t="s">
        <v>553</v>
      </c>
      <c r="H910">
        <v>10</v>
      </c>
      <c r="I910" s="24">
        <v>8.3715277777777874E-2</v>
      </c>
      <c r="J910">
        <f t="shared" si="28"/>
        <v>0</v>
      </c>
      <c r="K910">
        <f t="shared" si="29"/>
        <v>0</v>
      </c>
    </row>
    <row r="911" spans="1:11" x14ac:dyDescent="0.25">
      <c r="A911">
        <v>31</v>
      </c>
      <c r="B911" t="s">
        <v>238</v>
      </c>
      <c r="C911" s="4">
        <v>0.85922453703703705</v>
      </c>
      <c r="D911" s="23">
        <v>0.85925925925925928</v>
      </c>
      <c r="E911" s="23">
        <v>0.94293981481481481</v>
      </c>
      <c r="F911" t="s">
        <v>565</v>
      </c>
      <c r="G911" t="s">
        <v>553</v>
      </c>
      <c r="H911">
        <v>10</v>
      </c>
      <c r="I911" s="24">
        <v>8.3715277777777874E-2</v>
      </c>
      <c r="J911">
        <f t="shared" si="28"/>
        <v>0</v>
      </c>
      <c r="K911">
        <f t="shared" si="29"/>
        <v>0</v>
      </c>
    </row>
    <row r="912" spans="1:11" x14ac:dyDescent="0.25">
      <c r="A912">
        <v>32</v>
      </c>
      <c r="B912" t="s">
        <v>22</v>
      </c>
      <c r="C912" s="4">
        <v>0.85922453703703705</v>
      </c>
      <c r="D912" s="23">
        <v>0.85925925925925928</v>
      </c>
      <c r="E912" s="23">
        <v>0.94293981481481481</v>
      </c>
      <c r="F912" t="s">
        <v>566</v>
      </c>
      <c r="G912" t="s">
        <v>553</v>
      </c>
      <c r="H912">
        <v>10</v>
      </c>
      <c r="I912" s="24">
        <v>8.3715277777777874E-2</v>
      </c>
      <c r="J912">
        <f t="shared" si="28"/>
        <v>0</v>
      </c>
      <c r="K912">
        <f t="shared" si="29"/>
        <v>0</v>
      </c>
    </row>
    <row r="913" spans="1:11" x14ac:dyDescent="0.25">
      <c r="A913">
        <v>33</v>
      </c>
      <c r="B913" t="s">
        <v>61</v>
      </c>
      <c r="C913" s="4">
        <v>0.85922453703703705</v>
      </c>
      <c r="D913" s="23">
        <v>0.85925925925925928</v>
      </c>
      <c r="E913" s="23">
        <v>0.94293981481481481</v>
      </c>
      <c r="F913" t="s">
        <v>557</v>
      </c>
      <c r="G913" t="s">
        <v>553</v>
      </c>
      <c r="H913">
        <v>10</v>
      </c>
      <c r="I913" s="24">
        <v>8.3715277777777874E-2</v>
      </c>
      <c r="J913">
        <f t="shared" si="28"/>
        <v>0</v>
      </c>
      <c r="K913">
        <f t="shared" si="29"/>
        <v>0</v>
      </c>
    </row>
    <row r="914" spans="1:11" x14ac:dyDescent="0.25">
      <c r="A914">
        <v>34</v>
      </c>
      <c r="B914" t="s">
        <v>46</v>
      </c>
      <c r="C914" s="4">
        <v>0.85922453703703705</v>
      </c>
      <c r="D914" s="23">
        <v>0.9086805555555556</v>
      </c>
      <c r="E914" s="23">
        <v>0.94293981481481481</v>
      </c>
      <c r="F914" t="s">
        <v>567</v>
      </c>
      <c r="G914" t="s">
        <v>553</v>
      </c>
      <c r="H914">
        <v>10</v>
      </c>
      <c r="I914" s="24">
        <v>8.3715277777777874E-2</v>
      </c>
      <c r="J914">
        <f t="shared" si="28"/>
        <v>0</v>
      </c>
      <c r="K914">
        <f t="shared" si="29"/>
        <v>0</v>
      </c>
    </row>
    <row r="915" spans="1:11" x14ac:dyDescent="0.25">
      <c r="A915">
        <v>35</v>
      </c>
      <c r="B915" t="s">
        <v>100</v>
      </c>
      <c r="C915" s="4">
        <v>0.85922453703703705</v>
      </c>
      <c r="D915" s="23">
        <v>0.85925925925925928</v>
      </c>
      <c r="E915" s="23">
        <v>0.94293981481481481</v>
      </c>
      <c r="F915" t="s">
        <v>568</v>
      </c>
      <c r="G915" t="s">
        <v>553</v>
      </c>
      <c r="H915">
        <v>10</v>
      </c>
      <c r="I915" s="24">
        <v>8.3715277777777874E-2</v>
      </c>
      <c r="J915">
        <f t="shared" si="28"/>
        <v>0</v>
      </c>
      <c r="K915">
        <f t="shared" si="29"/>
        <v>0</v>
      </c>
    </row>
    <row r="916" spans="1:11" x14ac:dyDescent="0.25">
      <c r="A916">
        <v>36</v>
      </c>
      <c r="B916" t="s">
        <v>23</v>
      </c>
      <c r="C916" s="4">
        <v>0.85922453703703705</v>
      </c>
      <c r="D916" s="23">
        <v>0.85925925925925928</v>
      </c>
      <c r="E916" s="23">
        <v>0.94293981481481481</v>
      </c>
      <c r="F916" t="s">
        <v>391</v>
      </c>
      <c r="G916" t="s">
        <v>553</v>
      </c>
      <c r="H916">
        <v>10</v>
      </c>
      <c r="I916" s="24">
        <v>8.3715277777777874E-2</v>
      </c>
      <c r="J916">
        <f t="shared" si="28"/>
        <v>0</v>
      </c>
      <c r="K916">
        <f t="shared" si="29"/>
        <v>0</v>
      </c>
    </row>
    <row r="917" spans="1:11" x14ac:dyDescent="0.25">
      <c r="A917">
        <v>37</v>
      </c>
      <c r="B917" t="s">
        <v>511</v>
      </c>
      <c r="C917" s="4">
        <v>0.85922453703703705</v>
      </c>
      <c r="D917" s="23">
        <v>0.85925925925925928</v>
      </c>
      <c r="E917" s="23">
        <v>0.94293981481481481</v>
      </c>
      <c r="F917" t="s">
        <v>557</v>
      </c>
      <c r="G917" t="s">
        <v>553</v>
      </c>
      <c r="H917">
        <v>10</v>
      </c>
      <c r="I917" s="24">
        <v>8.3715277777777874E-2</v>
      </c>
      <c r="J917">
        <f t="shared" si="28"/>
        <v>0</v>
      </c>
      <c r="K917">
        <f t="shared" si="29"/>
        <v>0</v>
      </c>
    </row>
    <row r="918" spans="1:11" x14ac:dyDescent="0.25">
      <c r="A918">
        <v>38</v>
      </c>
      <c r="B918" t="s">
        <v>49</v>
      </c>
      <c r="C918" s="4">
        <v>0.85922453703703705</v>
      </c>
      <c r="D918" s="23">
        <v>0.85925925925925928</v>
      </c>
      <c r="E918" s="23">
        <v>0.94293981481481481</v>
      </c>
      <c r="F918" t="s">
        <v>557</v>
      </c>
      <c r="G918" t="s">
        <v>553</v>
      </c>
      <c r="H918">
        <v>10</v>
      </c>
      <c r="I918" s="24">
        <v>8.3715277777777874E-2</v>
      </c>
      <c r="J918">
        <f t="shared" si="28"/>
        <v>0</v>
      </c>
      <c r="K918">
        <f t="shared" si="29"/>
        <v>0</v>
      </c>
    </row>
    <row r="919" spans="1:11" x14ac:dyDescent="0.25">
      <c r="A919">
        <v>39</v>
      </c>
      <c r="B919" t="s">
        <v>268</v>
      </c>
      <c r="C919" s="4">
        <v>0.85922453703703705</v>
      </c>
      <c r="D919" s="23">
        <v>0.85925925925925928</v>
      </c>
      <c r="E919" s="23">
        <v>0.94293981481481481</v>
      </c>
      <c r="F919" t="s">
        <v>391</v>
      </c>
      <c r="G919" t="s">
        <v>553</v>
      </c>
      <c r="H919">
        <v>10</v>
      </c>
      <c r="I919" s="24">
        <v>8.3715277777777874E-2</v>
      </c>
      <c r="J919">
        <f t="shared" si="28"/>
        <v>0</v>
      </c>
      <c r="K919">
        <f t="shared" si="29"/>
        <v>0</v>
      </c>
    </row>
    <row r="920" spans="1:11" x14ac:dyDescent="0.25">
      <c r="A920">
        <v>40</v>
      </c>
      <c r="B920" t="s">
        <v>25</v>
      </c>
      <c r="C920" s="4">
        <v>0.85922453703703705</v>
      </c>
      <c r="D920" s="23">
        <v>0.9086805555555556</v>
      </c>
      <c r="E920" s="23">
        <v>0.94293981481481481</v>
      </c>
      <c r="F920" t="s">
        <v>556</v>
      </c>
      <c r="G920" t="s">
        <v>553</v>
      </c>
      <c r="H920">
        <v>10</v>
      </c>
      <c r="I920" s="24">
        <v>8.3715277777777874E-2</v>
      </c>
      <c r="J920">
        <f t="shared" si="28"/>
        <v>0</v>
      </c>
      <c r="K920">
        <f t="shared" si="29"/>
        <v>0</v>
      </c>
    </row>
    <row r="921" spans="1:11" x14ac:dyDescent="0.25">
      <c r="A921">
        <v>41</v>
      </c>
      <c r="B921" t="s">
        <v>546</v>
      </c>
      <c r="C921" s="4">
        <v>0.85922453703703705</v>
      </c>
      <c r="D921" s="23">
        <v>0.85925925925925928</v>
      </c>
      <c r="E921" s="23">
        <v>0.94293981481481481</v>
      </c>
      <c r="F921" t="s">
        <v>569</v>
      </c>
      <c r="G921" t="s">
        <v>553</v>
      </c>
      <c r="H921">
        <v>10</v>
      </c>
      <c r="I921" s="24">
        <v>8.3715277777777874E-2</v>
      </c>
      <c r="J921">
        <f t="shared" si="28"/>
        <v>0</v>
      </c>
      <c r="K921">
        <f t="shared" si="29"/>
        <v>0</v>
      </c>
    </row>
    <row r="922" spans="1:11" x14ac:dyDescent="0.25">
      <c r="A922">
        <v>42</v>
      </c>
      <c r="B922" t="s">
        <v>193</v>
      </c>
      <c r="C922" s="4">
        <v>0.85922453703703705</v>
      </c>
      <c r="D922" s="23">
        <v>0.85925925925925928</v>
      </c>
      <c r="E922" s="23">
        <v>0.94293981481481481</v>
      </c>
      <c r="F922" t="s">
        <v>391</v>
      </c>
      <c r="G922" t="s">
        <v>553</v>
      </c>
      <c r="H922">
        <v>10</v>
      </c>
      <c r="I922" s="24">
        <v>8.3715277777777874E-2</v>
      </c>
      <c r="J922">
        <f t="shared" si="28"/>
        <v>0</v>
      </c>
      <c r="K922">
        <f t="shared" si="29"/>
        <v>0</v>
      </c>
    </row>
    <row r="923" spans="1:11" x14ac:dyDescent="0.25">
      <c r="A923">
        <v>43</v>
      </c>
      <c r="B923" t="s">
        <v>213</v>
      </c>
      <c r="C923" s="4">
        <v>0.85922453703703705</v>
      </c>
      <c r="D923" s="23">
        <v>0.9086805555555556</v>
      </c>
      <c r="E923" s="23">
        <v>0.94293981481481481</v>
      </c>
      <c r="F923" t="s">
        <v>556</v>
      </c>
      <c r="G923" t="s">
        <v>553</v>
      </c>
      <c r="H923">
        <v>10</v>
      </c>
      <c r="I923" s="24">
        <v>8.3715277777777874E-2</v>
      </c>
      <c r="J923">
        <f t="shared" si="28"/>
        <v>0</v>
      </c>
      <c r="K923">
        <f t="shared" si="29"/>
        <v>0</v>
      </c>
    </row>
    <row r="924" spans="1:11" x14ac:dyDescent="0.25">
      <c r="A924">
        <v>44</v>
      </c>
      <c r="B924" t="s">
        <v>50</v>
      </c>
      <c r="C924" s="4">
        <v>0.85922453703703705</v>
      </c>
      <c r="D924" s="23">
        <v>0.85925925925925928</v>
      </c>
      <c r="E924" s="23">
        <v>0.94293981481481481</v>
      </c>
      <c r="F924" t="s">
        <v>391</v>
      </c>
      <c r="G924" t="s">
        <v>553</v>
      </c>
      <c r="H924">
        <v>10</v>
      </c>
      <c r="I924" s="24">
        <v>8.3715277777777874E-2</v>
      </c>
      <c r="J924">
        <f t="shared" si="28"/>
        <v>0</v>
      </c>
      <c r="K924">
        <f t="shared" si="29"/>
        <v>0</v>
      </c>
    </row>
    <row r="925" spans="1:11" x14ac:dyDescent="0.25">
      <c r="A925">
        <v>45</v>
      </c>
      <c r="B925" t="s">
        <v>570</v>
      </c>
      <c r="C925" s="4">
        <v>0.85922453703703705</v>
      </c>
      <c r="D925" s="23">
        <v>0.85925925925925928</v>
      </c>
      <c r="E925" s="23">
        <v>0.94293981481481481</v>
      </c>
      <c r="F925" t="s">
        <v>391</v>
      </c>
      <c r="G925" t="s">
        <v>553</v>
      </c>
      <c r="H925">
        <v>10</v>
      </c>
      <c r="I925" s="24">
        <v>8.3715277777777874E-2</v>
      </c>
      <c r="J925">
        <f t="shared" si="28"/>
        <v>0</v>
      </c>
      <c r="K925">
        <f t="shared" si="29"/>
        <v>0</v>
      </c>
    </row>
    <row r="926" spans="1:11" x14ac:dyDescent="0.25">
      <c r="A926">
        <v>46</v>
      </c>
      <c r="B926" t="s">
        <v>62</v>
      </c>
      <c r="C926" s="4">
        <v>0.85922453703703705</v>
      </c>
      <c r="D926" s="23">
        <v>0.85925925925925928</v>
      </c>
      <c r="E926" s="23">
        <v>0.94293981481481481</v>
      </c>
      <c r="F926" t="s">
        <v>571</v>
      </c>
      <c r="G926" t="s">
        <v>553</v>
      </c>
      <c r="H926">
        <v>10</v>
      </c>
      <c r="I926" s="24">
        <v>8.3715277777777874E-2</v>
      </c>
      <c r="J926">
        <f t="shared" si="28"/>
        <v>0</v>
      </c>
      <c r="K926">
        <f t="shared" si="29"/>
        <v>0</v>
      </c>
    </row>
    <row r="927" spans="1:11" x14ac:dyDescent="0.25">
      <c r="A927">
        <v>47</v>
      </c>
      <c r="B927" t="s">
        <v>51</v>
      </c>
      <c r="C927" s="4">
        <v>0.85922453703703705</v>
      </c>
      <c r="D927" s="23">
        <v>0.85925925925925928</v>
      </c>
      <c r="E927" s="23">
        <v>0.94293981481481481</v>
      </c>
      <c r="F927" t="s">
        <v>391</v>
      </c>
      <c r="G927" t="s">
        <v>553</v>
      </c>
      <c r="H927">
        <v>10</v>
      </c>
      <c r="I927" s="24">
        <v>8.3715277777777874E-2</v>
      </c>
      <c r="J927">
        <f t="shared" si="28"/>
        <v>0</v>
      </c>
      <c r="K927">
        <f t="shared" si="29"/>
        <v>0</v>
      </c>
    </row>
    <row r="928" spans="1:11" x14ac:dyDescent="0.25">
      <c r="A928">
        <v>48</v>
      </c>
      <c r="B928" t="s">
        <v>83</v>
      </c>
      <c r="C928" s="4">
        <v>0.85922453703703705</v>
      </c>
      <c r="D928" s="23">
        <v>0.85925925925925928</v>
      </c>
      <c r="E928" s="23">
        <v>0.94293981481481481</v>
      </c>
      <c r="F928" t="s">
        <v>391</v>
      </c>
      <c r="G928" t="s">
        <v>553</v>
      </c>
      <c r="H928">
        <v>10</v>
      </c>
      <c r="I928" s="24">
        <v>8.3715277777777874E-2</v>
      </c>
      <c r="J928">
        <f t="shared" si="28"/>
        <v>0</v>
      </c>
      <c r="K928">
        <f t="shared" si="29"/>
        <v>0</v>
      </c>
    </row>
    <row r="929" spans="1:11" x14ac:dyDescent="0.25">
      <c r="A929">
        <v>49</v>
      </c>
      <c r="B929" t="s">
        <v>549</v>
      </c>
      <c r="C929" s="4">
        <v>0.85922453703703705</v>
      </c>
      <c r="D929" s="23">
        <v>0.85925925925925928</v>
      </c>
      <c r="E929" s="23">
        <v>0.94293981481481481</v>
      </c>
      <c r="F929" t="s">
        <v>572</v>
      </c>
      <c r="G929" t="s">
        <v>553</v>
      </c>
      <c r="H929">
        <v>10</v>
      </c>
      <c r="I929" s="24">
        <v>8.3715277777777874E-2</v>
      </c>
      <c r="J929">
        <f t="shared" si="28"/>
        <v>0</v>
      </c>
      <c r="K929">
        <f t="shared" si="29"/>
        <v>0</v>
      </c>
    </row>
    <row r="930" spans="1:11" x14ac:dyDescent="0.25">
      <c r="A930">
        <v>50</v>
      </c>
      <c r="B930" t="s">
        <v>53</v>
      </c>
      <c r="C930" s="4">
        <v>0.85922453703703705</v>
      </c>
      <c r="D930" s="23">
        <v>0.85925925925925928</v>
      </c>
      <c r="E930" s="23">
        <v>0.94293981481481481</v>
      </c>
      <c r="F930" t="s">
        <v>391</v>
      </c>
      <c r="G930" t="s">
        <v>553</v>
      </c>
      <c r="H930">
        <v>10</v>
      </c>
      <c r="I930" s="24">
        <v>8.3715277777777874E-2</v>
      </c>
      <c r="J930">
        <f t="shared" si="28"/>
        <v>0</v>
      </c>
      <c r="K930">
        <f t="shared" si="29"/>
        <v>0</v>
      </c>
    </row>
    <row r="931" spans="1:11" x14ac:dyDescent="0.25">
      <c r="A931">
        <v>51</v>
      </c>
      <c r="B931" t="s">
        <v>54</v>
      </c>
      <c r="C931" s="4">
        <v>0.85922453703703705</v>
      </c>
      <c r="D931" s="23">
        <v>0.91380787037037037</v>
      </c>
      <c r="E931" s="23">
        <v>0.94293981481481481</v>
      </c>
      <c r="F931" t="s">
        <v>573</v>
      </c>
      <c r="G931" t="s">
        <v>553</v>
      </c>
      <c r="H931">
        <v>10</v>
      </c>
      <c r="I931" s="24">
        <v>8.3715277777777874E-2</v>
      </c>
      <c r="J931">
        <f t="shared" si="28"/>
        <v>0</v>
      </c>
      <c r="K931">
        <f t="shared" si="29"/>
        <v>0</v>
      </c>
    </row>
    <row r="932" spans="1:11" x14ac:dyDescent="0.25">
      <c r="A932">
        <v>52</v>
      </c>
      <c r="B932" t="s">
        <v>470</v>
      </c>
      <c r="C932" s="4">
        <v>0.85922453703703705</v>
      </c>
      <c r="D932" s="23">
        <v>0.85925925925925928</v>
      </c>
      <c r="E932" s="23">
        <v>0.94293981481481481</v>
      </c>
      <c r="F932" t="s">
        <v>574</v>
      </c>
      <c r="G932" t="s">
        <v>553</v>
      </c>
      <c r="H932">
        <v>10</v>
      </c>
      <c r="I932" s="24">
        <v>8.3715277777777874E-2</v>
      </c>
      <c r="J932">
        <f t="shared" si="28"/>
        <v>0</v>
      </c>
      <c r="K932">
        <f t="shared" si="29"/>
        <v>0</v>
      </c>
    </row>
    <row r="933" spans="1:11" x14ac:dyDescent="0.25">
      <c r="A933">
        <v>53</v>
      </c>
      <c r="B933" t="s">
        <v>397</v>
      </c>
      <c r="C933" s="4">
        <v>0.85922453703703705</v>
      </c>
      <c r="D933" s="23">
        <v>0.85925925925925928</v>
      </c>
      <c r="E933" s="23">
        <v>0.94293981481481481</v>
      </c>
      <c r="F933" t="s">
        <v>391</v>
      </c>
      <c r="G933" t="s">
        <v>553</v>
      </c>
      <c r="H933">
        <v>10</v>
      </c>
      <c r="I933" s="24">
        <v>8.3715277777777874E-2</v>
      </c>
      <c r="J933">
        <f t="shared" si="28"/>
        <v>0</v>
      </c>
      <c r="K933">
        <f t="shared" si="29"/>
        <v>0</v>
      </c>
    </row>
    <row r="934" spans="1:11" x14ac:dyDescent="0.25">
      <c r="A934">
        <v>54</v>
      </c>
      <c r="B934" t="s">
        <v>575</v>
      </c>
      <c r="C934" s="4">
        <v>0.85922453703703705</v>
      </c>
      <c r="D934" s="23">
        <v>0.93881944444444443</v>
      </c>
      <c r="E934" s="23">
        <v>0.94293981481481481</v>
      </c>
      <c r="F934" t="s">
        <v>576</v>
      </c>
      <c r="G934" t="s">
        <v>553</v>
      </c>
      <c r="H934">
        <v>10</v>
      </c>
      <c r="I934" s="24">
        <v>8.3715277777777874E-2</v>
      </c>
      <c r="J934">
        <f t="shared" si="28"/>
        <v>0</v>
      </c>
      <c r="K934">
        <f t="shared" si="29"/>
        <v>0</v>
      </c>
    </row>
    <row r="935" spans="1:11" x14ac:dyDescent="0.25">
      <c r="A935">
        <v>55</v>
      </c>
      <c r="B935" t="s">
        <v>89</v>
      </c>
      <c r="C935" s="4">
        <v>0.85922453703703705</v>
      </c>
      <c r="D935" s="23">
        <v>0.85925925925925928</v>
      </c>
      <c r="E935" s="23">
        <v>0.94293981481481481</v>
      </c>
      <c r="F935" t="s">
        <v>391</v>
      </c>
      <c r="G935" t="s">
        <v>553</v>
      </c>
      <c r="H935">
        <v>10</v>
      </c>
      <c r="I935" s="24">
        <v>8.3715277777777874E-2</v>
      </c>
      <c r="J935">
        <f t="shared" si="28"/>
        <v>0</v>
      </c>
      <c r="K935">
        <f t="shared" si="29"/>
        <v>0</v>
      </c>
    </row>
    <row r="936" spans="1:11" x14ac:dyDescent="0.25">
      <c r="A936">
        <v>56</v>
      </c>
      <c r="B936" t="s">
        <v>138</v>
      </c>
      <c r="C936" s="4">
        <v>0.85922453703703705</v>
      </c>
      <c r="D936" s="23">
        <v>0.9086805555555556</v>
      </c>
      <c r="E936" s="23">
        <v>0.94293981481481481</v>
      </c>
      <c r="F936" t="s">
        <v>577</v>
      </c>
      <c r="G936" t="s">
        <v>553</v>
      </c>
      <c r="H936">
        <v>10</v>
      </c>
      <c r="I936" s="24">
        <v>8.3715277777777874E-2</v>
      </c>
      <c r="J936">
        <f t="shared" si="28"/>
        <v>0</v>
      </c>
      <c r="K936">
        <f t="shared" si="29"/>
        <v>0</v>
      </c>
    </row>
    <row r="937" spans="1:11" x14ac:dyDescent="0.25">
      <c r="A937">
        <v>57</v>
      </c>
      <c r="B937" t="s">
        <v>348</v>
      </c>
      <c r="C937" s="4">
        <v>0.85922453703703705</v>
      </c>
      <c r="D937" s="23">
        <v>0.85925925925925928</v>
      </c>
      <c r="E937" s="23">
        <v>0.94293981481481481</v>
      </c>
      <c r="F937" t="s">
        <v>578</v>
      </c>
      <c r="G937" t="s">
        <v>553</v>
      </c>
      <c r="H937">
        <v>10</v>
      </c>
      <c r="I937" s="24">
        <v>8.3715277777777874E-2</v>
      </c>
      <c r="J937">
        <f t="shared" si="28"/>
        <v>0</v>
      </c>
      <c r="K937">
        <f t="shared" si="29"/>
        <v>0</v>
      </c>
    </row>
    <row r="938" spans="1:11" x14ac:dyDescent="0.25">
      <c r="A938">
        <v>58</v>
      </c>
      <c r="B938" t="s">
        <v>321</v>
      </c>
      <c r="C938" s="4">
        <v>0.85922453703703705</v>
      </c>
      <c r="D938" s="23">
        <v>0.85925925925925928</v>
      </c>
      <c r="E938" s="23">
        <v>0.94293981481481481</v>
      </c>
      <c r="F938" t="s">
        <v>579</v>
      </c>
      <c r="G938" t="s">
        <v>553</v>
      </c>
      <c r="H938">
        <v>10</v>
      </c>
      <c r="I938" s="24">
        <v>8.3715277777777874E-2</v>
      </c>
      <c r="J938">
        <f t="shared" si="28"/>
        <v>0</v>
      </c>
      <c r="K938">
        <f t="shared" si="29"/>
        <v>0</v>
      </c>
    </row>
    <row r="939" spans="1:11" x14ac:dyDescent="0.25">
      <c r="A939">
        <v>1</v>
      </c>
      <c r="B939" t="s">
        <v>9</v>
      </c>
      <c r="C939" s="4">
        <v>0.85858796296296291</v>
      </c>
      <c r="D939" s="23">
        <v>0.85863425925925929</v>
      </c>
      <c r="E939" s="23">
        <v>0.92447916666666663</v>
      </c>
      <c r="F939" t="s">
        <v>580</v>
      </c>
      <c r="G939" t="s">
        <v>581</v>
      </c>
      <c r="H939">
        <v>9</v>
      </c>
      <c r="I939" s="24">
        <v>6.5891203703703605E-2</v>
      </c>
      <c r="J939">
        <f t="shared" si="28"/>
        <v>0</v>
      </c>
      <c r="K939">
        <f t="shared" si="29"/>
        <v>0</v>
      </c>
    </row>
    <row r="940" spans="1:11" x14ac:dyDescent="0.25">
      <c r="A940">
        <v>2</v>
      </c>
      <c r="B940" t="s">
        <v>11</v>
      </c>
      <c r="C940" s="4">
        <v>0.85858796296296291</v>
      </c>
      <c r="D940" s="23">
        <v>0.90020833333333339</v>
      </c>
      <c r="E940" s="23">
        <v>0.92447916666666663</v>
      </c>
      <c r="F940" t="s">
        <v>583</v>
      </c>
      <c r="G940" t="s">
        <v>581</v>
      </c>
      <c r="H940">
        <v>9</v>
      </c>
      <c r="I940" s="24">
        <v>6.5891203703703605E-2</v>
      </c>
      <c r="J940">
        <f t="shared" si="28"/>
        <v>0</v>
      </c>
      <c r="K940">
        <f t="shared" si="29"/>
        <v>0</v>
      </c>
    </row>
    <row r="941" spans="1:11" x14ac:dyDescent="0.25">
      <c r="A941">
        <v>3</v>
      </c>
      <c r="B941" t="s">
        <v>296</v>
      </c>
      <c r="C941" s="4">
        <v>0.85858796296296291</v>
      </c>
      <c r="D941" s="23">
        <v>0.85863425925925929</v>
      </c>
      <c r="E941" s="23">
        <v>0.92447916666666663</v>
      </c>
      <c r="F941" t="s">
        <v>580</v>
      </c>
      <c r="G941" t="s">
        <v>581</v>
      </c>
      <c r="H941">
        <v>9</v>
      </c>
      <c r="I941" s="24">
        <v>6.5891203703703605E-2</v>
      </c>
      <c r="J941">
        <f t="shared" si="28"/>
        <v>0</v>
      </c>
      <c r="K941">
        <f t="shared" si="29"/>
        <v>0</v>
      </c>
    </row>
    <row r="942" spans="1:11" x14ac:dyDescent="0.25">
      <c r="A942">
        <v>4</v>
      </c>
      <c r="B942" t="s">
        <v>35</v>
      </c>
      <c r="C942" s="4">
        <v>0.85858796296296291</v>
      </c>
      <c r="D942" s="23">
        <v>0.85863425925925929</v>
      </c>
      <c r="E942" s="23">
        <v>0.92447916666666663</v>
      </c>
      <c r="F942" t="s">
        <v>584</v>
      </c>
      <c r="G942" t="s">
        <v>581</v>
      </c>
      <c r="H942">
        <v>9</v>
      </c>
      <c r="I942" s="24">
        <v>6.5891203703703605E-2</v>
      </c>
      <c r="J942">
        <f t="shared" ref="J942:J1002" si="30">IF(AND(H942&gt;=1,H942&lt;=7),1,0)</f>
        <v>0</v>
      </c>
      <c r="K942">
        <f t="shared" ref="K942:K1002" si="31">IF(AND(H942&gt;=30,H942&lt;=36),1,0)</f>
        <v>0</v>
      </c>
    </row>
    <row r="943" spans="1:11" x14ac:dyDescent="0.25">
      <c r="A943">
        <v>5</v>
      </c>
      <c r="B943" t="s">
        <v>585</v>
      </c>
      <c r="C943" s="4">
        <v>0.85858796296296291</v>
      </c>
      <c r="D943" s="23">
        <v>0.90020833333333339</v>
      </c>
      <c r="E943" s="23">
        <v>0.92447916666666663</v>
      </c>
      <c r="F943" t="s">
        <v>456</v>
      </c>
      <c r="G943" t="s">
        <v>581</v>
      </c>
      <c r="H943">
        <v>9</v>
      </c>
      <c r="I943" s="24">
        <v>6.5891203703703605E-2</v>
      </c>
      <c r="J943">
        <f t="shared" si="30"/>
        <v>0</v>
      </c>
      <c r="K943">
        <f t="shared" si="31"/>
        <v>0</v>
      </c>
    </row>
    <row r="944" spans="1:11" x14ac:dyDescent="0.25">
      <c r="A944">
        <v>7</v>
      </c>
      <c r="B944" t="s">
        <v>70</v>
      </c>
      <c r="C944" s="4">
        <v>0.85858796296296291</v>
      </c>
      <c r="D944" s="23">
        <v>0.90020833333333339</v>
      </c>
      <c r="E944" s="23">
        <v>0.92447916666666663</v>
      </c>
      <c r="F944" t="s">
        <v>586</v>
      </c>
      <c r="G944" t="s">
        <v>581</v>
      </c>
      <c r="H944">
        <v>9</v>
      </c>
      <c r="I944" s="24">
        <v>6.5891203703703605E-2</v>
      </c>
      <c r="J944">
        <f t="shared" si="30"/>
        <v>0</v>
      </c>
      <c r="K944">
        <f t="shared" si="31"/>
        <v>0</v>
      </c>
    </row>
    <row r="945" spans="1:11" x14ac:dyDescent="0.25">
      <c r="A945">
        <v>8</v>
      </c>
      <c r="B945" t="s">
        <v>380</v>
      </c>
      <c r="C945" s="4">
        <v>0.85858796296296291</v>
      </c>
      <c r="D945" s="23">
        <v>0.85863425925925929</v>
      </c>
      <c r="E945" s="23">
        <v>0.92447916666666663</v>
      </c>
      <c r="F945" t="s">
        <v>580</v>
      </c>
      <c r="G945" t="s">
        <v>581</v>
      </c>
      <c r="H945">
        <v>9</v>
      </c>
      <c r="I945" s="24">
        <v>6.5891203703703605E-2</v>
      </c>
      <c r="J945">
        <f t="shared" si="30"/>
        <v>0</v>
      </c>
      <c r="K945">
        <f t="shared" si="31"/>
        <v>0</v>
      </c>
    </row>
    <row r="946" spans="1:11" x14ac:dyDescent="0.25">
      <c r="A946">
        <v>9</v>
      </c>
      <c r="B946" t="s">
        <v>181</v>
      </c>
      <c r="C946" s="4">
        <v>0.85858796296296291</v>
      </c>
      <c r="D946" s="23">
        <v>0.85863425925925929</v>
      </c>
      <c r="E946" s="23">
        <v>0.92447916666666663</v>
      </c>
      <c r="F946" t="s">
        <v>580</v>
      </c>
      <c r="G946" t="s">
        <v>581</v>
      </c>
      <c r="H946">
        <v>9</v>
      </c>
      <c r="I946" s="24">
        <v>6.5891203703703605E-2</v>
      </c>
      <c r="J946">
        <f t="shared" si="30"/>
        <v>0</v>
      </c>
      <c r="K946">
        <f t="shared" si="31"/>
        <v>0</v>
      </c>
    </row>
    <row r="947" spans="1:11" x14ac:dyDescent="0.25">
      <c r="A947">
        <v>11</v>
      </c>
      <c r="B947" t="s">
        <v>36</v>
      </c>
      <c r="C947" s="4">
        <v>0.85858796296296291</v>
      </c>
      <c r="D947" s="23">
        <v>0.90020833333333339</v>
      </c>
      <c r="E947" s="23">
        <v>0.92447916666666663</v>
      </c>
      <c r="F947" t="s">
        <v>456</v>
      </c>
      <c r="G947" t="s">
        <v>581</v>
      </c>
      <c r="H947">
        <v>9</v>
      </c>
      <c r="I947" s="24">
        <v>6.5891203703703605E-2</v>
      </c>
      <c r="J947">
        <f t="shared" si="30"/>
        <v>0</v>
      </c>
      <c r="K947">
        <f t="shared" si="31"/>
        <v>0</v>
      </c>
    </row>
    <row r="948" spans="1:11" x14ac:dyDescent="0.25">
      <c r="A948">
        <v>12</v>
      </c>
      <c r="B948" t="s">
        <v>587</v>
      </c>
      <c r="C948" s="4">
        <v>0.85858796296296291</v>
      </c>
      <c r="D948" s="23">
        <v>0.85863425925925929</v>
      </c>
      <c r="E948" s="23">
        <v>0.92447916666666663</v>
      </c>
      <c r="F948" t="s">
        <v>580</v>
      </c>
      <c r="G948" t="s">
        <v>581</v>
      </c>
      <c r="H948">
        <v>9</v>
      </c>
      <c r="I948" s="24">
        <v>6.5891203703703605E-2</v>
      </c>
      <c r="J948">
        <f t="shared" si="30"/>
        <v>0</v>
      </c>
      <c r="K948">
        <f t="shared" si="31"/>
        <v>0</v>
      </c>
    </row>
    <row r="949" spans="1:11" x14ac:dyDescent="0.25">
      <c r="A949">
        <v>13</v>
      </c>
      <c r="B949" t="s">
        <v>37</v>
      </c>
      <c r="C949" s="4">
        <v>0.85858796296296291</v>
      </c>
      <c r="D949" s="23">
        <v>0.90020833333333339</v>
      </c>
      <c r="E949" s="23">
        <v>0.92447916666666663</v>
      </c>
      <c r="F949" t="s">
        <v>456</v>
      </c>
      <c r="G949" t="s">
        <v>581</v>
      </c>
      <c r="H949">
        <v>9</v>
      </c>
      <c r="I949" s="24">
        <v>6.5891203703703605E-2</v>
      </c>
      <c r="J949">
        <f t="shared" si="30"/>
        <v>0</v>
      </c>
      <c r="K949">
        <f t="shared" si="31"/>
        <v>0</v>
      </c>
    </row>
    <row r="950" spans="1:11" x14ac:dyDescent="0.25">
      <c r="A950">
        <v>14</v>
      </c>
      <c r="B950" t="s">
        <v>16</v>
      </c>
      <c r="C950" s="4">
        <v>0.85858796296296291</v>
      </c>
      <c r="D950" s="23">
        <v>0.85863425925925929</v>
      </c>
      <c r="E950" s="23">
        <v>0.92447916666666663</v>
      </c>
      <c r="F950" t="s">
        <v>580</v>
      </c>
      <c r="G950" t="s">
        <v>581</v>
      </c>
      <c r="H950">
        <v>9</v>
      </c>
      <c r="I950" s="24">
        <v>6.5891203703703605E-2</v>
      </c>
      <c r="J950">
        <f t="shared" si="30"/>
        <v>0</v>
      </c>
      <c r="K950">
        <f t="shared" si="31"/>
        <v>0</v>
      </c>
    </row>
    <row r="951" spans="1:11" x14ac:dyDescent="0.25">
      <c r="A951">
        <v>15</v>
      </c>
      <c r="B951" t="s">
        <v>184</v>
      </c>
      <c r="C951" s="4">
        <v>0.85858796296296291</v>
      </c>
      <c r="D951" s="23">
        <v>0.85863425925925929</v>
      </c>
      <c r="E951" s="23">
        <v>0.92447916666666663</v>
      </c>
      <c r="F951" t="s">
        <v>580</v>
      </c>
      <c r="G951" t="s">
        <v>581</v>
      </c>
      <c r="H951">
        <v>9</v>
      </c>
      <c r="I951" s="24">
        <v>6.5891203703703605E-2</v>
      </c>
      <c r="J951">
        <f t="shared" si="30"/>
        <v>0</v>
      </c>
      <c r="K951">
        <f t="shared" si="31"/>
        <v>0</v>
      </c>
    </row>
    <row r="952" spans="1:11" x14ac:dyDescent="0.25">
      <c r="A952">
        <v>16</v>
      </c>
      <c r="B952" t="s">
        <v>186</v>
      </c>
      <c r="C952" s="4">
        <v>0.85858796296296291</v>
      </c>
      <c r="D952" s="23">
        <v>0.90020833333333339</v>
      </c>
      <c r="E952" s="23">
        <v>0.92447916666666663</v>
      </c>
      <c r="F952" t="s">
        <v>456</v>
      </c>
      <c r="G952" t="s">
        <v>581</v>
      </c>
      <c r="H952">
        <v>9</v>
      </c>
      <c r="I952" s="24">
        <v>6.5891203703703605E-2</v>
      </c>
      <c r="J952">
        <f t="shared" si="30"/>
        <v>0</v>
      </c>
      <c r="K952">
        <f t="shared" si="31"/>
        <v>0</v>
      </c>
    </row>
    <row r="953" spans="1:11" x14ac:dyDescent="0.25">
      <c r="A953">
        <v>17</v>
      </c>
      <c r="B953" t="s">
        <v>409</v>
      </c>
      <c r="C953" s="4">
        <v>0.85858796296296291</v>
      </c>
      <c r="D953" s="23">
        <v>0.90020833333333339</v>
      </c>
      <c r="E953" s="23">
        <v>0.92447916666666663</v>
      </c>
      <c r="F953" t="s">
        <v>588</v>
      </c>
      <c r="G953" t="s">
        <v>581</v>
      </c>
      <c r="H953">
        <v>9</v>
      </c>
      <c r="I953" s="24">
        <v>6.5891203703703605E-2</v>
      </c>
      <c r="J953">
        <f t="shared" si="30"/>
        <v>0</v>
      </c>
      <c r="K953">
        <f t="shared" si="31"/>
        <v>0</v>
      </c>
    </row>
    <row r="954" spans="1:11" x14ac:dyDescent="0.25">
      <c r="A954">
        <v>18</v>
      </c>
      <c r="B954" t="s">
        <v>335</v>
      </c>
      <c r="C954" s="4">
        <v>0.85858796296296291</v>
      </c>
      <c r="D954" s="23">
        <v>0.90020833333333339</v>
      </c>
      <c r="E954" s="23">
        <v>0.92447916666666663</v>
      </c>
      <c r="F954" t="s">
        <v>456</v>
      </c>
      <c r="G954" t="s">
        <v>581</v>
      </c>
      <c r="H954">
        <v>9</v>
      </c>
      <c r="I954" s="24">
        <v>6.5891203703703605E-2</v>
      </c>
      <c r="J954">
        <f t="shared" si="30"/>
        <v>0</v>
      </c>
      <c r="K954">
        <f t="shared" si="31"/>
        <v>0</v>
      </c>
    </row>
    <row r="955" spans="1:11" x14ac:dyDescent="0.25">
      <c r="A955">
        <v>19</v>
      </c>
      <c r="B955" t="s">
        <v>18</v>
      </c>
      <c r="C955" s="4">
        <v>0.85858796296296291</v>
      </c>
      <c r="D955" s="23">
        <v>0.85863425925925929</v>
      </c>
      <c r="E955" s="23">
        <v>0.92447916666666663</v>
      </c>
      <c r="F955" t="s">
        <v>580</v>
      </c>
      <c r="G955" t="s">
        <v>581</v>
      </c>
      <c r="H955">
        <v>9</v>
      </c>
      <c r="I955" s="24">
        <v>6.5891203703703605E-2</v>
      </c>
      <c r="J955">
        <f t="shared" si="30"/>
        <v>0</v>
      </c>
      <c r="K955">
        <f t="shared" si="31"/>
        <v>0</v>
      </c>
    </row>
    <row r="956" spans="1:11" x14ac:dyDescent="0.25">
      <c r="A956">
        <v>20</v>
      </c>
      <c r="B956" t="s">
        <v>41</v>
      </c>
      <c r="C956" s="4">
        <v>0.85858796296296291</v>
      </c>
      <c r="D956" s="23">
        <v>0.85863425925925929</v>
      </c>
      <c r="E956" s="23">
        <v>0.92447916666666663</v>
      </c>
      <c r="F956" t="s">
        <v>580</v>
      </c>
      <c r="G956" t="s">
        <v>581</v>
      </c>
      <c r="H956">
        <v>9</v>
      </c>
      <c r="I956" s="24">
        <v>6.5891203703703605E-2</v>
      </c>
      <c r="J956">
        <f t="shared" si="30"/>
        <v>0</v>
      </c>
      <c r="K956">
        <f t="shared" si="31"/>
        <v>0</v>
      </c>
    </row>
    <row r="957" spans="1:11" x14ac:dyDescent="0.25">
      <c r="A957">
        <v>21</v>
      </c>
      <c r="B957" t="s">
        <v>267</v>
      </c>
      <c r="C957" s="4">
        <v>0.85858796296296291</v>
      </c>
      <c r="D957" s="23">
        <v>0.85863425925925929</v>
      </c>
      <c r="E957" s="23">
        <v>0.92447916666666663</v>
      </c>
      <c r="F957" t="s">
        <v>580</v>
      </c>
      <c r="G957" t="s">
        <v>581</v>
      </c>
      <c r="H957">
        <v>9</v>
      </c>
      <c r="I957" s="24">
        <v>6.5891203703703605E-2</v>
      </c>
      <c r="J957">
        <f t="shared" si="30"/>
        <v>0</v>
      </c>
      <c r="K957">
        <f t="shared" si="31"/>
        <v>0</v>
      </c>
    </row>
    <row r="958" spans="1:11" x14ac:dyDescent="0.25">
      <c r="A958">
        <v>22</v>
      </c>
      <c r="B958" t="s">
        <v>506</v>
      </c>
      <c r="C958" s="4">
        <v>0.85858796296296291</v>
      </c>
      <c r="D958" s="23">
        <v>0.90020833333333339</v>
      </c>
      <c r="E958" s="23">
        <v>0.92447916666666663</v>
      </c>
      <c r="F958" t="s">
        <v>456</v>
      </c>
      <c r="G958" t="s">
        <v>581</v>
      </c>
      <c r="H958">
        <v>9</v>
      </c>
      <c r="I958" s="24">
        <v>6.5891203703703605E-2</v>
      </c>
      <c r="J958">
        <f t="shared" si="30"/>
        <v>0</v>
      </c>
      <c r="K958">
        <f t="shared" si="31"/>
        <v>0</v>
      </c>
    </row>
    <row r="959" spans="1:11" x14ac:dyDescent="0.25">
      <c r="A959">
        <v>23</v>
      </c>
      <c r="B959" t="s">
        <v>118</v>
      </c>
      <c r="C959" s="4">
        <v>0.85858796296296291</v>
      </c>
      <c r="D959" s="23">
        <v>0.85863425925925929</v>
      </c>
      <c r="E959" s="23">
        <v>0.92447916666666663</v>
      </c>
      <c r="F959" t="s">
        <v>580</v>
      </c>
      <c r="G959" t="s">
        <v>581</v>
      </c>
      <c r="H959">
        <v>9</v>
      </c>
      <c r="I959" s="24">
        <v>6.5891203703703605E-2</v>
      </c>
      <c r="J959">
        <f t="shared" si="30"/>
        <v>0</v>
      </c>
      <c r="K959">
        <f t="shared" si="31"/>
        <v>0</v>
      </c>
    </row>
    <row r="960" spans="1:11" x14ac:dyDescent="0.25">
      <c r="A960">
        <v>24</v>
      </c>
      <c r="B960" t="s">
        <v>383</v>
      </c>
      <c r="C960" s="4">
        <v>0.85858796296296291</v>
      </c>
      <c r="D960" s="23">
        <v>0.92</v>
      </c>
      <c r="E960" s="23">
        <v>0.92447916666666663</v>
      </c>
      <c r="F960" t="s">
        <v>589</v>
      </c>
      <c r="G960" t="s">
        <v>581</v>
      </c>
      <c r="H960">
        <v>9</v>
      </c>
      <c r="I960" s="24">
        <v>6.5891203703703605E-2</v>
      </c>
      <c r="J960">
        <f t="shared" si="30"/>
        <v>0</v>
      </c>
      <c r="K960">
        <f t="shared" si="31"/>
        <v>0</v>
      </c>
    </row>
    <row r="961" spans="1:11" x14ac:dyDescent="0.25">
      <c r="A961">
        <v>25</v>
      </c>
      <c r="B961" t="s">
        <v>60</v>
      </c>
      <c r="C961" s="4">
        <v>0.85858796296296291</v>
      </c>
      <c r="D961" s="23">
        <v>0.90020833333333339</v>
      </c>
      <c r="E961" s="23">
        <v>0.92447916666666663</v>
      </c>
      <c r="F961" t="s">
        <v>590</v>
      </c>
      <c r="G961" t="s">
        <v>581</v>
      </c>
      <c r="H961">
        <v>9</v>
      </c>
      <c r="I961" s="24">
        <v>6.5891203703703605E-2</v>
      </c>
      <c r="J961">
        <f t="shared" si="30"/>
        <v>0</v>
      </c>
      <c r="K961">
        <f t="shared" si="31"/>
        <v>0</v>
      </c>
    </row>
    <row r="962" spans="1:11" x14ac:dyDescent="0.25">
      <c r="A962">
        <v>26</v>
      </c>
      <c r="B962" t="s">
        <v>236</v>
      </c>
      <c r="C962" s="4">
        <v>0.85858796296296291</v>
      </c>
      <c r="D962" s="23">
        <v>0.90020833333333339</v>
      </c>
      <c r="E962" s="23">
        <v>0.92447916666666663</v>
      </c>
      <c r="F962" t="s">
        <v>591</v>
      </c>
      <c r="G962" t="s">
        <v>581</v>
      </c>
      <c r="H962">
        <v>9</v>
      </c>
      <c r="I962" s="24">
        <v>6.5891203703703605E-2</v>
      </c>
      <c r="J962">
        <f t="shared" si="30"/>
        <v>0</v>
      </c>
      <c r="K962">
        <f t="shared" si="31"/>
        <v>0</v>
      </c>
    </row>
    <row r="963" spans="1:11" x14ac:dyDescent="0.25">
      <c r="A963">
        <v>27</v>
      </c>
      <c r="B963" t="s">
        <v>592</v>
      </c>
      <c r="C963" s="4">
        <v>0.85858796296296291</v>
      </c>
      <c r="D963" s="23">
        <v>0.85863425925925929</v>
      </c>
      <c r="E963" s="23">
        <v>0.92447916666666663</v>
      </c>
      <c r="F963" t="s">
        <v>593</v>
      </c>
      <c r="G963" t="s">
        <v>581</v>
      </c>
      <c r="H963">
        <v>9</v>
      </c>
      <c r="I963" s="24">
        <v>6.5891203703703605E-2</v>
      </c>
      <c r="J963">
        <f t="shared" si="30"/>
        <v>0</v>
      </c>
      <c r="K963">
        <f t="shared" si="31"/>
        <v>0</v>
      </c>
    </row>
    <row r="964" spans="1:11" x14ac:dyDescent="0.25">
      <c r="A964">
        <v>28</v>
      </c>
      <c r="B964" t="s">
        <v>20</v>
      </c>
      <c r="C964" s="4">
        <v>0.85858796296296291</v>
      </c>
      <c r="D964" s="23">
        <v>0.85863425925925929</v>
      </c>
      <c r="E964" s="23">
        <v>0.92447916666666663</v>
      </c>
      <c r="F964" t="s">
        <v>580</v>
      </c>
      <c r="G964" t="s">
        <v>581</v>
      </c>
      <c r="H964">
        <v>9</v>
      </c>
      <c r="I964" s="24">
        <v>6.5891203703703605E-2</v>
      </c>
      <c r="J964">
        <f t="shared" si="30"/>
        <v>0</v>
      </c>
      <c r="K964">
        <f t="shared" si="31"/>
        <v>0</v>
      </c>
    </row>
    <row r="965" spans="1:11" x14ac:dyDescent="0.25">
      <c r="A965">
        <v>29</v>
      </c>
      <c r="B965" t="s">
        <v>540</v>
      </c>
      <c r="C965" s="4">
        <v>0.85858796296296291</v>
      </c>
      <c r="D965" s="23">
        <v>0.85863425925925929</v>
      </c>
      <c r="E965" s="23">
        <v>0.92447916666666663</v>
      </c>
      <c r="F965" t="s">
        <v>580</v>
      </c>
      <c r="G965" t="s">
        <v>581</v>
      </c>
      <c r="H965">
        <v>9</v>
      </c>
      <c r="I965" s="24">
        <v>6.5891203703703605E-2</v>
      </c>
      <c r="J965">
        <f t="shared" si="30"/>
        <v>0</v>
      </c>
      <c r="K965">
        <f t="shared" si="31"/>
        <v>0</v>
      </c>
    </row>
    <row r="966" spans="1:11" x14ac:dyDescent="0.25">
      <c r="A966">
        <v>30</v>
      </c>
      <c r="B966" t="s">
        <v>99</v>
      </c>
      <c r="C966" s="4">
        <v>0.85858796296296291</v>
      </c>
      <c r="D966" s="23">
        <v>0.90020833333333339</v>
      </c>
      <c r="E966" s="23">
        <v>0.92447916666666663</v>
      </c>
      <c r="F966" t="s">
        <v>456</v>
      </c>
      <c r="G966" t="s">
        <v>581</v>
      </c>
      <c r="H966">
        <v>9</v>
      </c>
      <c r="I966" s="24">
        <v>6.5891203703703605E-2</v>
      </c>
      <c r="J966">
        <f t="shared" si="30"/>
        <v>0</v>
      </c>
      <c r="K966">
        <f t="shared" si="31"/>
        <v>0</v>
      </c>
    </row>
    <row r="967" spans="1:11" x14ac:dyDescent="0.25">
      <c r="A967">
        <v>31</v>
      </c>
      <c r="B967" t="s">
        <v>156</v>
      </c>
      <c r="C967" s="4">
        <v>0.85858796296296291</v>
      </c>
      <c r="D967" s="23">
        <v>0.85863425925925929</v>
      </c>
      <c r="E967" s="23">
        <v>0.92447916666666663</v>
      </c>
      <c r="F967" t="s">
        <v>593</v>
      </c>
      <c r="G967" t="s">
        <v>581</v>
      </c>
      <c r="H967">
        <v>9</v>
      </c>
      <c r="I967" s="24">
        <v>6.5891203703703605E-2</v>
      </c>
      <c r="J967">
        <f t="shared" si="30"/>
        <v>0</v>
      </c>
      <c r="K967">
        <f t="shared" si="31"/>
        <v>0</v>
      </c>
    </row>
    <row r="968" spans="1:11" x14ac:dyDescent="0.25">
      <c r="A968">
        <v>32</v>
      </c>
      <c r="B968" t="s">
        <v>238</v>
      </c>
      <c r="C968" s="4">
        <v>0.85858796296296291</v>
      </c>
      <c r="D968" s="23">
        <v>0.85863425925925929</v>
      </c>
      <c r="E968" s="23">
        <v>0.92447916666666663</v>
      </c>
      <c r="F968" t="s">
        <v>580</v>
      </c>
      <c r="G968" t="s">
        <v>581</v>
      </c>
      <c r="H968">
        <v>9</v>
      </c>
      <c r="I968" s="24">
        <v>6.5891203703703605E-2</v>
      </c>
      <c r="J968">
        <f t="shared" si="30"/>
        <v>0</v>
      </c>
      <c r="K968">
        <f t="shared" si="31"/>
        <v>0</v>
      </c>
    </row>
    <row r="969" spans="1:11" x14ac:dyDescent="0.25">
      <c r="A969">
        <v>33</v>
      </c>
      <c r="B969" t="s">
        <v>22</v>
      </c>
      <c r="C969" s="4">
        <v>0.85858796296296291</v>
      </c>
      <c r="D969" s="23">
        <v>0.85863425925925929</v>
      </c>
      <c r="E969" s="23">
        <v>0.92447916666666663</v>
      </c>
      <c r="F969" t="s">
        <v>580</v>
      </c>
      <c r="G969" t="s">
        <v>581</v>
      </c>
      <c r="H969">
        <v>9</v>
      </c>
      <c r="I969" s="24">
        <v>6.5891203703703605E-2</v>
      </c>
      <c r="J969">
        <f t="shared" si="30"/>
        <v>0</v>
      </c>
      <c r="K969">
        <f t="shared" si="31"/>
        <v>0</v>
      </c>
    </row>
    <row r="970" spans="1:11" x14ac:dyDescent="0.25">
      <c r="A970">
        <v>34</v>
      </c>
      <c r="B970" t="s">
        <v>412</v>
      </c>
      <c r="C970" s="4">
        <v>0.85858796296296291</v>
      </c>
      <c r="D970" s="23">
        <v>0.92</v>
      </c>
      <c r="E970" s="23">
        <v>0.92447916666666663</v>
      </c>
      <c r="F970" t="s">
        <v>594</v>
      </c>
      <c r="G970" t="s">
        <v>581</v>
      </c>
      <c r="H970">
        <v>9</v>
      </c>
      <c r="I970" s="24">
        <v>6.5891203703703605E-2</v>
      </c>
      <c r="J970">
        <f t="shared" si="30"/>
        <v>0</v>
      </c>
      <c r="K970">
        <f t="shared" si="31"/>
        <v>0</v>
      </c>
    </row>
    <row r="971" spans="1:11" x14ac:dyDescent="0.25">
      <c r="A971">
        <v>35</v>
      </c>
      <c r="B971" t="s">
        <v>46</v>
      </c>
      <c r="C971" s="4">
        <v>0.85858796296296291</v>
      </c>
      <c r="D971" s="23">
        <v>0.85863425925925929</v>
      </c>
      <c r="E971" s="23">
        <v>0.92447916666666663</v>
      </c>
      <c r="F971" t="s">
        <v>595</v>
      </c>
      <c r="G971" t="s">
        <v>581</v>
      </c>
      <c r="H971">
        <v>9</v>
      </c>
      <c r="I971" s="24">
        <v>6.5891203703703605E-2</v>
      </c>
      <c r="J971">
        <f t="shared" si="30"/>
        <v>0</v>
      </c>
      <c r="K971">
        <f t="shared" si="31"/>
        <v>0</v>
      </c>
    </row>
    <row r="972" spans="1:11" x14ac:dyDescent="0.25">
      <c r="A972">
        <v>36</v>
      </c>
      <c r="B972" t="s">
        <v>596</v>
      </c>
      <c r="C972" s="4">
        <v>0.85858796296296291</v>
      </c>
      <c r="D972" s="23">
        <v>0.85863425925925929</v>
      </c>
      <c r="E972" s="23">
        <v>0.92447916666666663</v>
      </c>
      <c r="F972" t="s">
        <v>580</v>
      </c>
      <c r="G972" t="s">
        <v>581</v>
      </c>
      <c r="H972">
        <v>9</v>
      </c>
      <c r="I972" s="24">
        <v>6.5891203703703605E-2</v>
      </c>
      <c r="J972">
        <f t="shared" si="30"/>
        <v>0</v>
      </c>
      <c r="K972">
        <f t="shared" si="31"/>
        <v>0</v>
      </c>
    </row>
    <row r="973" spans="1:11" x14ac:dyDescent="0.25">
      <c r="A973">
        <v>37</v>
      </c>
      <c r="B973" t="s">
        <v>23</v>
      </c>
      <c r="C973" s="4">
        <v>0.85858796296296291</v>
      </c>
      <c r="D973" s="23">
        <v>0.92</v>
      </c>
      <c r="E973" s="23">
        <v>0.92447916666666663</v>
      </c>
      <c r="F973" t="s">
        <v>589</v>
      </c>
      <c r="G973" t="s">
        <v>581</v>
      </c>
      <c r="H973">
        <v>9</v>
      </c>
      <c r="I973" s="24">
        <v>6.5891203703703605E-2</v>
      </c>
      <c r="J973">
        <f t="shared" si="30"/>
        <v>0</v>
      </c>
      <c r="K973">
        <f t="shared" si="31"/>
        <v>0</v>
      </c>
    </row>
    <row r="974" spans="1:11" x14ac:dyDescent="0.25">
      <c r="A974">
        <v>38</v>
      </c>
      <c r="B974" t="s">
        <v>511</v>
      </c>
      <c r="C974" s="4">
        <v>0.85858796296296291</v>
      </c>
      <c r="D974" s="23">
        <v>0.85863425925925929</v>
      </c>
      <c r="E974" s="23">
        <v>0.92447916666666663</v>
      </c>
      <c r="F974" t="s">
        <v>597</v>
      </c>
      <c r="G974" t="s">
        <v>581</v>
      </c>
      <c r="H974">
        <v>9</v>
      </c>
      <c r="I974" s="24">
        <v>6.5891203703703605E-2</v>
      </c>
      <c r="J974">
        <f t="shared" si="30"/>
        <v>0</v>
      </c>
      <c r="K974">
        <f t="shared" si="31"/>
        <v>0</v>
      </c>
    </row>
    <row r="975" spans="1:11" x14ac:dyDescent="0.25">
      <c r="A975">
        <v>39</v>
      </c>
      <c r="B975" t="s">
        <v>49</v>
      </c>
      <c r="C975" s="4">
        <v>0.85858796296296291</v>
      </c>
      <c r="D975" s="23">
        <v>0.85863425925925929</v>
      </c>
      <c r="E975" s="23">
        <v>0.92447916666666663</v>
      </c>
      <c r="F975" t="s">
        <v>598</v>
      </c>
      <c r="G975" t="s">
        <v>581</v>
      </c>
      <c r="H975">
        <v>9</v>
      </c>
      <c r="I975" s="24">
        <v>6.5891203703703605E-2</v>
      </c>
      <c r="J975">
        <f t="shared" si="30"/>
        <v>0</v>
      </c>
      <c r="K975">
        <f t="shared" si="31"/>
        <v>0</v>
      </c>
    </row>
    <row r="976" spans="1:11" x14ac:dyDescent="0.25">
      <c r="A976">
        <v>40</v>
      </c>
      <c r="B976" t="s">
        <v>268</v>
      </c>
      <c r="C976" s="4">
        <v>0.85858796296296291</v>
      </c>
      <c r="D976" s="23">
        <v>0.85863425925925929</v>
      </c>
      <c r="E976" s="23">
        <v>0.92447916666666663</v>
      </c>
      <c r="F976" t="s">
        <v>599</v>
      </c>
      <c r="G976" t="s">
        <v>581</v>
      </c>
      <c r="H976">
        <v>9</v>
      </c>
      <c r="I976" s="24">
        <v>6.5891203703703605E-2</v>
      </c>
      <c r="J976">
        <f t="shared" si="30"/>
        <v>0</v>
      </c>
      <c r="K976">
        <f t="shared" si="31"/>
        <v>0</v>
      </c>
    </row>
    <row r="977" spans="1:11" x14ac:dyDescent="0.25">
      <c r="A977">
        <v>41</v>
      </c>
      <c r="B977" t="s">
        <v>193</v>
      </c>
      <c r="C977" s="4">
        <v>0.85858796296296291</v>
      </c>
      <c r="D977" s="23">
        <v>0.85863425925925929</v>
      </c>
      <c r="E977" s="23">
        <v>0.92447916666666663</v>
      </c>
      <c r="F977" t="s">
        <v>597</v>
      </c>
      <c r="G977" t="s">
        <v>581</v>
      </c>
      <c r="H977">
        <v>9</v>
      </c>
      <c r="I977" s="24">
        <v>6.5891203703703605E-2</v>
      </c>
      <c r="J977">
        <f t="shared" si="30"/>
        <v>0</v>
      </c>
      <c r="K977">
        <f t="shared" si="31"/>
        <v>0</v>
      </c>
    </row>
    <row r="978" spans="1:11" x14ac:dyDescent="0.25">
      <c r="A978">
        <v>42</v>
      </c>
      <c r="B978" t="s">
        <v>213</v>
      </c>
      <c r="C978" s="4">
        <v>0.85858796296296291</v>
      </c>
      <c r="D978" s="23">
        <v>0.90020833333333339</v>
      </c>
      <c r="E978" s="23">
        <v>0.92447916666666663</v>
      </c>
      <c r="F978" t="s">
        <v>456</v>
      </c>
      <c r="G978" t="s">
        <v>581</v>
      </c>
      <c r="H978">
        <v>9</v>
      </c>
      <c r="I978" s="24">
        <v>6.5891203703703605E-2</v>
      </c>
      <c r="J978">
        <f t="shared" si="30"/>
        <v>0</v>
      </c>
      <c r="K978">
        <f t="shared" si="31"/>
        <v>0</v>
      </c>
    </row>
    <row r="979" spans="1:11" x14ac:dyDescent="0.25">
      <c r="A979">
        <v>43</v>
      </c>
      <c r="B979" t="s">
        <v>50</v>
      </c>
      <c r="C979" s="4">
        <v>0.85858796296296291</v>
      </c>
      <c r="D979" s="23">
        <v>0.85863425925925929</v>
      </c>
      <c r="E979" s="23">
        <v>0.92447916666666663</v>
      </c>
      <c r="F979" t="s">
        <v>580</v>
      </c>
      <c r="G979" t="s">
        <v>581</v>
      </c>
      <c r="H979">
        <v>9</v>
      </c>
      <c r="I979" s="24">
        <v>6.5891203703703605E-2</v>
      </c>
      <c r="J979">
        <f t="shared" si="30"/>
        <v>0</v>
      </c>
      <c r="K979">
        <f t="shared" si="31"/>
        <v>0</v>
      </c>
    </row>
    <row r="980" spans="1:11" x14ac:dyDescent="0.25">
      <c r="A980">
        <v>44</v>
      </c>
      <c r="B980" t="s">
        <v>570</v>
      </c>
      <c r="C980" s="4">
        <v>0.85858796296296291</v>
      </c>
      <c r="D980" s="23">
        <v>0.85863425925925929</v>
      </c>
      <c r="E980" s="23">
        <v>0.92447916666666663</v>
      </c>
      <c r="F980" t="s">
        <v>580</v>
      </c>
      <c r="G980" t="s">
        <v>581</v>
      </c>
      <c r="H980">
        <v>9</v>
      </c>
      <c r="I980" s="24">
        <v>6.5891203703703605E-2</v>
      </c>
      <c r="J980">
        <f t="shared" si="30"/>
        <v>0</v>
      </c>
      <c r="K980">
        <f t="shared" si="31"/>
        <v>0</v>
      </c>
    </row>
    <row r="981" spans="1:11" x14ac:dyDescent="0.25">
      <c r="A981">
        <v>45</v>
      </c>
      <c r="B981" t="s">
        <v>62</v>
      </c>
      <c r="C981" s="4">
        <v>0.85858796296296291</v>
      </c>
      <c r="D981" s="23">
        <v>0.85863425925925929</v>
      </c>
      <c r="E981" s="23">
        <v>0.92447916666666663</v>
      </c>
      <c r="F981" t="s">
        <v>599</v>
      </c>
      <c r="G981" t="s">
        <v>581</v>
      </c>
      <c r="H981">
        <v>9</v>
      </c>
      <c r="I981" s="24">
        <v>6.5891203703703605E-2</v>
      </c>
      <c r="J981">
        <f t="shared" si="30"/>
        <v>0</v>
      </c>
      <c r="K981">
        <f t="shared" si="31"/>
        <v>0</v>
      </c>
    </row>
    <row r="982" spans="1:11" x14ac:dyDescent="0.25">
      <c r="A982">
        <v>46</v>
      </c>
      <c r="B982" t="s">
        <v>82</v>
      </c>
      <c r="C982" s="4">
        <v>0.85858796296296291</v>
      </c>
      <c r="D982" s="23">
        <v>0.85863425925925929</v>
      </c>
      <c r="E982" s="23">
        <v>0.92447916666666663</v>
      </c>
      <c r="F982" t="s">
        <v>580</v>
      </c>
      <c r="G982" t="s">
        <v>581</v>
      </c>
      <c r="H982">
        <v>9</v>
      </c>
      <c r="I982" s="24">
        <v>6.5891203703703605E-2</v>
      </c>
      <c r="J982">
        <f t="shared" si="30"/>
        <v>0</v>
      </c>
      <c r="K982">
        <f t="shared" si="31"/>
        <v>0</v>
      </c>
    </row>
    <row r="983" spans="1:11" x14ac:dyDescent="0.25">
      <c r="A983">
        <v>47</v>
      </c>
      <c r="B983" t="s">
        <v>83</v>
      </c>
      <c r="C983" s="4">
        <v>0.85858796296296291</v>
      </c>
      <c r="D983" s="23">
        <v>0.90020833333333339</v>
      </c>
      <c r="E983" s="23">
        <v>0.92447916666666663</v>
      </c>
      <c r="F983" t="s">
        <v>456</v>
      </c>
      <c r="G983" t="s">
        <v>581</v>
      </c>
      <c r="H983">
        <v>9</v>
      </c>
      <c r="I983" s="24">
        <v>6.5891203703703605E-2</v>
      </c>
      <c r="J983">
        <f t="shared" si="30"/>
        <v>0</v>
      </c>
      <c r="K983">
        <f t="shared" si="31"/>
        <v>0</v>
      </c>
    </row>
    <row r="984" spans="1:11" x14ac:dyDescent="0.25">
      <c r="A984">
        <v>48</v>
      </c>
      <c r="B984" t="s">
        <v>549</v>
      </c>
      <c r="C984" s="4">
        <v>0.85858796296296291</v>
      </c>
      <c r="D984" s="23">
        <v>0.85863425925925929</v>
      </c>
      <c r="E984" s="23">
        <v>0.92447916666666663</v>
      </c>
      <c r="F984" t="s">
        <v>580</v>
      </c>
      <c r="G984" t="s">
        <v>581</v>
      </c>
      <c r="H984">
        <v>9</v>
      </c>
      <c r="I984" s="24">
        <v>6.5891203703703605E-2</v>
      </c>
      <c r="J984">
        <f t="shared" si="30"/>
        <v>0</v>
      </c>
      <c r="K984">
        <f t="shared" si="31"/>
        <v>0</v>
      </c>
    </row>
    <row r="985" spans="1:11" x14ac:dyDescent="0.25">
      <c r="A985">
        <v>49</v>
      </c>
      <c r="B985" t="s">
        <v>53</v>
      </c>
      <c r="C985" s="4">
        <v>0.85858796296296291</v>
      </c>
      <c r="D985" s="23">
        <v>0.90020833333333339</v>
      </c>
      <c r="E985" s="23">
        <v>0.92447916666666663</v>
      </c>
      <c r="F985" t="s">
        <v>456</v>
      </c>
      <c r="G985" t="s">
        <v>581</v>
      </c>
      <c r="H985">
        <v>9</v>
      </c>
      <c r="I985" s="24">
        <v>6.5891203703703605E-2</v>
      </c>
      <c r="J985">
        <f t="shared" si="30"/>
        <v>0</v>
      </c>
      <c r="K985">
        <f t="shared" si="31"/>
        <v>0</v>
      </c>
    </row>
    <row r="986" spans="1:11" x14ac:dyDescent="0.25">
      <c r="A986">
        <v>50</v>
      </c>
      <c r="B986" t="s">
        <v>262</v>
      </c>
      <c r="C986" s="4">
        <v>0.85858796296296291</v>
      </c>
      <c r="D986" s="23">
        <v>0.90020833333333339</v>
      </c>
      <c r="E986" s="23">
        <v>0.92447916666666663</v>
      </c>
      <c r="F986" t="s">
        <v>456</v>
      </c>
      <c r="G986" t="s">
        <v>581</v>
      </c>
      <c r="H986">
        <v>9</v>
      </c>
      <c r="I986" s="24">
        <v>6.5891203703703605E-2</v>
      </c>
      <c r="J986">
        <f t="shared" si="30"/>
        <v>0</v>
      </c>
      <c r="K986">
        <f t="shared" si="31"/>
        <v>0</v>
      </c>
    </row>
    <row r="987" spans="1:11" x14ac:dyDescent="0.25">
      <c r="A987">
        <v>51</v>
      </c>
      <c r="B987" t="s">
        <v>470</v>
      </c>
      <c r="C987" s="4">
        <v>0.85858796296296291</v>
      </c>
      <c r="D987" s="23">
        <v>0.85863425925925929</v>
      </c>
      <c r="E987" s="23">
        <v>0.92447916666666663</v>
      </c>
      <c r="F987" t="s">
        <v>600</v>
      </c>
      <c r="G987" t="s">
        <v>581</v>
      </c>
      <c r="H987">
        <v>9</v>
      </c>
      <c r="I987" s="24">
        <v>6.5891203703703605E-2</v>
      </c>
      <c r="J987">
        <f t="shared" si="30"/>
        <v>0</v>
      </c>
      <c r="K987">
        <f t="shared" si="31"/>
        <v>0</v>
      </c>
    </row>
    <row r="988" spans="1:11" x14ac:dyDescent="0.25">
      <c r="A988">
        <v>52</v>
      </c>
      <c r="B988" t="s">
        <v>397</v>
      </c>
      <c r="C988" s="4">
        <v>0.85858796296296291</v>
      </c>
      <c r="D988" s="23">
        <v>0.85863425925925929</v>
      </c>
      <c r="E988" s="23">
        <v>0.92447916666666663</v>
      </c>
      <c r="F988" t="s">
        <v>580</v>
      </c>
      <c r="G988" t="s">
        <v>581</v>
      </c>
      <c r="H988">
        <v>9</v>
      </c>
      <c r="I988" s="24">
        <v>6.5891203703703605E-2</v>
      </c>
      <c r="J988">
        <f t="shared" si="30"/>
        <v>0</v>
      </c>
      <c r="K988">
        <f t="shared" si="31"/>
        <v>0</v>
      </c>
    </row>
    <row r="989" spans="1:11" x14ac:dyDescent="0.25">
      <c r="A989">
        <v>53</v>
      </c>
      <c r="B989" t="s">
        <v>89</v>
      </c>
      <c r="C989" s="4">
        <v>0.85858796296296291</v>
      </c>
      <c r="D989" s="23">
        <v>0.90020833333333339</v>
      </c>
      <c r="E989" s="23">
        <v>0.92447916666666663</v>
      </c>
      <c r="F989" t="s">
        <v>456</v>
      </c>
      <c r="G989" t="s">
        <v>581</v>
      </c>
      <c r="H989">
        <v>9</v>
      </c>
      <c r="I989" s="24">
        <v>6.5891203703703605E-2</v>
      </c>
      <c r="J989">
        <f t="shared" si="30"/>
        <v>0</v>
      </c>
      <c r="K989">
        <f t="shared" si="31"/>
        <v>0</v>
      </c>
    </row>
    <row r="990" spans="1:11" x14ac:dyDescent="0.25">
      <c r="A990">
        <v>54</v>
      </c>
      <c r="B990" t="s">
        <v>138</v>
      </c>
      <c r="C990" s="4">
        <v>0.85858796296296291</v>
      </c>
      <c r="D990" s="23">
        <v>0.85863425925925929</v>
      </c>
      <c r="E990" s="23">
        <v>0.92447916666666663</v>
      </c>
      <c r="F990" t="s">
        <v>580</v>
      </c>
      <c r="G990" t="s">
        <v>581</v>
      </c>
      <c r="H990">
        <v>9</v>
      </c>
      <c r="I990" s="24">
        <v>6.5891203703703605E-2</v>
      </c>
      <c r="J990">
        <f t="shared" si="30"/>
        <v>0</v>
      </c>
      <c r="K990">
        <f t="shared" si="31"/>
        <v>0</v>
      </c>
    </row>
    <row r="991" spans="1:11" x14ac:dyDescent="0.25">
      <c r="A991">
        <v>55</v>
      </c>
      <c r="B991" t="s">
        <v>348</v>
      </c>
      <c r="C991" s="4">
        <v>0.85858796296296291</v>
      </c>
      <c r="D991" s="23">
        <v>0.90020833333333339</v>
      </c>
      <c r="E991" s="23">
        <v>0.92447916666666663</v>
      </c>
      <c r="F991" t="s">
        <v>591</v>
      </c>
      <c r="G991" t="s">
        <v>581</v>
      </c>
      <c r="H991">
        <v>9</v>
      </c>
      <c r="I991" s="24">
        <v>6.5891203703703605E-2</v>
      </c>
      <c r="J991">
        <f t="shared" si="30"/>
        <v>0</v>
      </c>
      <c r="K991">
        <f t="shared" si="31"/>
        <v>0</v>
      </c>
    </row>
    <row r="992" spans="1:11" x14ac:dyDescent="0.25">
      <c r="A992">
        <v>56</v>
      </c>
      <c r="B992" t="s">
        <v>321</v>
      </c>
      <c r="C992" s="4">
        <v>0.85858796296296291</v>
      </c>
      <c r="D992" s="23">
        <v>0.85863425925925929</v>
      </c>
      <c r="E992" s="23">
        <v>0.92447916666666663</v>
      </c>
      <c r="F992" t="s">
        <v>580</v>
      </c>
      <c r="G992" t="s">
        <v>581</v>
      </c>
      <c r="H992">
        <v>9</v>
      </c>
      <c r="I992" s="24">
        <v>6.5891203703703605E-2</v>
      </c>
      <c r="J992">
        <f t="shared" si="30"/>
        <v>0</v>
      </c>
      <c r="K992">
        <f t="shared" si="31"/>
        <v>0</v>
      </c>
    </row>
    <row r="993" spans="1:11" x14ac:dyDescent="0.25">
      <c r="A993">
        <v>1</v>
      </c>
      <c r="B993" t="s">
        <v>9</v>
      </c>
      <c r="C993" s="4">
        <v>0.86064814814814816</v>
      </c>
      <c r="D993" s="23">
        <v>0.86068287037037039</v>
      </c>
      <c r="E993" s="23">
        <v>0.95015046296296302</v>
      </c>
      <c r="F993" t="s">
        <v>601</v>
      </c>
      <c r="G993" t="s">
        <v>602</v>
      </c>
      <c r="H993">
        <v>8</v>
      </c>
      <c r="I993" s="24">
        <v>8.9502314814814854E-2</v>
      </c>
      <c r="J993">
        <f t="shared" si="30"/>
        <v>0</v>
      </c>
      <c r="K993">
        <f t="shared" si="31"/>
        <v>0</v>
      </c>
    </row>
    <row r="994" spans="1:11" x14ac:dyDescent="0.25">
      <c r="A994">
        <v>2</v>
      </c>
      <c r="B994" t="s">
        <v>11</v>
      </c>
      <c r="C994" s="4">
        <v>0.86064814814814816</v>
      </c>
      <c r="D994" s="23">
        <v>0.86068287037037039</v>
      </c>
      <c r="E994" s="23">
        <v>0.95015046296296302</v>
      </c>
      <c r="F994" t="s">
        <v>604</v>
      </c>
      <c r="G994" t="s">
        <v>602</v>
      </c>
      <c r="H994">
        <v>8</v>
      </c>
      <c r="I994" s="24">
        <v>8.9502314814814854E-2</v>
      </c>
      <c r="J994">
        <f t="shared" si="30"/>
        <v>0</v>
      </c>
      <c r="K994">
        <f t="shared" si="31"/>
        <v>0</v>
      </c>
    </row>
    <row r="995" spans="1:11" x14ac:dyDescent="0.25">
      <c r="A995">
        <v>3</v>
      </c>
      <c r="B995" t="s">
        <v>35</v>
      </c>
      <c r="C995" s="4">
        <v>0.86064814814814816</v>
      </c>
      <c r="D995" s="23">
        <v>0.86068287037037039</v>
      </c>
      <c r="E995" s="23">
        <v>0.95015046296296302</v>
      </c>
      <c r="F995" t="s">
        <v>604</v>
      </c>
      <c r="G995" t="s">
        <v>602</v>
      </c>
      <c r="H995">
        <v>8</v>
      </c>
      <c r="I995" s="24">
        <v>8.9502314814814854E-2</v>
      </c>
      <c r="J995">
        <f t="shared" si="30"/>
        <v>0</v>
      </c>
      <c r="K995">
        <f t="shared" si="31"/>
        <v>0</v>
      </c>
    </row>
    <row r="996" spans="1:11" x14ac:dyDescent="0.25">
      <c r="A996">
        <v>5</v>
      </c>
      <c r="B996" t="s">
        <v>59</v>
      </c>
      <c r="C996" s="4">
        <v>0.86064814814814816</v>
      </c>
      <c r="D996" s="23">
        <v>0.86068287037037039</v>
      </c>
      <c r="E996" s="23">
        <v>0.95015046296296302</v>
      </c>
      <c r="F996" t="s">
        <v>604</v>
      </c>
      <c r="G996" t="s">
        <v>602</v>
      </c>
      <c r="H996">
        <v>8</v>
      </c>
      <c r="I996" s="24">
        <v>8.9502314814814854E-2</v>
      </c>
      <c r="J996">
        <f t="shared" si="30"/>
        <v>0</v>
      </c>
      <c r="K996">
        <f t="shared" si="31"/>
        <v>0</v>
      </c>
    </row>
    <row r="997" spans="1:11" x14ac:dyDescent="0.25">
      <c r="A997">
        <v>6</v>
      </c>
      <c r="B997" t="s">
        <v>380</v>
      </c>
      <c r="C997" s="4">
        <v>0.86064814814814816</v>
      </c>
      <c r="D997" s="23">
        <v>0.86068287037037039</v>
      </c>
      <c r="E997" s="23">
        <v>0.95015046296296302</v>
      </c>
      <c r="F997" t="s">
        <v>604</v>
      </c>
      <c r="G997" t="s">
        <v>602</v>
      </c>
      <c r="H997">
        <v>8</v>
      </c>
      <c r="I997" s="24">
        <v>8.9502314814814854E-2</v>
      </c>
      <c r="J997">
        <f t="shared" si="30"/>
        <v>0</v>
      </c>
      <c r="K997">
        <f t="shared" si="31"/>
        <v>0</v>
      </c>
    </row>
    <row r="998" spans="1:11" x14ac:dyDescent="0.25">
      <c r="A998">
        <v>7</v>
      </c>
      <c r="B998" t="s">
        <v>181</v>
      </c>
      <c r="C998" s="4">
        <v>0.86064814814814816</v>
      </c>
      <c r="D998" s="23">
        <v>0.86068287037037039</v>
      </c>
      <c r="E998" s="23">
        <v>0.95015046296296302</v>
      </c>
      <c r="F998" t="s">
        <v>604</v>
      </c>
      <c r="G998" t="s">
        <v>602</v>
      </c>
      <c r="H998">
        <v>8</v>
      </c>
      <c r="I998" s="24">
        <v>8.9502314814814854E-2</v>
      </c>
      <c r="J998">
        <f t="shared" si="30"/>
        <v>0</v>
      </c>
      <c r="K998">
        <f t="shared" si="31"/>
        <v>0</v>
      </c>
    </row>
    <row r="999" spans="1:11" x14ac:dyDescent="0.25">
      <c r="A999">
        <v>8</v>
      </c>
      <c r="B999" t="s">
        <v>36</v>
      </c>
      <c r="C999" s="4">
        <v>0.86064814814814816</v>
      </c>
      <c r="D999" s="23">
        <v>0.86068287037037039</v>
      </c>
      <c r="E999" s="23">
        <v>0.95015046296296302</v>
      </c>
      <c r="F999" t="s">
        <v>604</v>
      </c>
      <c r="G999" t="s">
        <v>602</v>
      </c>
      <c r="H999">
        <v>8</v>
      </c>
      <c r="I999" s="24">
        <v>8.9502314814814854E-2</v>
      </c>
      <c r="J999">
        <f t="shared" si="30"/>
        <v>0</v>
      </c>
      <c r="K999">
        <f t="shared" si="31"/>
        <v>0</v>
      </c>
    </row>
    <row r="1000" spans="1:11" x14ac:dyDescent="0.25">
      <c r="A1000">
        <v>9</v>
      </c>
      <c r="B1000" t="s">
        <v>208</v>
      </c>
      <c r="C1000" s="4">
        <v>0.86064814814814816</v>
      </c>
      <c r="D1000" s="23">
        <v>0.86068287037037039</v>
      </c>
      <c r="E1000" s="23">
        <v>0.95015046296296302</v>
      </c>
      <c r="F1000" t="s">
        <v>604</v>
      </c>
      <c r="G1000" t="s">
        <v>602</v>
      </c>
      <c r="H1000">
        <v>8</v>
      </c>
      <c r="I1000" s="24">
        <v>8.9502314814814854E-2</v>
      </c>
      <c r="J1000">
        <f t="shared" si="30"/>
        <v>0</v>
      </c>
      <c r="K1000">
        <f t="shared" si="31"/>
        <v>0</v>
      </c>
    </row>
    <row r="1001" spans="1:11" x14ac:dyDescent="0.25">
      <c r="A1001">
        <v>10</v>
      </c>
      <c r="B1001" t="s">
        <v>37</v>
      </c>
      <c r="C1001" s="4">
        <v>0.86064814814814816</v>
      </c>
      <c r="D1001" s="23">
        <v>0.86068287037037039</v>
      </c>
      <c r="E1001" s="23">
        <v>0.95015046296296302</v>
      </c>
      <c r="F1001" t="s">
        <v>604</v>
      </c>
      <c r="G1001" t="s">
        <v>602</v>
      </c>
      <c r="H1001">
        <v>8</v>
      </c>
      <c r="I1001" s="24">
        <v>8.9502314814814854E-2</v>
      </c>
      <c r="J1001">
        <f t="shared" si="30"/>
        <v>0</v>
      </c>
      <c r="K1001">
        <f t="shared" si="31"/>
        <v>0</v>
      </c>
    </row>
    <row r="1002" spans="1:11" x14ac:dyDescent="0.25">
      <c r="A1002">
        <v>11</v>
      </c>
      <c r="B1002" t="s">
        <v>16</v>
      </c>
      <c r="C1002" s="4">
        <v>0.86064814814814816</v>
      </c>
      <c r="D1002" s="23">
        <v>0.86068287037037039</v>
      </c>
      <c r="E1002" s="23">
        <v>0.95015046296296302</v>
      </c>
      <c r="F1002" t="s">
        <v>601</v>
      </c>
      <c r="G1002" t="s">
        <v>602</v>
      </c>
      <c r="H1002">
        <v>8</v>
      </c>
      <c r="I1002" s="24">
        <v>8.9502314814814854E-2</v>
      </c>
      <c r="J1002">
        <f t="shared" si="30"/>
        <v>0</v>
      </c>
      <c r="K1002">
        <f t="shared" si="31"/>
        <v>0</v>
      </c>
    </row>
    <row r="1003" spans="1:11" x14ac:dyDescent="0.25">
      <c r="A1003">
        <v>12</v>
      </c>
      <c r="B1003" t="s">
        <v>186</v>
      </c>
      <c r="C1003" s="4">
        <v>0.86064814814814816</v>
      </c>
      <c r="D1003" s="23">
        <v>0.86068287037037039</v>
      </c>
      <c r="E1003" s="23">
        <v>0.95015046296296302</v>
      </c>
      <c r="F1003" t="s">
        <v>604</v>
      </c>
      <c r="G1003" t="s">
        <v>602</v>
      </c>
      <c r="H1003">
        <v>8</v>
      </c>
      <c r="I1003" s="24">
        <v>8.9502314814814854E-2</v>
      </c>
      <c r="J1003">
        <f t="shared" ref="J1003:J1065" si="32">IF(AND(H1003&gt;=1,H1003&lt;=7),1,0)</f>
        <v>0</v>
      </c>
      <c r="K1003">
        <f t="shared" ref="K1003:K1065" si="33">IF(AND(H1003&gt;=30,H1003&lt;=36),1,0)</f>
        <v>0</v>
      </c>
    </row>
    <row r="1004" spans="1:11" x14ac:dyDescent="0.25">
      <c r="A1004">
        <v>13</v>
      </c>
      <c r="B1004" t="s">
        <v>409</v>
      </c>
      <c r="C1004" s="4">
        <v>0.86064814814814816</v>
      </c>
      <c r="D1004" s="23">
        <v>0.86068287037037039</v>
      </c>
      <c r="E1004" s="23">
        <v>0.95015046296296302</v>
      </c>
      <c r="F1004" t="s">
        <v>606</v>
      </c>
      <c r="G1004" t="s">
        <v>602</v>
      </c>
      <c r="H1004">
        <v>8</v>
      </c>
      <c r="I1004" s="24">
        <v>8.9502314814814854E-2</v>
      </c>
      <c r="J1004">
        <f t="shared" si="32"/>
        <v>0</v>
      </c>
      <c r="K1004">
        <f t="shared" si="33"/>
        <v>0</v>
      </c>
    </row>
    <row r="1005" spans="1:11" x14ac:dyDescent="0.25">
      <c r="A1005">
        <v>14</v>
      </c>
      <c r="B1005" t="s">
        <v>538</v>
      </c>
      <c r="C1005" s="4">
        <v>0.86064814814814816</v>
      </c>
      <c r="D1005" s="23">
        <v>0.86068287037037039</v>
      </c>
      <c r="E1005" s="23">
        <v>0.95015046296296302</v>
      </c>
      <c r="F1005" t="s">
        <v>604</v>
      </c>
      <c r="G1005" t="s">
        <v>602</v>
      </c>
      <c r="H1005">
        <v>8</v>
      </c>
      <c r="I1005" s="24">
        <v>8.9502314814814854E-2</v>
      </c>
      <c r="J1005">
        <f t="shared" si="32"/>
        <v>0</v>
      </c>
      <c r="K1005">
        <f t="shared" si="33"/>
        <v>0</v>
      </c>
    </row>
    <row r="1006" spans="1:11" x14ac:dyDescent="0.25">
      <c r="A1006">
        <v>15</v>
      </c>
      <c r="B1006" t="s">
        <v>18</v>
      </c>
      <c r="C1006" s="4">
        <v>0.86064814814814816</v>
      </c>
      <c r="D1006" s="23">
        <v>0.86068287037037039</v>
      </c>
      <c r="E1006" s="23">
        <v>0.95015046296296302</v>
      </c>
      <c r="F1006" t="s">
        <v>604</v>
      </c>
      <c r="G1006" t="s">
        <v>602</v>
      </c>
      <c r="H1006">
        <v>8</v>
      </c>
      <c r="I1006" s="24">
        <v>8.9502314814814854E-2</v>
      </c>
      <c r="J1006">
        <f t="shared" si="32"/>
        <v>0</v>
      </c>
      <c r="K1006">
        <f t="shared" si="33"/>
        <v>0</v>
      </c>
    </row>
    <row r="1007" spans="1:11" x14ac:dyDescent="0.25">
      <c r="A1007">
        <v>16</v>
      </c>
      <c r="B1007" t="s">
        <v>41</v>
      </c>
      <c r="C1007" s="4">
        <v>0.86064814814814816</v>
      </c>
      <c r="D1007" s="23">
        <v>0.86068287037037039</v>
      </c>
      <c r="E1007" s="23">
        <v>0.95015046296296302</v>
      </c>
      <c r="F1007" t="s">
        <v>601</v>
      </c>
      <c r="G1007" t="s">
        <v>602</v>
      </c>
      <c r="H1007">
        <v>8</v>
      </c>
      <c r="I1007" s="24">
        <v>8.9502314814814854E-2</v>
      </c>
      <c r="J1007">
        <f t="shared" si="32"/>
        <v>0</v>
      </c>
      <c r="K1007">
        <f t="shared" si="33"/>
        <v>0</v>
      </c>
    </row>
    <row r="1008" spans="1:11" x14ac:dyDescent="0.25">
      <c r="A1008">
        <v>17</v>
      </c>
      <c r="B1008" t="s">
        <v>506</v>
      </c>
      <c r="C1008" s="4">
        <v>0.86064814814814816</v>
      </c>
      <c r="D1008" s="23">
        <v>0.86068287037037039</v>
      </c>
      <c r="E1008" s="23">
        <v>0.95015046296296302</v>
      </c>
      <c r="F1008" t="s">
        <v>604</v>
      </c>
      <c r="G1008" t="s">
        <v>602</v>
      </c>
      <c r="H1008">
        <v>8</v>
      </c>
      <c r="I1008" s="24">
        <v>8.9502314814814854E-2</v>
      </c>
      <c r="J1008">
        <f t="shared" si="32"/>
        <v>0</v>
      </c>
      <c r="K1008">
        <f t="shared" si="33"/>
        <v>0</v>
      </c>
    </row>
    <row r="1009" spans="1:11" x14ac:dyDescent="0.25">
      <c r="A1009">
        <v>18</v>
      </c>
      <c r="B1009" t="s">
        <v>118</v>
      </c>
      <c r="C1009" s="4">
        <v>0.86064814814814816</v>
      </c>
      <c r="D1009" s="23">
        <v>0.86068287037037039</v>
      </c>
      <c r="E1009" s="23">
        <v>0.95015046296296302</v>
      </c>
      <c r="F1009" t="s">
        <v>604</v>
      </c>
      <c r="G1009" t="s">
        <v>602</v>
      </c>
      <c r="H1009">
        <v>8</v>
      </c>
      <c r="I1009" s="24">
        <v>8.9502314814814854E-2</v>
      </c>
      <c r="J1009">
        <f t="shared" si="32"/>
        <v>0</v>
      </c>
      <c r="K1009">
        <f t="shared" si="33"/>
        <v>0</v>
      </c>
    </row>
    <row r="1010" spans="1:11" x14ac:dyDescent="0.25">
      <c r="A1010">
        <v>19</v>
      </c>
      <c r="B1010" t="s">
        <v>383</v>
      </c>
      <c r="C1010" s="4">
        <v>0.86064814814814816</v>
      </c>
      <c r="D1010" s="23">
        <v>0.86068287037037039</v>
      </c>
      <c r="E1010" s="23">
        <v>0.95015046296296302</v>
      </c>
      <c r="F1010" t="s">
        <v>411</v>
      </c>
      <c r="G1010" t="s">
        <v>602</v>
      </c>
      <c r="H1010">
        <v>8</v>
      </c>
      <c r="I1010" s="24">
        <v>8.9502314814814854E-2</v>
      </c>
      <c r="J1010">
        <f t="shared" si="32"/>
        <v>0</v>
      </c>
      <c r="K1010">
        <f t="shared" si="33"/>
        <v>0</v>
      </c>
    </row>
    <row r="1011" spans="1:11" x14ac:dyDescent="0.25">
      <c r="A1011">
        <v>20</v>
      </c>
      <c r="B1011" t="s">
        <v>60</v>
      </c>
      <c r="C1011" s="4">
        <v>0.86064814814814816</v>
      </c>
      <c r="D1011" s="23">
        <v>0.86068287037037039</v>
      </c>
      <c r="E1011" s="23">
        <v>0.95015046296296302</v>
      </c>
      <c r="F1011" t="s">
        <v>604</v>
      </c>
      <c r="G1011" t="s">
        <v>602</v>
      </c>
      <c r="H1011">
        <v>8</v>
      </c>
      <c r="I1011" s="24">
        <v>8.9502314814814854E-2</v>
      </c>
      <c r="J1011">
        <f t="shared" si="32"/>
        <v>0</v>
      </c>
      <c r="K1011">
        <f t="shared" si="33"/>
        <v>0</v>
      </c>
    </row>
    <row r="1012" spans="1:11" x14ac:dyDescent="0.25">
      <c r="A1012">
        <v>21</v>
      </c>
      <c r="B1012" t="s">
        <v>20</v>
      </c>
      <c r="C1012" s="4">
        <v>0.86064814814814816</v>
      </c>
      <c r="D1012" s="23">
        <v>0.86068287037037039</v>
      </c>
      <c r="E1012" s="23">
        <v>0.95015046296296302</v>
      </c>
      <c r="F1012" t="s">
        <v>604</v>
      </c>
      <c r="G1012" t="s">
        <v>602</v>
      </c>
      <c r="H1012">
        <v>8</v>
      </c>
      <c r="I1012" s="24">
        <v>8.9502314814814854E-2</v>
      </c>
      <c r="J1012">
        <f t="shared" si="32"/>
        <v>0</v>
      </c>
      <c r="K1012">
        <f t="shared" si="33"/>
        <v>0</v>
      </c>
    </row>
    <row r="1013" spans="1:11" x14ac:dyDescent="0.25">
      <c r="A1013">
        <v>22</v>
      </c>
      <c r="B1013" t="s">
        <v>43</v>
      </c>
      <c r="C1013" s="4">
        <v>0.86064814814814816</v>
      </c>
      <c r="D1013" s="23">
        <v>0.86068287037037039</v>
      </c>
      <c r="E1013" s="23">
        <v>0.95015046296296302</v>
      </c>
      <c r="F1013" t="s">
        <v>604</v>
      </c>
      <c r="G1013" t="s">
        <v>602</v>
      </c>
      <c r="H1013">
        <v>8</v>
      </c>
      <c r="I1013" s="24">
        <v>8.9502314814814854E-2</v>
      </c>
      <c r="J1013">
        <f t="shared" si="32"/>
        <v>0</v>
      </c>
      <c r="K1013">
        <f t="shared" si="33"/>
        <v>0</v>
      </c>
    </row>
    <row r="1014" spans="1:11" x14ac:dyDescent="0.25">
      <c r="A1014">
        <v>23</v>
      </c>
      <c r="B1014" t="s">
        <v>99</v>
      </c>
      <c r="C1014" s="4">
        <v>0.86064814814814816</v>
      </c>
      <c r="D1014" s="23">
        <v>0.86068287037037039</v>
      </c>
      <c r="E1014" s="23">
        <v>0.95015046296296302</v>
      </c>
      <c r="F1014" t="s">
        <v>604</v>
      </c>
      <c r="G1014" t="s">
        <v>602</v>
      </c>
      <c r="H1014">
        <v>8</v>
      </c>
      <c r="I1014" s="24">
        <v>8.9502314814814854E-2</v>
      </c>
      <c r="J1014">
        <f t="shared" si="32"/>
        <v>0</v>
      </c>
      <c r="K1014">
        <f t="shared" si="33"/>
        <v>0</v>
      </c>
    </row>
    <row r="1015" spans="1:11" x14ac:dyDescent="0.25">
      <c r="A1015">
        <v>24</v>
      </c>
      <c r="B1015" t="s">
        <v>156</v>
      </c>
      <c r="C1015" s="4">
        <v>0.86064814814814816</v>
      </c>
      <c r="D1015" s="23">
        <v>0.86068287037037039</v>
      </c>
      <c r="E1015" s="23">
        <v>0.95015046296296302</v>
      </c>
      <c r="F1015" t="s">
        <v>604</v>
      </c>
      <c r="G1015" t="s">
        <v>602</v>
      </c>
      <c r="H1015">
        <v>8</v>
      </c>
      <c r="I1015" s="24">
        <v>8.9502314814814854E-2</v>
      </c>
      <c r="J1015">
        <f t="shared" si="32"/>
        <v>0</v>
      </c>
      <c r="K1015">
        <f t="shared" si="33"/>
        <v>0</v>
      </c>
    </row>
    <row r="1016" spans="1:11" x14ac:dyDescent="0.25">
      <c r="A1016">
        <v>25</v>
      </c>
      <c r="B1016" t="s">
        <v>384</v>
      </c>
      <c r="C1016" s="4">
        <v>0.86064814814814816</v>
      </c>
      <c r="D1016" s="23">
        <v>0.86068287037037039</v>
      </c>
      <c r="E1016" s="23">
        <v>0.95015046296296302</v>
      </c>
      <c r="F1016" t="s">
        <v>607</v>
      </c>
      <c r="G1016" t="s">
        <v>602</v>
      </c>
      <c r="H1016">
        <v>8</v>
      </c>
      <c r="I1016" s="24">
        <v>8.9502314814814854E-2</v>
      </c>
      <c r="J1016">
        <f t="shared" si="32"/>
        <v>0</v>
      </c>
      <c r="K1016">
        <f t="shared" si="33"/>
        <v>0</v>
      </c>
    </row>
    <row r="1017" spans="1:11" x14ac:dyDescent="0.25">
      <c r="A1017">
        <v>26</v>
      </c>
      <c r="B1017" t="s">
        <v>238</v>
      </c>
      <c r="C1017" s="4">
        <v>0.86064814814814816</v>
      </c>
      <c r="D1017" s="23">
        <v>0.86068287037037039</v>
      </c>
      <c r="E1017" s="23">
        <v>0.95015046296296302</v>
      </c>
      <c r="F1017" t="s">
        <v>604</v>
      </c>
      <c r="G1017" t="s">
        <v>602</v>
      </c>
      <c r="H1017">
        <v>8</v>
      </c>
      <c r="I1017" s="24">
        <v>8.9502314814814854E-2</v>
      </c>
      <c r="J1017">
        <f t="shared" si="32"/>
        <v>0</v>
      </c>
      <c r="K1017">
        <f t="shared" si="33"/>
        <v>0</v>
      </c>
    </row>
    <row r="1018" spans="1:11" x14ac:dyDescent="0.25">
      <c r="A1018">
        <v>27</v>
      </c>
      <c r="B1018" t="s">
        <v>22</v>
      </c>
      <c r="C1018" s="4">
        <v>0.86064814814814816</v>
      </c>
      <c r="D1018" s="23">
        <v>0.86068287037037039</v>
      </c>
      <c r="E1018" s="23">
        <v>0.95015046296296302</v>
      </c>
      <c r="F1018" t="s">
        <v>604</v>
      </c>
      <c r="G1018" t="s">
        <v>602</v>
      </c>
      <c r="H1018">
        <v>8</v>
      </c>
      <c r="I1018" s="24">
        <v>8.9502314814814854E-2</v>
      </c>
      <c r="J1018">
        <f t="shared" si="32"/>
        <v>0</v>
      </c>
      <c r="K1018">
        <f t="shared" si="33"/>
        <v>0</v>
      </c>
    </row>
    <row r="1019" spans="1:11" x14ac:dyDescent="0.25">
      <c r="A1019">
        <v>28</v>
      </c>
      <c r="B1019" t="s">
        <v>61</v>
      </c>
      <c r="C1019" s="4">
        <v>0.86064814814814816</v>
      </c>
      <c r="D1019" s="23">
        <v>0.86068287037037039</v>
      </c>
      <c r="E1019" s="23">
        <v>0.95015046296296302</v>
      </c>
      <c r="F1019" t="s">
        <v>604</v>
      </c>
      <c r="G1019" t="s">
        <v>602</v>
      </c>
      <c r="H1019">
        <v>8</v>
      </c>
      <c r="I1019" s="24">
        <v>8.9502314814814854E-2</v>
      </c>
      <c r="J1019">
        <f t="shared" si="32"/>
        <v>0</v>
      </c>
      <c r="K1019">
        <f t="shared" si="33"/>
        <v>0</v>
      </c>
    </row>
    <row r="1020" spans="1:11" x14ac:dyDescent="0.25">
      <c r="A1020">
        <v>29</v>
      </c>
      <c r="B1020" t="s">
        <v>46</v>
      </c>
      <c r="C1020" s="4">
        <v>0.86064814814814816</v>
      </c>
      <c r="D1020" s="23">
        <v>0.86068287037037039</v>
      </c>
      <c r="E1020" s="23">
        <v>0.95015046296296302</v>
      </c>
      <c r="F1020" t="s">
        <v>604</v>
      </c>
      <c r="G1020" t="s">
        <v>602</v>
      </c>
      <c r="H1020">
        <v>8</v>
      </c>
      <c r="I1020" s="24">
        <v>8.9502314814814854E-2</v>
      </c>
      <c r="J1020">
        <f t="shared" si="32"/>
        <v>0</v>
      </c>
      <c r="K1020">
        <f t="shared" si="33"/>
        <v>0</v>
      </c>
    </row>
    <row r="1021" spans="1:11" x14ac:dyDescent="0.25">
      <c r="A1021">
        <v>30</v>
      </c>
      <c r="B1021" t="s">
        <v>23</v>
      </c>
      <c r="C1021" s="4">
        <v>0.86064814814814816</v>
      </c>
      <c r="D1021" s="23">
        <v>0.86068287037037039</v>
      </c>
      <c r="E1021" s="23">
        <v>0.95015046296296302</v>
      </c>
      <c r="F1021" t="s">
        <v>604</v>
      </c>
      <c r="G1021" t="s">
        <v>602</v>
      </c>
      <c r="H1021">
        <v>8</v>
      </c>
      <c r="I1021" s="24">
        <v>8.9502314814814854E-2</v>
      </c>
      <c r="J1021">
        <f t="shared" si="32"/>
        <v>0</v>
      </c>
      <c r="K1021">
        <f t="shared" si="33"/>
        <v>0</v>
      </c>
    </row>
    <row r="1022" spans="1:11" x14ac:dyDescent="0.25">
      <c r="A1022">
        <v>31</v>
      </c>
      <c r="B1022" t="s">
        <v>511</v>
      </c>
      <c r="C1022" s="4">
        <v>0.86064814814814816</v>
      </c>
      <c r="D1022" s="23">
        <v>0.86068287037037039</v>
      </c>
      <c r="E1022" s="23">
        <v>0.95015046296296302</v>
      </c>
      <c r="F1022" t="s">
        <v>604</v>
      </c>
      <c r="G1022" t="s">
        <v>602</v>
      </c>
      <c r="H1022">
        <v>8</v>
      </c>
      <c r="I1022" s="24">
        <v>8.9502314814814854E-2</v>
      </c>
      <c r="J1022">
        <f t="shared" si="32"/>
        <v>0</v>
      </c>
      <c r="K1022">
        <f t="shared" si="33"/>
        <v>0</v>
      </c>
    </row>
    <row r="1023" spans="1:11" x14ac:dyDescent="0.25">
      <c r="A1023">
        <v>32</v>
      </c>
      <c r="B1023" t="s">
        <v>49</v>
      </c>
      <c r="C1023" s="4">
        <v>0.86064814814814816</v>
      </c>
      <c r="D1023" s="23">
        <v>0.86068287037037039</v>
      </c>
      <c r="E1023" s="23">
        <v>0.95015046296296302</v>
      </c>
      <c r="F1023" t="s">
        <v>604</v>
      </c>
      <c r="G1023" t="s">
        <v>602</v>
      </c>
      <c r="H1023">
        <v>8</v>
      </c>
      <c r="I1023" s="24">
        <v>8.9502314814814854E-2</v>
      </c>
      <c r="J1023">
        <f t="shared" si="32"/>
        <v>0</v>
      </c>
      <c r="K1023">
        <f t="shared" si="33"/>
        <v>0</v>
      </c>
    </row>
    <row r="1024" spans="1:11" x14ac:dyDescent="0.25">
      <c r="A1024">
        <v>33</v>
      </c>
      <c r="B1024" t="s">
        <v>268</v>
      </c>
      <c r="C1024" s="4">
        <v>0.86064814814814816</v>
      </c>
      <c r="D1024" s="23">
        <v>0.86068287037037039</v>
      </c>
      <c r="E1024" s="23">
        <v>0.95015046296296302</v>
      </c>
      <c r="F1024" t="s">
        <v>601</v>
      </c>
      <c r="G1024" t="s">
        <v>602</v>
      </c>
      <c r="H1024">
        <v>8</v>
      </c>
      <c r="I1024" s="24">
        <v>8.9502314814814854E-2</v>
      </c>
      <c r="J1024">
        <f t="shared" si="32"/>
        <v>0</v>
      </c>
      <c r="K1024">
        <f t="shared" si="33"/>
        <v>0</v>
      </c>
    </row>
    <row r="1025" spans="1:11" x14ac:dyDescent="0.25">
      <c r="A1025">
        <v>34</v>
      </c>
      <c r="B1025" t="s">
        <v>129</v>
      </c>
      <c r="C1025" s="4">
        <v>0.86064814814814816</v>
      </c>
      <c r="D1025" s="23">
        <v>0.94983796296296297</v>
      </c>
      <c r="E1025" s="23">
        <v>0.95015046296296302</v>
      </c>
      <c r="F1025" t="s">
        <v>608</v>
      </c>
      <c r="G1025" t="s">
        <v>602</v>
      </c>
      <c r="H1025">
        <v>8</v>
      </c>
      <c r="I1025" s="24">
        <v>8.9502314814814854E-2</v>
      </c>
      <c r="J1025">
        <f t="shared" si="32"/>
        <v>0</v>
      </c>
      <c r="K1025">
        <f t="shared" si="33"/>
        <v>0</v>
      </c>
    </row>
    <row r="1026" spans="1:11" x14ac:dyDescent="0.25">
      <c r="A1026">
        <v>35</v>
      </c>
      <c r="B1026" t="s">
        <v>546</v>
      </c>
      <c r="C1026" s="4">
        <v>0.86064814814814816</v>
      </c>
      <c r="D1026" s="23">
        <v>0.86068287037037039</v>
      </c>
      <c r="E1026" s="23">
        <v>0.95015046296296302</v>
      </c>
      <c r="F1026" t="s">
        <v>604</v>
      </c>
      <c r="G1026" t="s">
        <v>602</v>
      </c>
      <c r="H1026">
        <v>8</v>
      </c>
      <c r="I1026" s="24">
        <v>8.9502314814814854E-2</v>
      </c>
      <c r="J1026">
        <f t="shared" si="32"/>
        <v>0</v>
      </c>
      <c r="K1026">
        <f t="shared" si="33"/>
        <v>0</v>
      </c>
    </row>
    <row r="1027" spans="1:11" x14ac:dyDescent="0.25">
      <c r="A1027">
        <v>36</v>
      </c>
      <c r="B1027" t="s">
        <v>50</v>
      </c>
      <c r="C1027" s="4">
        <v>0.86064814814814816</v>
      </c>
      <c r="D1027" s="23">
        <v>0.86068287037037039</v>
      </c>
      <c r="E1027" s="23">
        <v>0.95015046296296302</v>
      </c>
      <c r="F1027" t="s">
        <v>604</v>
      </c>
      <c r="G1027" t="s">
        <v>602</v>
      </c>
      <c r="H1027">
        <v>8</v>
      </c>
      <c r="I1027" s="24">
        <v>8.9502314814814854E-2</v>
      </c>
      <c r="J1027">
        <f t="shared" si="32"/>
        <v>0</v>
      </c>
      <c r="K1027">
        <f t="shared" si="33"/>
        <v>0</v>
      </c>
    </row>
    <row r="1028" spans="1:11" x14ac:dyDescent="0.25">
      <c r="A1028">
        <v>37</v>
      </c>
      <c r="B1028" t="s">
        <v>570</v>
      </c>
      <c r="C1028" s="4">
        <v>0.86064814814814816</v>
      </c>
      <c r="D1028" s="23">
        <v>0.86068287037037039</v>
      </c>
      <c r="E1028" s="23">
        <v>0.95015046296296302</v>
      </c>
      <c r="F1028" t="s">
        <v>604</v>
      </c>
      <c r="G1028" t="s">
        <v>602</v>
      </c>
      <c r="H1028">
        <v>8</v>
      </c>
      <c r="I1028" s="24">
        <v>8.9502314814814854E-2</v>
      </c>
      <c r="J1028">
        <f t="shared" si="32"/>
        <v>0</v>
      </c>
      <c r="K1028">
        <f t="shared" si="33"/>
        <v>0</v>
      </c>
    </row>
    <row r="1029" spans="1:11" x14ac:dyDescent="0.25">
      <c r="A1029">
        <v>38</v>
      </c>
      <c r="B1029" t="s">
        <v>62</v>
      </c>
      <c r="C1029" s="4">
        <v>0.86064814814814816</v>
      </c>
      <c r="D1029" s="23">
        <v>0.86068287037037039</v>
      </c>
      <c r="E1029" s="23">
        <v>0.95015046296296302</v>
      </c>
      <c r="F1029" t="s">
        <v>604</v>
      </c>
      <c r="G1029" t="s">
        <v>602</v>
      </c>
      <c r="H1029">
        <v>8</v>
      </c>
      <c r="I1029" s="24">
        <v>8.9502314814814854E-2</v>
      </c>
      <c r="J1029">
        <f t="shared" si="32"/>
        <v>0</v>
      </c>
      <c r="K1029">
        <f t="shared" si="33"/>
        <v>0</v>
      </c>
    </row>
    <row r="1030" spans="1:11" x14ac:dyDescent="0.25">
      <c r="A1030">
        <v>39</v>
      </c>
      <c r="B1030" t="s">
        <v>51</v>
      </c>
      <c r="C1030" s="4">
        <v>0.86064814814814816</v>
      </c>
      <c r="D1030" s="23">
        <v>0.86068287037037039</v>
      </c>
      <c r="E1030" s="23">
        <v>0.95015046296296302</v>
      </c>
      <c r="F1030" t="s">
        <v>604</v>
      </c>
      <c r="G1030" t="s">
        <v>602</v>
      </c>
      <c r="H1030">
        <v>8</v>
      </c>
      <c r="I1030" s="24">
        <v>8.9502314814814854E-2</v>
      </c>
      <c r="J1030">
        <f t="shared" si="32"/>
        <v>0</v>
      </c>
      <c r="K1030">
        <f t="shared" si="33"/>
        <v>0</v>
      </c>
    </row>
    <row r="1031" spans="1:11" x14ac:dyDescent="0.25">
      <c r="A1031">
        <v>40</v>
      </c>
      <c r="B1031" t="s">
        <v>83</v>
      </c>
      <c r="C1031" s="4">
        <v>0.86064814814814816</v>
      </c>
      <c r="D1031" s="23">
        <v>0.86068287037037039</v>
      </c>
      <c r="E1031" s="23">
        <v>0.95015046296296302</v>
      </c>
      <c r="F1031" t="s">
        <v>604</v>
      </c>
      <c r="G1031" t="s">
        <v>602</v>
      </c>
      <c r="H1031">
        <v>8</v>
      </c>
      <c r="I1031" s="24">
        <v>8.9502314814814854E-2</v>
      </c>
      <c r="J1031">
        <f t="shared" si="32"/>
        <v>0</v>
      </c>
      <c r="K1031">
        <f t="shared" si="33"/>
        <v>0</v>
      </c>
    </row>
    <row r="1032" spans="1:11" x14ac:dyDescent="0.25">
      <c r="A1032">
        <v>41</v>
      </c>
      <c r="B1032" t="s">
        <v>549</v>
      </c>
      <c r="C1032" s="4">
        <v>0.86064814814814816</v>
      </c>
      <c r="D1032" s="23">
        <v>0.86068287037037039</v>
      </c>
      <c r="E1032" s="23">
        <v>0.95015046296296302</v>
      </c>
      <c r="F1032" t="s">
        <v>609</v>
      </c>
      <c r="G1032" t="s">
        <v>602</v>
      </c>
      <c r="H1032">
        <v>8</v>
      </c>
      <c r="I1032" s="24">
        <v>8.9502314814814854E-2</v>
      </c>
      <c r="J1032">
        <f t="shared" si="32"/>
        <v>0</v>
      </c>
      <c r="K1032">
        <f t="shared" si="33"/>
        <v>0</v>
      </c>
    </row>
    <row r="1033" spans="1:11" x14ac:dyDescent="0.25">
      <c r="A1033">
        <v>42</v>
      </c>
      <c r="B1033" t="s">
        <v>53</v>
      </c>
      <c r="C1033" s="4">
        <v>0.86064814814814816</v>
      </c>
      <c r="D1033" s="23">
        <v>0.86068287037037039</v>
      </c>
      <c r="E1033" s="23">
        <v>0.95015046296296302</v>
      </c>
      <c r="F1033" t="s">
        <v>604</v>
      </c>
      <c r="G1033" t="s">
        <v>602</v>
      </c>
      <c r="H1033">
        <v>8</v>
      </c>
      <c r="I1033" s="24">
        <v>8.9502314814814854E-2</v>
      </c>
      <c r="J1033">
        <f t="shared" si="32"/>
        <v>0</v>
      </c>
      <c r="K1033">
        <f t="shared" si="33"/>
        <v>0</v>
      </c>
    </row>
    <row r="1034" spans="1:11" x14ac:dyDescent="0.25">
      <c r="A1034">
        <v>43</v>
      </c>
      <c r="B1034" t="s">
        <v>470</v>
      </c>
      <c r="C1034" s="4">
        <v>0.86064814814814816</v>
      </c>
      <c r="D1034" s="23">
        <v>0.86068287037037039</v>
      </c>
      <c r="E1034" s="23">
        <v>0.95015046296296302</v>
      </c>
      <c r="F1034" t="s">
        <v>601</v>
      </c>
      <c r="G1034" t="s">
        <v>602</v>
      </c>
      <c r="H1034">
        <v>8</v>
      </c>
      <c r="I1034" s="24">
        <v>8.9502314814814854E-2</v>
      </c>
      <c r="J1034">
        <f t="shared" si="32"/>
        <v>0</v>
      </c>
      <c r="K1034">
        <f t="shared" si="33"/>
        <v>0</v>
      </c>
    </row>
    <row r="1035" spans="1:11" x14ac:dyDescent="0.25">
      <c r="A1035">
        <v>44</v>
      </c>
      <c r="B1035" t="s">
        <v>397</v>
      </c>
      <c r="C1035" s="4">
        <v>0.86064814814814816</v>
      </c>
      <c r="D1035" s="23">
        <v>0.86068287037037039</v>
      </c>
      <c r="E1035" s="23">
        <v>0.95015046296296302</v>
      </c>
      <c r="F1035" t="s">
        <v>604</v>
      </c>
      <c r="G1035" t="s">
        <v>602</v>
      </c>
      <c r="H1035">
        <v>8</v>
      </c>
      <c r="I1035" s="24">
        <v>8.9502314814814854E-2</v>
      </c>
      <c r="J1035">
        <f t="shared" si="32"/>
        <v>0</v>
      </c>
      <c r="K1035">
        <f t="shared" si="33"/>
        <v>0</v>
      </c>
    </row>
    <row r="1036" spans="1:11" x14ac:dyDescent="0.25">
      <c r="A1036">
        <v>45</v>
      </c>
      <c r="B1036" t="s">
        <v>89</v>
      </c>
      <c r="C1036" s="4">
        <v>0.86064814814814816</v>
      </c>
      <c r="D1036" s="23">
        <v>0.86068287037037039</v>
      </c>
      <c r="E1036" s="23">
        <v>0.95015046296296302</v>
      </c>
      <c r="F1036" t="s">
        <v>601</v>
      </c>
      <c r="G1036" t="s">
        <v>602</v>
      </c>
      <c r="H1036">
        <v>8</v>
      </c>
      <c r="I1036" s="24">
        <v>8.9502314814814854E-2</v>
      </c>
      <c r="J1036">
        <f t="shared" si="32"/>
        <v>0</v>
      </c>
      <c r="K1036">
        <f t="shared" si="33"/>
        <v>0</v>
      </c>
    </row>
    <row r="1037" spans="1:11" x14ac:dyDescent="0.25">
      <c r="A1037">
        <v>46</v>
      </c>
      <c r="B1037" t="s">
        <v>348</v>
      </c>
      <c r="C1037" s="4">
        <v>0.86064814814814816</v>
      </c>
      <c r="D1037" s="23">
        <v>0.86068287037037039</v>
      </c>
      <c r="E1037" s="23">
        <v>0.95015046296296302</v>
      </c>
      <c r="F1037" t="s">
        <v>604</v>
      </c>
      <c r="G1037" t="s">
        <v>602</v>
      </c>
      <c r="H1037">
        <v>8</v>
      </c>
      <c r="I1037" s="24">
        <v>8.9502314814814854E-2</v>
      </c>
      <c r="J1037">
        <f t="shared" si="32"/>
        <v>0</v>
      </c>
      <c r="K1037">
        <f t="shared" si="33"/>
        <v>0</v>
      </c>
    </row>
    <row r="1038" spans="1:11" x14ac:dyDescent="0.25">
      <c r="A1038">
        <v>47</v>
      </c>
      <c r="B1038" t="s">
        <v>321</v>
      </c>
      <c r="C1038" s="4">
        <v>0.86064814814814816</v>
      </c>
      <c r="D1038" s="23">
        <v>0.86068287037037039</v>
      </c>
      <c r="E1038" s="23">
        <v>0.95015046296296302</v>
      </c>
      <c r="F1038" t="s">
        <v>604</v>
      </c>
      <c r="G1038" t="s">
        <v>602</v>
      </c>
      <c r="H1038">
        <v>8</v>
      </c>
      <c r="I1038" s="24">
        <v>8.9502314814814854E-2</v>
      </c>
      <c r="J1038">
        <f t="shared" si="32"/>
        <v>0</v>
      </c>
      <c r="K1038">
        <f t="shared" si="33"/>
        <v>0</v>
      </c>
    </row>
    <row r="1039" spans="1:11" x14ac:dyDescent="0.25">
      <c r="A1039">
        <v>1</v>
      </c>
      <c r="B1039" t="s">
        <v>29</v>
      </c>
      <c r="C1039" s="4">
        <v>0.86003472222222221</v>
      </c>
      <c r="D1039" s="23">
        <v>0.86008101851851848</v>
      </c>
      <c r="E1039" s="23">
        <v>0.93115740740740738</v>
      </c>
      <c r="F1039" t="s">
        <v>610</v>
      </c>
      <c r="G1039" t="s">
        <v>611</v>
      </c>
      <c r="H1039">
        <v>7</v>
      </c>
      <c r="I1039" s="24">
        <v>7.1122685185185164E-2</v>
      </c>
      <c r="J1039">
        <f t="shared" si="32"/>
        <v>1</v>
      </c>
      <c r="K1039">
        <f t="shared" si="33"/>
        <v>0</v>
      </c>
    </row>
    <row r="1040" spans="1:11" x14ac:dyDescent="0.25">
      <c r="A1040">
        <v>2</v>
      </c>
      <c r="B1040" t="s">
        <v>11</v>
      </c>
      <c r="C1040" s="4">
        <v>0.86003472222222221</v>
      </c>
      <c r="D1040" s="23">
        <v>0.86008101851851848</v>
      </c>
      <c r="E1040" s="23">
        <v>0.93115740740740738</v>
      </c>
      <c r="F1040" t="s">
        <v>613</v>
      </c>
      <c r="G1040" t="s">
        <v>611</v>
      </c>
      <c r="H1040">
        <v>7</v>
      </c>
      <c r="I1040" s="24">
        <v>7.1122685185185164E-2</v>
      </c>
      <c r="J1040">
        <f t="shared" si="32"/>
        <v>1</v>
      </c>
      <c r="K1040">
        <f t="shared" si="33"/>
        <v>0</v>
      </c>
    </row>
    <row r="1041" spans="1:11" x14ac:dyDescent="0.25">
      <c r="A1041">
        <v>3</v>
      </c>
      <c r="B1041" t="s">
        <v>13</v>
      </c>
      <c r="C1041" s="4">
        <v>0.86003472222222221</v>
      </c>
      <c r="D1041" s="23">
        <v>0.90755787037037039</v>
      </c>
      <c r="E1041" s="23">
        <v>0.93115740740740738</v>
      </c>
      <c r="F1041" t="s">
        <v>614</v>
      </c>
      <c r="G1041" t="s">
        <v>611</v>
      </c>
      <c r="H1041">
        <v>7</v>
      </c>
      <c r="I1041" s="24">
        <v>7.1122685185185164E-2</v>
      </c>
      <c r="J1041">
        <f t="shared" si="32"/>
        <v>1</v>
      </c>
      <c r="K1041">
        <f t="shared" si="33"/>
        <v>0</v>
      </c>
    </row>
    <row r="1042" spans="1:11" x14ac:dyDescent="0.25">
      <c r="A1042">
        <v>4</v>
      </c>
      <c r="B1042" t="s">
        <v>35</v>
      </c>
      <c r="C1042" s="4">
        <v>0.86003472222222221</v>
      </c>
      <c r="D1042" s="23">
        <v>0.86008101851851848</v>
      </c>
      <c r="E1042" s="23">
        <v>0.93115740740740738</v>
      </c>
      <c r="F1042" t="s">
        <v>615</v>
      </c>
      <c r="G1042" t="s">
        <v>611</v>
      </c>
      <c r="H1042">
        <v>7</v>
      </c>
      <c r="I1042" s="24">
        <v>7.1122685185185164E-2</v>
      </c>
      <c r="J1042">
        <f t="shared" si="32"/>
        <v>1</v>
      </c>
      <c r="K1042">
        <f t="shared" si="33"/>
        <v>0</v>
      </c>
    </row>
    <row r="1043" spans="1:11" x14ac:dyDescent="0.25">
      <c r="A1043">
        <v>5</v>
      </c>
      <c r="B1043" t="s">
        <v>585</v>
      </c>
      <c r="C1043" s="4">
        <v>0.86003472222222221</v>
      </c>
      <c r="D1043" s="23">
        <v>0.90755787037037039</v>
      </c>
      <c r="E1043" s="23">
        <v>0.93115740740740738</v>
      </c>
      <c r="F1043" t="s">
        <v>614</v>
      </c>
      <c r="G1043" t="s">
        <v>611</v>
      </c>
      <c r="H1043">
        <v>7</v>
      </c>
      <c r="I1043" s="24">
        <v>7.1122685185185164E-2</v>
      </c>
      <c r="J1043">
        <f t="shared" si="32"/>
        <v>1</v>
      </c>
      <c r="K1043">
        <f t="shared" si="33"/>
        <v>0</v>
      </c>
    </row>
    <row r="1044" spans="1:11" x14ac:dyDescent="0.25">
      <c r="A1044">
        <v>7</v>
      </c>
      <c r="B1044" t="s">
        <v>59</v>
      </c>
      <c r="C1044" s="4">
        <v>0.86003472222222221</v>
      </c>
      <c r="D1044" s="23">
        <v>0.90755787037037039</v>
      </c>
      <c r="E1044" s="23">
        <v>0.93115740740740738</v>
      </c>
      <c r="F1044" t="s">
        <v>614</v>
      </c>
      <c r="G1044" t="s">
        <v>611</v>
      </c>
      <c r="H1044">
        <v>7</v>
      </c>
      <c r="I1044" s="24">
        <v>7.1122685185185164E-2</v>
      </c>
      <c r="J1044">
        <f t="shared" si="32"/>
        <v>1</v>
      </c>
      <c r="K1044">
        <f t="shared" si="33"/>
        <v>0</v>
      </c>
    </row>
    <row r="1045" spans="1:11" x14ac:dyDescent="0.25">
      <c r="A1045">
        <v>8</v>
      </c>
      <c r="B1045" t="s">
        <v>380</v>
      </c>
      <c r="C1045" s="4">
        <v>0.86003472222222221</v>
      </c>
      <c r="D1045" s="23">
        <v>0.86008101851851848</v>
      </c>
      <c r="E1045" s="23">
        <v>0.93115740740740738</v>
      </c>
      <c r="F1045" t="s">
        <v>610</v>
      </c>
      <c r="G1045" t="s">
        <v>611</v>
      </c>
      <c r="H1045">
        <v>7</v>
      </c>
      <c r="I1045" s="24">
        <v>7.1122685185185164E-2</v>
      </c>
      <c r="J1045">
        <f t="shared" si="32"/>
        <v>1</v>
      </c>
      <c r="K1045">
        <f t="shared" si="33"/>
        <v>0</v>
      </c>
    </row>
    <row r="1046" spans="1:11" x14ac:dyDescent="0.25">
      <c r="A1046">
        <v>9</v>
      </c>
      <c r="B1046" t="s">
        <v>181</v>
      </c>
      <c r="C1046" s="4">
        <v>0.86003472222222221</v>
      </c>
      <c r="D1046" s="23">
        <v>0.86008101851851848</v>
      </c>
      <c r="E1046" s="23">
        <v>0.93115740740740738</v>
      </c>
      <c r="F1046" t="s">
        <v>615</v>
      </c>
      <c r="G1046" t="s">
        <v>611</v>
      </c>
      <c r="H1046">
        <v>7</v>
      </c>
      <c r="I1046" s="24">
        <v>7.1122685185185164E-2</v>
      </c>
      <c r="J1046">
        <f t="shared" si="32"/>
        <v>1</v>
      </c>
      <c r="K1046">
        <f t="shared" si="33"/>
        <v>0</v>
      </c>
    </row>
    <row r="1047" spans="1:11" x14ac:dyDescent="0.25">
      <c r="A1047">
        <v>10</v>
      </c>
      <c r="B1047" t="s">
        <v>36</v>
      </c>
      <c r="C1047" s="4">
        <v>0.86003472222222221</v>
      </c>
      <c r="D1047" s="23">
        <v>0.86008101851851848</v>
      </c>
      <c r="E1047" s="23">
        <v>0.93115740740740738</v>
      </c>
      <c r="F1047" t="s">
        <v>615</v>
      </c>
      <c r="G1047" t="s">
        <v>611</v>
      </c>
      <c r="H1047">
        <v>7</v>
      </c>
      <c r="I1047" s="24">
        <v>7.1122685185185164E-2</v>
      </c>
      <c r="J1047">
        <f t="shared" si="32"/>
        <v>1</v>
      </c>
      <c r="K1047">
        <f t="shared" si="33"/>
        <v>0</v>
      </c>
    </row>
    <row r="1048" spans="1:11" x14ac:dyDescent="0.25">
      <c r="A1048">
        <v>11</v>
      </c>
      <c r="B1048" t="s">
        <v>530</v>
      </c>
      <c r="C1048" s="4">
        <v>0.86003472222222221</v>
      </c>
      <c r="D1048" s="23">
        <v>0.86008101851851848</v>
      </c>
      <c r="E1048" s="23">
        <v>0.93115740740740738</v>
      </c>
      <c r="F1048" t="s">
        <v>610</v>
      </c>
      <c r="G1048" t="s">
        <v>611</v>
      </c>
      <c r="H1048">
        <v>7</v>
      </c>
      <c r="I1048" s="24">
        <v>7.1122685185185164E-2</v>
      </c>
      <c r="J1048">
        <f t="shared" si="32"/>
        <v>1</v>
      </c>
      <c r="K1048">
        <f t="shared" si="33"/>
        <v>0</v>
      </c>
    </row>
    <row r="1049" spans="1:11" x14ac:dyDescent="0.25">
      <c r="A1049">
        <v>12</v>
      </c>
      <c r="B1049" t="s">
        <v>37</v>
      </c>
      <c r="C1049" s="4">
        <v>0.86003472222222221</v>
      </c>
      <c r="D1049" s="23">
        <v>0.90755787037037039</v>
      </c>
      <c r="E1049" s="23">
        <v>0.93115740740740738</v>
      </c>
      <c r="F1049" t="s">
        <v>614</v>
      </c>
      <c r="G1049" t="s">
        <v>611</v>
      </c>
      <c r="H1049">
        <v>7</v>
      </c>
      <c r="I1049" s="24">
        <v>7.1122685185185164E-2</v>
      </c>
      <c r="J1049">
        <f t="shared" si="32"/>
        <v>1</v>
      </c>
      <c r="K1049">
        <f t="shared" si="33"/>
        <v>0</v>
      </c>
    </row>
    <row r="1050" spans="1:11" x14ac:dyDescent="0.25">
      <c r="A1050">
        <v>13</v>
      </c>
      <c r="B1050" t="s">
        <v>16</v>
      </c>
      <c r="C1050" s="4">
        <v>0.86003472222222221</v>
      </c>
      <c r="D1050" s="23">
        <v>0.86008101851851848</v>
      </c>
      <c r="E1050" s="23">
        <v>0.93115740740740738</v>
      </c>
      <c r="F1050" t="s">
        <v>615</v>
      </c>
      <c r="G1050" t="s">
        <v>611</v>
      </c>
      <c r="H1050">
        <v>7</v>
      </c>
      <c r="I1050" s="24">
        <v>7.1122685185185164E-2</v>
      </c>
      <c r="J1050">
        <f t="shared" si="32"/>
        <v>1</v>
      </c>
      <c r="K1050">
        <f t="shared" si="33"/>
        <v>0</v>
      </c>
    </row>
    <row r="1051" spans="1:11" x14ac:dyDescent="0.25">
      <c r="A1051">
        <v>14</v>
      </c>
      <c r="B1051" t="s">
        <v>534</v>
      </c>
      <c r="C1051" s="4">
        <v>0.86003472222222221</v>
      </c>
      <c r="D1051" s="23">
        <v>0.86008101851851848</v>
      </c>
      <c r="E1051" s="23">
        <v>0.93115740740740738</v>
      </c>
      <c r="F1051" t="s">
        <v>610</v>
      </c>
      <c r="G1051" t="s">
        <v>611</v>
      </c>
      <c r="H1051">
        <v>7</v>
      </c>
      <c r="I1051" s="24">
        <v>7.1122685185185164E-2</v>
      </c>
      <c r="J1051">
        <f t="shared" si="32"/>
        <v>1</v>
      </c>
      <c r="K1051">
        <f t="shared" si="33"/>
        <v>0</v>
      </c>
    </row>
    <row r="1052" spans="1:11" x14ac:dyDescent="0.25">
      <c r="A1052">
        <v>15</v>
      </c>
      <c r="B1052" t="s">
        <v>186</v>
      </c>
      <c r="C1052" s="4">
        <v>0.86003472222222221</v>
      </c>
      <c r="D1052" s="23">
        <v>0.86008101851851848</v>
      </c>
      <c r="E1052" s="23">
        <v>0.93115740740740738</v>
      </c>
      <c r="F1052" t="s">
        <v>615</v>
      </c>
      <c r="G1052" t="s">
        <v>611</v>
      </c>
      <c r="H1052">
        <v>7</v>
      </c>
      <c r="I1052" s="24">
        <v>7.1122685185185164E-2</v>
      </c>
      <c r="J1052">
        <f t="shared" si="32"/>
        <v>1</v>
      </c>
      <c r="K1052">
        <f t="shared" si="33"/>
        <v>0</v>
      </c>
    </row>
    <row r="1053" spans="1:11" x14ac:dyDescent="0.25">
      <c r="A1053">
        <v>16</v>
      </c>
      <c r="B1053" t="s">
        <v>409</v>
      </c>
      <c r="C1053" s="4">
        <v>0.86003472222222221</v>
      </c>
      <c r="D1053" s="23">
        <v>0.86008101851851848</v>
      </c>
      <c r="E1053" s="23">
        <v>0.93115740740740738</v>
      </c>
      <c r="F1053" t="s">
        <v>610</v>
      </c>
      <c r="G1053" t="s">
        <v>611</v>
      </c>
      <c r="H1053">
        <v>7</v>
      </c>
      <c r="I1053" s="24">
        <v>7.1122685185185164E-2</v>
      </c>
      <c r="J1053">
        <f t="shared" si="32"/>
        <v>1</v>
      </c>
      <c r="K1053">
        <f t="shared" si="33"/>
        <v>0</v>
      </c>
    </row>
    <row r="1054" spans="1:11" x14ac:dyDescent="0.25">
      <c r="A1054">
        <v>17</v>
      </c>
      <c r="B1054" t="s">
        <v>114</v>
      </c>
      <c r="C1054" s="4">
        <v>0.86003472222222221</v>
      </c>
      <c r="D1054" s="23">
        <v>0.86008101851851848</v>
      </c>
      <c r="E1054" s="23">
        <v>0.93115740740740738</v>
      </c>
      <c r="F1054" t="s">
        <v>610</v>
      </c>
      <c r="G1054" t="s">
        <v>611</v>
      </c>
      <c r="H1054">
        <v>7</v>
      </c>
      <c r="I1054" s="24">
        <v>7.1122685185185164E-2</v>
      </c>
      <c r="J1054">
        <f t="shared" si="32"/>
        <v>1</v>
      </c>
      <c r="K1054">
        <f t="shared" si="33"/>
        <v>0</v>
      </c>
    </row>
    <row r="1055" spans="1:11" x14ac:dyDescent="0.25">
      <c r="A1055">
        <v>18</v>
      </c>
      <c r="B1055" t="s">
        <v>18</v>
      </c>
      <c r="C1055" s="4">
        <v>0.86003472222222221</v>
      </c>
      <c r="D1055" s="23">
        <v>0.86008101851851848</v>
      </c>
      <c r="E1055" s="23">
        <v>0.93115740740740738</v>
      </c>
      <c r="F1055" t="s">
        <v>615</v>
      </c>
      <c r="G1055" t="s">
        <v>611</v>
      </c>
      <c r="H1055">
        <v>7</v>
      </c>
      <c r="I1055" s="24">
        <v>7.1122685185185164E-2</v>
      </c>
      <c r="J1055">
        <f t="shared" si="32"/>
        <v>1</v>
      </c>
      <c r="K1055">
        <f t="shared" si="33"/>
        <v>0</v>
      </c>
    </row>
    <row r="1056" spans="1:11" x14ac:dyDescent="0.25">
      <c r="A1056">
        <v>19</v>
      </c>
      <c r="B1056" t="s">
        <v>41</v>
      </c>
      <c r="C1056" s="4">
        <v>0.86003472222222221</v>
      </c>
      <c r="D1056" s="23">
        <v>0.86008101851851848</v>
      </c>
      <c r="E1056" s="23">
        <v>0.93115740740740738</v>
      </c>
      <c r="F1056" t="s">
        <v>615</v>
      </c>
      <c r="G1056" t="s">
        <v>611</v>
      </c>
      <c r="H1056">
        <v>7</v>
      </c>
      <c r="I1056" s="24">
        <v>7.1122685185185164E-2</v>
      </c>
      <c r="J1056">
        <f t="shared" si="32"/>
        <v>1</v>
      </c>
      <c r="K1056">
        <f t="shared" si="33"/>
        <v>0</v>
      </c>
    </row>
    <row r="1057" spans="1:11" x14ac:dyDescent="0.25">
      <c r="A1057">
        <v>20</v>
      </c>
      <c r="B1057" t="s">
        <v>506</v>
      </c>
      <c r="C1057" s="4">
        <v>0.86003472222222221</v>
      </c>
      <c r="D1057" s="23">
        <v>0.90755787037037039</v>
      </c>
      <c r="E1057" s="23">
        <v>0.93115740740740738</v>
      </c>
      <c r="F1057" t="s">
        <v>614</v>
      </c>
      <c r="G1057" t="s">
        <v>611</v>
      </c>
      <c r="H1057">
        <v>7</v>
      </c>
      <c r="I1057" s="24">
        <v>7.1122685185185164E-2</v>
      </c>
      <c r="J1057">
        <f t="shared" si="32"/>
        <v>1</v>
      </c>
      <c r="K1057">
        <f t="shared" si="33"/>
        <v>0</v>
      </c>
    </row>
    <row r="1058" spans="1:11" x14ac:dyDescent="0.25">
      <c r="A1058">
        <v>21</v>
      </c>
      <c r="B1058" t="s">
        <v>118</v>
      </c>
      <c r="C1058" s="4">
        <v>0.86003472222222221</v>
      </c>
      <c r="D1058" s="23">
        <v>0.86008101851851848</v>
      </c>
      <c r="E1058" s="23">
        <v>0.93115740740740738</v>
      </c>
      <c r="F1058" t="s">
        <v>615</v>
      </c>
      <c r="G1058" t="s">
        <v>611</v>
      </c>
      <c r="H1058">
        <v>7</v>
      </c>
      <c r="I1058" s="24">
        <v>7.1122685185185164E-2</v>
      </c>
      <c r="J1058">
        <f t="shared" si="32"/>
        <v>1</v>
      </c>
      <c r="K1058">
        <f t="shared" si="33"/>
        <v>0</v>
      </c>
    </row>
    <row r="1059" spans="1:11" x14ac:dyDescent="0.25">
      <c r="A1059">
        <v>22</v>
      </c>
      <c r="B1059" t="s">
        <v>383</v>
      </c>
      <c r="C1059" s="4">
        <v>0.86003472222222221</v>
      </c>
      <c r="D1059" s="23">
        <v>0.86017361111111112</v>
      </c>
      <c r="E1059" s="23">
        <v>0.93115740740740738</v>
      </c>
      <c r="F1059" t="s">
        <v>616</v>
      </c>
      <c r="G1059" t="s">
        <v>611</v>
      </c>
      <c r="H1059">
        <v>7</v>
      </c>
      <c r="I1059" s="24">
        <v>7.1122685185185164E-2</v>
      </c>
      <c r="J1059">
        <f t="shared" si="32"/>
        <v>1</v>
      </c>
      <c r="K1059">
        <f t="shared" si="33"/>
        <v>0</v>
      </c>
    </row>
    <row r="1060" spans="1:11" x14ac:dyDescent="0.25">
      <c r="A1060">
        <v>23</v>
      </c>
      <c r="B1060" t="s">
        <v>60</v>
      </c>
      <c r="C1060" s="4">
        <v>0.86003472222222221</v>
      </c>
      <c r="D1060" s="23">
        <v>0.86008101851851848</v>
      </c>
      <c r="E1060" s="23">
        <v>0.93115740740740738</v>
      </c>
      <c r="F1060" t="s">
        <v>610</v>
      </c>
      <c r="G1060" t="s">
        <v>611</v>
      </c>
      <c r="H1060">
        <v>7</v>
      </c>
      <c r="I1060" s="24">
        <v>7.1122685185185164E-2</v>
      </c>
      <c r="J1060">
        <f t="shared" si="32"/>
        <v>1</v>
      </c>
      <c r="K1060">
        <f t="shared" si="33"/>
        <v>0</v>
      </c>
    </row>
    <row r="1061" spans="1:11" x14ac:dyDescent="0.25">
      <c r="A1061">
        <v>24</v>
      </c>
      <c r="B1061" t="s">
        <v>20</v>
      </c>
      <c r="C1061" s="4">
        <v>0.86003472222222221</v>
      </c>
      <c r="D1061" s="23">
        <v>0.86008101851851848</v>
      </c>
      <c r="E1061" s="23">
        <v>0.93115740740740738</v>
      </c>
      <c r="F1061" t="s">
        <v>615</v>
      </c>
      <c r="G1061" t="s">
        <v>611</v>
      </c>
      <c r="H1061">
        <v>7</v>
      </c>
      <c r="I1061" s="24">
        <v>7.1122685185185164E-2</v>
      </c>
      <c r="J1061">
        <f t="shared" si="32"/>
        <v>1</v>
      </c>
      <c r="K1061">
        <f t="shared" si="33"/>
        <v>0</v>
      </c>
    </row>
    <row r="1062" spans="1:11" x14ac:dyDescent="0.25">
      <c r="A1062">
        <v>25</v>
      </c>
      <c r="B1062" t="s">
        <v>540</v>
      </c>
      <c r="C1062" s="4">
        <v>0.86003472222222221</v>
      </c>
      <c r="D1062" s="23">
        <v>0.86008101851851848</v>
      </c>
      <c r="E1062" s="23">
        <v>0.93115740740740738</v>
      </c>
      <c r="F1062" t="s">
        <v>615</v>
      </c>
      <c r="G1062" t="s">
        <v>611</v>
      </c>
      <c r="H1062">
        <v>7</v>
      </c>
      <c r="I1062" s="24">
        <v>7.1122685185185164E-2</v>
      </c>
      <c r="J1062">
        <f t="shared" si="32"/>
        <v>1</v>
      </c>
      <c r="K1062">
        <f t="shared" si="33"/>
        <v>0</v>
      </c>
    </row>
    <row r="1063" spans="1:11" x14ac:dyDescent="0.25">
      <c r="A1063">
        <v>26</v>
      </c>
      <c r="B1063" t="s">
        <v>99</v>
      </c>
      <c r="C1063" s="4">
        <v>0.86003472222222221</v>
      </c>
      <c r="D1063" s="23">
        <v>0.90755787037037039</v>
      </c>
      <c r="E1063" s="23">
        <v>0.93115740740740738</v>
      </c>
      <c r="F1063" t="s">
        <v>614</v>
      </c>
      <c r="G1063" t="s">
        <v>611</v>
      </c>
      <c r="H1063">
        <v>7</v>
      </c>
      <c r="I1063" s="24">
        <v>7.1122685185185164E-2</v>
      </c>
      <c r="J1063">
        <f t="shared" si="32"/>
        <v>1</v>
      </c>
      <c r="K1063">
        <f t="shared" si="33"/>
        <v>0</v>
      </c>
    </row>
    <row r="1064" spans="1:11" x14ac:dyDescent="0.25">
      <c r="A1064">
        <v>27</v>
      </c>
      <c r="B1064" t="s">
        <v>156</v>
      </c>
      <c r="C1064" s="4">
        <v>0.86003472222222221</v>
      </c>
      <c r="D1064" s="23">
        <v>0.86008101851851848</v>
      </c>
      <c r="E1064" s="23">
        <v>0.93115740740740738</v>
      </c>
      <c r="F1064" t="s">
        <v>610</v>
      </c>
      <c r="G1064" t="s">
        <v>611</v>
      </c>
      <c r="H1064">
        <v>7</v>
      </c>
      <c r="I1064" s="24">
        <v>7.1122685185185164E-2</v>
      </c>
      <c r="J1064">
        <f t="shared" si="32"/>
        <v>1</v>
      </c>
      <c r="K1064">
        <f t="shared" si="33"/>
        <v>0</v>
      </c>
    </row>
    <row r="1065" spans="1:11" x14ac:dyDescent="0.25">
      <c r="A1065">
        <v>28</v>
      </c>
      <c r="B1065" t="s">
        <v>238</v>
      </c>
      <c r="C1065" s="4">
        <v>0.86003472222222221</v>
      </c>
      <c r="D1065" s="23">
        <v>0.86008101851851848</v>
      </c>
      <c r="E1065" s="23">
        <v>0.93115740740740738</v>
      </c>
      <c r="F1065" t="s">
        <v>615</v>
      </c>
      <c r="G1065" t="s">
        <v>611</v>
      </c>
      <c r="H1065">
        <v>7</v>
      </c>
      <c r="I1065" s="24">
        <v>7.1122685185185164E-2</v>
      </c>
      <c r="J1065">
        <f t="shared" si="32"/>
        <v>1</v>
      </c>
      <c r="K1065">
        <f t="shared" si="33"/>
        <v>0</v>
      </c>
    </row>
    <row r="1066" spans="1:11" x14ac:dyDescent="0.25">
      <c r="A1066">
        <v>29</v>
      </c>
      <c r="B1066" t="s">
        <v>22</v>
      </c>
      <c r="C1066" s="4">
        <v>0.86003472222222221</v>
      </c>
      <c r="D1066" s="23">
        <v>0.86008101851851848</v>
      </c>
      <c r="E1066" s="23">
        <v>0.93115740740740738</v>
      </c>
      <c r="F1066" t="s">
        <v>615</v>
      </c>
      <c r="G1066" t="s">
        <v>611</v>
      </c>
      <c r="H1066">
        <v>7</v>
      </c>
      <c r="I1066" s="24">
        <v>7.1122685185185164E-2</v>
      </c>
      <c r="J1066">
        <f t="shared" ref="J1066:J1128" si="34">IF(AND(H1066&gt;=1,H1066&lt;=7),1,0)</f>
        <v>1</v>
      </c>
      <c r="K1066">
        <f t="shared" ref="K1066:K1128" si="35">IF(AND(H1066&gt;=30,H1066&lt;=36),1,0)</f>
        <v>0</v>
      </c>
    </row>
    <row r="1067" spans="1:11" x14ac:dyDescent="0.25">
      <c r="A1067">
        <v>30</v>
      </c>
      <c r="B1067" t="s">
        <v>61</v>
      </c>
      <c r="C1067" s="4">
        <v>0.86003472222222221</v>
      </c>
      <c r="D1067" s="23">
        <v>0.86008101851851848</v>
      </c>
      <c r="E1067" s="23">
        <v>0.93115740740740738</v>
      </c>
      <c r="F1067" t="s">
        <v>610</v>
      </c>
      <c r="G1067" t="s">
        <v>611</v>
      </c>
      <c r="H1067">
        <v>7</v>
      </c>
      <c r="I1067" s="24">
        <v>7.1122685185185164E-2</v>
      </c>
      <c r="J1067">
        <f t="shared" si="34"/>
        <v>1</v>
      </c>
      <c r="K1067">
        <f t="shared" si="35"/>
        <v>0</v>
      </c>
    </row>
    <row r="1068" spans="1:11" x14ac:dyDescent="0.25">
      <c r="A1068">
        <v>31</v>
      </c>
      <c r="B1068" t="s">
        <v>46</v>
      </c>
      <c r="C1068" s="4">
        <v>0.86003472222222221</v>
      </c>
      <c r="D1068" s="23">
        <v>0.86008101851851848</v>
      </c>
      <c r="E1068" s="23">
        <v>0.93115740740740738</v>
      </c>
      <c r="F1068" t="s">
        <v>615</v>
      </c>
      <c r="G1068" t="s">
        <v>611</v>
      </c>
      <c r="H1068">
        <v>7</v>
      </c>
      <c r="I1068" s="24">
        <v>7.1122685185185164E-2</v>
      </c>
      <c r="J1068">
        <f t="shared" si="34"/>
        <v>1</v>
      </c>
      <c r="K1068">
        <f t="shared" si="35"/>
        <v>0</v>
      </c>
    </row>
    <row r="1069" spans="1:11" x14ac:dyDescent="0.25">
      <c r="A1069">
        <v>32</v>
      </c>
      <c r="B1069" t="s">
        <v>23</v>
      </c>
      <c r="C1069" s="4">
        <v>0.86003472222222221</v>
      </c>
      <c r="D1069" s="23">
        <v>0.86008101851851848</v>
      </c>
      <c r="E1069" s="23">
        <v>0.93115740740740738</v>
      </c>
      <c r="F1069" t="s">
        <v>615</v>
      </c>
      <c r="G1069" t="s">
        <v>611</v>
      </c>
      <c r="H1069">
        <v>7</v>
      </c>
      <c r="I1069" s="24">
        <v>7.1122685185185164E-2</v>
      </c>
      <c r="J1069">
        <f t="shared" si="34"/>
        <v>1</v>
      </c>
      <c r="K1069">
        <f t="shared" si="35"/>
        <v>0</v>
      </c>
    </row>
    <row r="1070" spans="1:11" x14ac:dyDescent="0.25">
      <c r="A1070">
        <v>33</v>
      </c>
      <c r="B1070" t="s">
        <v>49</v>
      </c>
      <c r="C1070" s="4">
        <v>0.86003472222222221</v>
      </c>
      <c r="D1070" s="23">
        <v>0.86008101851851848</v>
      </c>
      <c r="E1070" s="23">
        <v>0.93115740740740738</v>
      </c>
      <c r="F1070" t="s">
        <v>610</v>
      </c>
      <c r="G1070" t="s">
        <v>611</v>
      </c>
      <c r="H1070">
        <v>7</v>
      </c>
      <c r="I1070" s="24">
        <v>7.1122685185185164E-2</v>
      </c>
      <c r="J1070">
        <f t="shared" si="34"/>
        <v>1</v>
      </c>
      <c r="K1070">
        <f t="shared" si="35"/>
        <v>0</v>
      </c>
    </row>
    <row r="1071" spans="1:11" x14ac:dyDescent="0.25">
      <c r="A1071">
        <v>34</v>
      </c>
      <c r="B1071" t="s">
        <v>268</v>
      </c>
      <c r="C1071" s="4">
        <v>0.86003472222222221</v>
      </c>
      <c r="D1071" s="23">
        <v>0.86008101851851848</v>
      </c>
      <c r="E1071" s="23">
        <v>0.93115740740740738</v>
      </c>
      <c r="F1071" t="s">
        <v>615</v>
      </c>
      <c r="G1071" t="s">
        <v>611</v>
      </c>
      <c r="H1071">
        <v>7</v>
      </c>
      <c r="I1071" s="24">
        <v>7.1122685185185164E-2</v>
      </c>
      <c r="J1071">
        <f t="shared" si="34"/>
        <v>1</v>
      </c>
      <c r="K1071">
        <f t="shared" si="35"/>
        <v>0</v>
      </c>
    </row>
    <row r="1072" spans="1:11" x14ac:dyDescent="0.25">
      <c r="A1072">
        <v>35</v>
      </c>
      <c r="B1072" t="s">
        <v>546</v>
      </c>
      <c r="C1072" s="4">
        <v>0.86003472222222221</v>
      </c>
      <c r="D1072" s="23">
        <v>0.86008101851851848</v>
      </c>
      <c r="E1072" s="23">
        <v>0.93115740740740738</v>
      </c>
      <c r="F1072" t="s">
        <v>615</v>
      </c>
      <c r="G1072" t="s">
        <v>611</v>
      </c>
      <c r="H1072">
        <v>7</v>
      </c>
      <c r="I1072" s="24">
        <v>7.1122685185185164E-2</v>
      </c>
      <c r="J1072">
        <f t="shared" si="34"/>
        <v>1</v>
      </c>
      <c r="K1072">
        <f t="shared" si="35"/>
        <v>0</v>
      </c>
    </row>
    <row r="1073" spans="1:11" x14ac:dyDescent="0.25">
      <c r="A1073">
        <v>36</v>
      </c>
      <c r="B1073" t="s">
        <v>50</v>
      </c>
      <c r="C1073" s="4">
        <v>0.86003472222222221</v>
      </c>
      <c r="D1073" s="23">
        <v>0.86008101851851848</v>
      </c>
      <c r="E1073" s="23">
        <v>0.93115740740740738</v>
      </c>
      <c r="F1073" t="s">
        <v>615</v>
      </c>
      <c r="G1073" t="s">
        <v>611</v>
      </c>
      <c r="H1073">
        <v>7</v>
      </c>
      <c r="I1073" s="24">
        <v>7.1122685185185164E-2</v>
      </c>
      <c r="J1073">
        <f t="shared" si="34"/>
        <v>1</v>
      </c>
      <c r="K1073">
        <f t="shared" si="35"/>
        <v>0</v>
      </c>
    </row>
    <row r="1074" spans="1:11" x14ac:dyDescent="0.25">
      <c r="A1074">
        <v>37</v>
      </c>
      <c r="B1074" t="s">
        <v>570</v>
      </c>
      <c r="C1074" s="4">
        <v>0.86003472222222221</v>
      </c>
      <c r="D1074" s="23">
        <v>0.86008101851851848</v>
      </c>
      <c r="E1074" s="23">
        <v>0.93115740740740738</v>
      </c>
      <c r="F1074" t="s">
        <v>615</v>
      </c>
      <c r="G1074" t="s">
        <v>611</v>
      </c>
      <c r="H1074">
        <v>7</v>
      </c>
      <c r="I1074" s="24">
        <v>7.1122685185185164E-2</v>
      </c>
      <c r="J1074">
        <f t="shared" si="34"/>
        <v>1</v>
      </c>
      <c r="K1074">
        <f t="shared" si="35"/>
        <v>0</v>
      </c>
    </row>
    <row r="1075" spans="1:11" x14ac:dyDescent="0.25">
      <c r="A1075">
        <v>38</v>
      </c>
      <c r="B1075" t="s">
        <v>62</v>
      </c>
      <c r="C1075" s="4">
        <v>0.86003472222222221</v>
      </c>
      <c r="D1075" s="23">
        <v>0.86008101851851848</v>
      </c>
      <c r="E1075" s="23">
        <v>0.93115740740740738</v>
      </c>
      <c r="F1075" t="s">
        <v>615</v>
      </c>
      <c r="G1075" t="s">
        <v>611</v>
      </c>
      <c r="H1075">
        <v>7</v>
      </c>
      <c r="I1075" s="24">
        <v>7.1122685185185164E-2</v>
      </c>
      <c r="J1075">
        <f t="shared" si="34"/>
        <v>1</v>
      </c>
      <c r="K1075">
        <f t="shared" si="35"/>
        <v>0</v>
      </c>
    </row>
    <row r="1076" spans="1:11" x14ac:dyDescent="0.25">
      <c r="A1076">
        <v>39</v>
      </c>
      <c r="B1076" t="s">
        <v>82</v>
      </c>
      <c r="C1076" s="4">
        <v>0.86003472222222221</v>
      </c>
      <c r="D1076" s="23">
        <v>0.86008101851851848</v>
      </c>
      <c r="E1076" s="23">
        <v>0.93115740740740738</v>
      </c>
      <c r="F1076" t="s">
        <v>615</v>
      </c>
      <c r="G1076" t="s">
        <v>611</v>
      </c>
      <c r="H1076">
        <v>7</v>
      </c>
      <c r="I1076" s="24">
        <v>7.1122685185185164E-2</v>
      </c>
      <c r="J1076">
        <f t="shared" si="34"/>
        <v>1</v>
      </c>
      <c r="K1076">
        <f t="shared" si="35"/>
        <v>0</v>
      </c>
    </row>
    <row r="1077" spans="1:11" x14ac:dyDescent="0.25">
      <c r="A1077">
        <v>40</v>
      </c>
      <c r="B1077" t="s">
        <v>83</v>
      </c>
      <c r="C1077" s="4">
        <v>0.86003472222222221</v>
      </c>
      <c r="D1077" s="23">
        <v>0.86008101851851848</v>
      </c>
      <c r="E1077" s="23">
        <v>0.93115740740740738</v>
      </c>
      <c r="F1077" t="s">
        <v>615</v>
      </c>
      <c r="G1077" t="s">
        <v>611</v>
      </c>
      <c r="H1077">
        <v>7</v>
      </c>
      <c r="I1077" s="24">
        <v>7.1122685185185164E-2</v>
      </c>
      <c r="J1077">
        <f t="shared" si="34"/>
        <v>1</v>
      </c>
      <c r="K1077">
        <f t="shared" si="35"/>
        <v>0</v>
      </c>
    </row>
    <row r="1078" spans="1:11" x14ac:dyDescent="0.25">
      <c r="A1078">
        <v>41</v>
      </c>
      <c r="B1078" t="s">
        <v>549</v>
      </c>
      <c r="C1078" s="4">
        <v>0.86003472222222221</v>
      </c>
      <c r="D1078" s="23">
        <v>0.86008101851851848</v>
      </c>
      <c r="E1078" s="23">
        <v>0.93115740740740738</v>
      </c>
      <c r="F1078" t="s">
        <v>615</v>
      </c>
      <c r="G1078" t="s">
        <v>611</v>
      </c>
      <c r="H1078">
        <v>7</v>
      </c>
      <c r="I1078" s="24">
        <v>7.1122685185185164E-2</v>
      </c>
      <c r="J1078">
        <f t="shared" si="34"/>
        <v>1</v>
      </c>
      <c r="K1078">
        <f t="shared" si="35"/>
        <v>0</v>
      </c>
    </row>
    <row r="1079" spans="1:11" x14ac:dyDescent="0.25">
      <c r="A1079">
        <v>42</v>
      </c>
      <c r="B1079" t="s">
        <v>53</v>
      </c>
      <c r="C1079" s="4">
        <v>0.86003472222222221</v>
      </c>
      <c r="D1079" s="23">
        <v>0.86008101851851848</v>
      </c>
      <c r="E1079" s="23">
        <v>0.93115740740740738</v>
      </c>
      <c r="F1079" t="s">
        <v>615</v>
      </c>
      <c r="G1079" t="s">
        <v>611</v>
      </c>
      <c r="H1079">
        <v>7</v>
      </c>
      <c r="I1079" s="24">
        <v>7.1122685185185164E-2</v>
      </c>
      <c r="J1079">
        <f t="shared" si="34"/>
        <v>1</v>
      </c>
      <c r="K1079">
        <f t="shared" si="35"/>
        <v>0</v>
      </c>
    </row>
    <row r="1080" spans="1:11" x14ac:dyDescent="0.25">
      <c r="A1080">
        <v>43</v>
      </c>
      <c r="B1080" t="s">
        <v>262</v>
      </c>
      <c r="C1080" s="4">
        <v>0.86003472222222221</v>
      </c>
      <c r="D1080" s="23">
        <v>0.90755787037037039</v>
      </c>
      <c r="E1080" s="23">
        <v>0.93115740740740738</v>
      </c>
      <c r="F1080" t="s">
        <v>614</v>
      </c>
      <c r="G1080" t="s">
        <v>611</v>
      </c>
      <c r="H1080">
        <v>7</v>
      </c>
      <c r="I1080" s="24">
        <v>7.1122685185185164E-2</v>
      </c>
      <c r="J1080">
        <f t="shared" si="34"/>
        <v>1</v>
      </c>
      <c r="K1080">
        <f t="shared" si="35"/>
        <v>0</v>
      </c>
    </row>
    <row r="1081" spans="1:11" x14ac:dyDescent="0.25">
      <c r="A1081">
        <v>44</v>
      </c>
      <c r="B1081" t="s">
        <v>470</v>
      </c>
      <c r="C1081" s="4">
        <v>0.86003472222222221</v>
      </c>
      <c r="D1081" s="23">
        <v>0.86008101851851848</v>
      </c>
      <c r="E1081" s="23">
        <v>0.93115740740740738</v>
      </c>
      <c r="F1081" t="s">
        <v>615</v>
      </c>
      <c r="G1081" t="s">
        <v>611</v>
      </c>
      <c r="H1081">
        <v>7</v>
      </c>
      <c r="I1081" s="24">
        <v>7.1122685185185164E-2</v>
      </c>
      <c r="J1081">
        <f t="shared" si="34"/>
        <v>1</v>
      </c>
      <c r="K1081">
        <f t="shared" si="35"/>
        <v>0</v>
      </c>
    </row>
    <row r="1082" spans="1:11" x14ac:dyDescent="0.25">
      <c r="A1082">
        <v>45</v>
      </c>
      <c r="B1082" t="s">
        <v>397</v>
      </c>
      <c r="C1082" s="4">
        <v>0.86003472222222221</v>
      </c>
      <c r="D1082" s="23">
        <v>0.86008101851851848</v>
      </c>
      <c r="E1082" s="23">
        <v>0.93115740740740738</v>
      </c>
      <c r="F1082" t="s">
        <v>615</v>
      </c>
      <c r="G1082" t="s">
        <v>611</v>
      </c>
      <c r="H1082">
        <v>7</v>
      </c>
      <c r="I1082" s="24">
        <v>7.1122685185185164E-2</v>
      </c>
      <c r="J1082">
        <f t="shared" si="34"/>
        <v>1</v>
      </c>
      <c r="K1082">
        <f t="shared" si="35"/>
        <v>0</v>
      </c>
    </row>
    <row r="1083" spans="1:11" x14ac:dyDescent="0.25">
      <c r="A1083">
        <v>46</v>
      </c>
      <c r="B1083" t="s">
        <v>89</v>
      </c>
      <c r="C1083" s="4">
        <v>0.86003472222222221</v>
      </c>
      <c r="D1083" s="23">
        <v>0.86008101851851848</v>
      </c>
      <c r="E1083" s="23">
        <v>0.93115740740740738</v>
      </c>
      <c r="F1083" t="s">
        <v>615</v>
      </c>
      <c r="G1083" t="s">
        <v>611</v>
      </c>
      <c r="H1083">
        <v>7</v>
      </c>
      <c r="I1083" s="24">
        <v>7.1122685185185164E-2</v>
      </c>
      <c r="J1083">
        <f t="shared" si="34"/>
        <v>1</v>
      </c>
      <c r="K1083">
        <f t="shared" si="35"/>
        <v>0</v>
      </c>
    </row>
    <row r="1084" spans="1:11" x14ac:dyDescent="0.25">
      <c r="A1084">
        <v>47</v>
      </c>
      <c r="B1084" t="s">
        <v>138</v>
      </c>
      <c r="C1084" s="4">
        <v>0.86003472222222221</v>
      </c>
      <c r="D1084" s="23">
        <v>0.86008101851851848</v>
      </c>
      <c r="E1084" s="23">
        <v>0.93115740740740738</v>
      </c>
      <c r="F1084" t="s">
        <v>615</v>
      </c>
      <c r="G1084" t="s">
        <v>611</v>
      </c>
      <c r="H1084">
        <v>7</v>
      </c>
      <c r="I1084" s="24">
        <v>7.1122685185185164E-2</v>
      </c>
      <c r="J1084">
        <f t="shared" si="34"/>
        <v>1</v>
      </c>
      <c r="K1084">
        <f t="shared" si="35"/>
        <v>0</v>
      </c>
    </row>
    <row r="1085" spans="1:11" x14ac:dyDescent="0.25">
      <c r="A1085">
        <v>48</v>
      </c>
      <c r="B1085" t="s">
        <v>348</v>
      </c>
      <c r="C1085" s="4">
        <v>0.86003472222222221</v>
      </c>
      <c r="D1085" s="23">
        <v>0.90755787037037039</v>
      </c>
      <c r="E1085" s="23">
        <v>0.93115740740740738</v>
      </c>
      <c r="F1085" t="s">
        <v>614</v>
      </c>
      <c r="G1085" t="s">
        <v>611</v>
      </c>
      <c r="H1085">
        <v>7</v>
      </c>
      <c r="I1085" s="24">
        <v>7.1122685185185164E-2</v>
      </c>
      <c r="J1085">
        <f t="shared" si="34"/>
        <v>1</v>
      </c>
      <c r="K1085">
        <f t="shared" si="35"/>
        <v>0</v>
      </c>
    </row>
    <row r="1086" spans="1:11" x14ac:dyDescent="0.25">
      <c r="A1086">
        <v>1</v>
      </c>
      <c r="B1086" t="s">
        <v>11</v>
      </c>
      <c r="C1086" s="4">
        <v>0.83802083333333333</v>
      </c>
      <c r="D1086" s="23">
        <v>0.92785879629629631</v>
      </c>
      <c r="E1086" s="23">
        <v>0.92798611111111107</v>
      </c>
      <c r="F1086" t="s">
        <v>605</v>
      </c>
      <c r="G1086" t="s">
        <v>617</v>
      </c>
      <c r="H1086">
        <v>6</v>
      </c>
      <c r="I1086" s="24">
        <v>8.9965277777777741E-2</v>
      </c>
      <c r="J1086">
        <f t="shared" si="34"/>
        <v>1</v>
      </c>
      <c r="K1086">
        <f t="shared" si="35"/>
        <v>0</v>
      </c>
    </row>
    <row r="1087" spans="1:11" x14ac:dyDescent="0.25">
      <c r="A1087">
        <v>2</v>
      </c>
      <c r="B1087" t="s">
        <v>296</v>
      </c>
      <c r="C1087" s="4">
        <v>0.83802083333333333</v>
      </c>
      <c r="D1087" s="23">
        <v>0.85803240740740738</v>
      </c>
      <c r="E1087" s="23">
        <v>0.92798611111111107</v>
      </c>
      <c r="F1087" t="s">
        <v>619</v>
      </c>
      <c r="G1087" t="s">
        <v>617</v>
      </c>
      <c r="H1087">
        <v>6</v>
      </c>
      <c r="I1087" s="24">
        <v>8.9965277777777741E-2</v>
      </c>
      <c r="J1087">
        <f t="shared" si="34"/>
        <v>1</v>
      </c>
      <c r="K1087">
        <f t="shared" si="35"/>
        <v>0</v>
      </c>
    </row>
    <row r="1088" spans="1:11" x14ac:dyDescent="0.25">
      <c r="A1088">
        <v>3</v>
      </c>
      <c r="B1088" t="s">
        <v>35</v>
      </c>
      <c r="C1088" s="4">
        <v>0.83802083333333333</v>
      </c>
      <c r="D1088" s="23">
        <v>0.85803240740740738</v>
      </c>
      <c r="E1088" s="23">
        <v>0.92798611111111107</v>
      </c>
      <c r="F1088" t="s">
        <v>619</v>
      </c>
      <c r="G1088" t="s">
        <v>617</v>
      </c>
      <c r="H1088">
        <v>6</v>
      </c>
      <c r="I1088" s="24">
        <v>8.9965277777777741E-2</v>
      </c>
      <c r="J1088">
        <f t="shared" si="34"/>
        <v>1</v>
      </c>
      <c r="K1088">
        <f t="shared" si="35"/>
        <v>0</v>
      </c>
    </row>
    <row r="1089" spans="1:11" x14ac:dyDescent="0.25">
      <c r="A1089">
        <v>4</v>
      </c>
      <c r="B1089" t="s">
        <v>585</v>
      </c>
      <c r="C1089" s="4">
        <v>0.83802083333333333</v>
      </c>
      <c r="D1089" s="23">
        <v>0.85803240740740738</v>
      </c>
      <c r="E1089" s="23">
        <v>0.92798611111111107</v>
      </c>
      <c r="F1089" t="s">
        <v>620</v>
      </c>
      <c r="G1089" t="s">
        <v>617</v>
      </c>
      <c r="H1089">
        <v>6</v>
      </c>
      <c r="I1089" s="24">
        <v>8.9965277777777741E-2</v>
      </c>
      <c r="J1089">
        <f t="shared" si="34"/>
        <v>1</v>
      </c>
      <c r="K1089">
        <f t="shared" si="35"/>
        <v>0</v>
      </c>
    </row>
    <row r="1090" spans="1:11" x14ac:dyDescent="0.25">
      <c r="A1090">
        <v>6</v>
      </c>
      <c r="B1090" t="s">
        <v>70</v>
      </c>
      <c r="C1090" s="4">
        <v>0.83802083333333333</v>
      </c>
      <c r="D1090" s="23">
        <v>0.85934027777777777</v>
      </c>
      <c r="E1090" s="23">
        <v>0.92798611111111107</v>
      </c>
      <c r="F1090" t="s">
        <v>621</v>
      </c>
      <c r="G1090" t="s">
        <v>617</v>
      </c>
      <c r="H1090">
        <v>6</v>
      </c>
      <c r="I1090" s="24">
        <v>8.9965277777777741E-2</v>
      </c>
      <c r="J1090">
        <f t="shared" si="34"/>
        <v>1</v>
      </c>
      <c r="K1090">
        <f t="shared" si="35"/>
        <v>0</v>
      </c>
    </row>
    <row r="1091" spans="1:11" x14ac:dyDescent="0.25">
      <c r="A1091">
        <v>7</v>
      </c>
      <c r="B1091" t="s">
        <v>380</v>
      </c>
      <c r="C1091" s="4">
        <v>0.83802083333333333</v>
      </c>
      <c r="D1091" s="23">
        <v>0.85803240740740738</v>
      </c>
      <c r="E1091" s="23">
        <v>0.92798611111111107</v>
      </c>
      <c r="F1091" t="s">
        <v>622</v>
      </c>
      <c r="G1091" t="s">
        <v>617</v>
      </c>
      <c r="H1091">
        <v>6</v>
      </c>
      <c r="I1091" s="24">
        <v>8.9965277777777741E-2</v>
      </c>
      <c r="J1091">
        <f t="shared" si="34"/>
        <v>1</v>
      </c>
      <c r="K1091">
        <f t="shared" si="35"/>
        <v>0</v>
      </c>
    </row>
    <row r="1092" spans="1:11" x14ac:dyDescent="0.25">
      <c r="A1092">
        <v>8</v>
      </c>
      <c r="B1092" t="s">
        <v>181</v>
      </c>
      <c r="C1092" s="4">
        <v>0.83802083333333333</v>
      </c>
      <c r="D1092" s="23">
        <v>0.85803240740740738</v>
      </c>
      <c r="E1092" s="23">
        <v>0.92798611111111107</v>
      </c>
      <c r="F1092" t="s">
        <v>622</v>
      </c>
      <c r="G1092" t="s">
        <v>617</v>
      </c>
      <c r="H1092">
        <v>6</v>
      </c>
      <c r="I1092" s="24">
        <v>8.9965277777777741E-2</v>
      </c>
      <c r="J1092">
        <f t="shared" si="34"/>
        <v>1</v>
      </c>
      <c r="K1092">
        <f t="shared" si="35"/>
        <v>0</v>
      </c>
    </row>
    <row r="1093" spans="1:11" x14ac:dyDescent="0.25">
      <c r="A1093">
        <v>9</v>
      </c>
      <c r="B1093" t="s">
        <v>36</v>
      </c>
      <c r="C1093" s="4">
        <v>0.83802083333333333</v>
      </c>
      <c r="D1093" s="23">
        <v>0.85803240740740738</v>
      </c>
      <c r="E1093" s="23">
        <v>0.92798611111111107</v>
      </c>
      <c r="F1093" t="s">
        <v>623</v>
      </c>
      <c r="G1093" t="s">
        <v>617</v>
      </c>
      <c r="H1093">
        <v>6</v>
      </c>
      <c r="I1093" s="24">
        <v>8.9965277777777741E-2</v>
      </c>
      <c r="J1093">
        <f t="shared" si="34"/>
        <v>1</v>
      </c>
      <c r="K1093">
        <f t="shared" si="35"/>
        <v>0</v>
      </c>
    </row>
    <row r="1094" spans="1:11" x14ac:dyDescent="0.25">
      <c r="A1094">
        <v>10</v>
      </c>
      <c r="B1094" t="s">
        <v>222</v>
      </c>
      <c r="C1094" s="4">
        <v>0.83802083333333333</v>
      </c>
      <c r="D1094" s="23">
        <v>0.89008101851851851</v>
      </c>
      <c r="E1094" s="23">
        <v>0.92798611111111107</v>
      </c>
      <c r="F1094" t="s">
        <v>624</v>
      </c>
      <c r="G1094" t="s">
        <v>617</v>
      </c>
      <c r="H1094">
        <v>6</v>
      </c>
      <c r="I1094" s="24">
        <v>8.9965277777777741E-2</v>
      </c>
      <c r="J1094">
        <f t="shared" si="34"/>
        <v>1</v>
      </c>
      <c r="K1094">
        <f t="shared" si="35"/>
        <v>0</v>
      </c>
    </row>
    <row r="1095" spans="1:11" x14ac:dyDescent="0.25">
      <c r="A1095">
        <v>11</v>
      </c>
      <c r="B1095" t="s">
        <v>37</v>
      </c>
      <c r="C1095" s="4">
        <v>0.83802083333333333</v>
      </c>
      <c r="D1095" s="23">
        <v>0.89008101851851851</v>
      </c>
      <c r="E1095" s="23">
        <v>0.92798611111111107</v>
      </c>
      <c r="F1095" t="s">
        <v>624</v>
      </c>
      <c r="G1095" t="s">
        <v>617</v>
      </c>
      <c r="H1095">
        <v>6</v>
      </c>
      <c r="I1095" s="24">
        <v>8.9965277777777741E-2</v>
      </c>
      <c r="J1095">
        <f t="shared" si="34"/>
        <v>1</v>
      </c>
      <c r="K1095">
        <f t="shared" si="35"/>
        <v>0</v>
      </c>
    </row>
    <row r="1096" spans="1:11" x14ac:dyDescent="0.25">
      <c r="A1096">
        <v>12</v>
      </c>
      <c r="B1096" t="s">
        <v>16</v>
      </c>
      <c r="C1096" s="4">
        <v>0.83802083333333333</v>
      </c>
      <c r="D1096" s="23">
        <v>0.83805555555555555</v>
      </c>
      <c r="E1096" s="23">
        <v>0.92798611111111107</v>
      </c>
      <c r="F1096" t="s">
        <v>286</v>
      </c>
      <c r="G1096" t="s">
        <v>617</v>
      </c>
      <c r="H1096">
        <v>6</v>
      </c>
      <c r="I1096" s="24">
        <v>8.9965277777777741E-2</v>
      </c>
      <c r="J1096">
        <f t="shared" si="34"/>
        <v>1</v>
      </c>
      <c r="K1096">
        <f t="shared" si="35"/>
        <v>0</v>
      </c>
    </row>
    <row r="1097" spans="1:11" x14ac:dyDescent="0.25">
      <c r="A1097">
        <v>13</v>
      </c>
      <c r="B1097" t="s">
        <v>186</v>
      </c>
      <c r="C1097" s="4">
        <v>0.83802083333333333</v>
      </c>
      <c r="D1097" s="23">
        <v>0.85803240740740738</v>
      </c>
      <c r="E1097" s="23">
        <v>0.92798611111111107</v>
      </c>
      <c r="F1097" t="s">
        <v>622</v>
      </c>
      <c r="G1097" t="s">
        <v>617</v>
      </c>
      <c r="H1097">
        <v>6</v>
      </c>
      <c r="I1097" s="24">
        <v>8.9965277777777741E-2</v>
      </c>
      <c r="J1097">
        <f t="shared" si="34"/>
        <v>1</v>
      </c>
      <c r="K1097">
        <f t="shared" si="35"/>
        <v>0</v>
      </c>
    </row>
    <row r="1098" spans="1:11" x14ac:dyDescent="0.25">
      <c r="A1098">
        <v>14</v>
      </c>
      <c r="B1098" t="s">
        <v>625</v>
      </c>
      <c r="C1098" s="4">
        <v>0.83802083333333333</v>
      </c>
      <c r="D1098" s="23">
        <v>0.89008101851851851</v>
      </c>
      <c r="E1098" s="23">
        <v>0.92798611111111107</v>
      </c>
      <c r="F1098" t="s">
        <v>626</v>
      </c>
      <c r="G1098" t="s">
        <v>617</v>
      </c>
      <c r="H1098">
        <v>6</v>
      </c>
      <c r="I1098" s="24">
        <v>8.9965277777777741E-2</v>
      </c>
      <c r="J1098">
        <f t="shared" si="34"/>
        <v>1</v>
      </c>
      <c r="K1098">
        <f t="shared" si="35"/>
        <v>0</v>
      </c>
    </row>
    <row r="1099" spans="1:11" x14ac:dyDescent="0.25">
      <c r="A1099">
        <v>15</v>
      </c>
      <c r="B1099" t="s">
        <v>409</v>
      </c>
      <c r="C1099" s="4">
        <v>0.83802083333333333</v>
      </c>
      <c r="D1099" s="23">
        <v>0.85803240740740738</v>
      </c>
      <c r="E1099" s="23">
        <v>0.92798611111111107</v>
      </c>
      <c r="F1099" t="s">
        <v>619</v>
      </c>
      <c r="G1099" t="s">
        <v>617</v>
      </c>
      <c r="H1099">
        <v>6</v>
      </c>
      <c r="I1099" s="24">
        <v>8.9965277777777741E-2</v>
      </c>
      <c r="J1099">
        <f t="shared" si="34"/>
        <v>1</v>
      </c>
      <c r="K1099">
        <f t="shared" si="35"/>
        <v>0</v>
      </c>
    </row>
    <row r="1100" spans="1:11" x14ac:dyDescent="0.25">
      <c r="A1100">
        <v>16</v>
      </c>
      <c r="B1100" t="s">
        <v>538</v>
      </c>
      <c r="C1100" s="4">
        <v>0.83802083333333333</v>
      </c>
      <c r="D1100" s="23">
        <v>0.89008101851851851</v>
      </c>
      <c r="E1100" s="23">
        <v>0.92798611111111107</v>
      </c>
      <c r="F1100" t="s">
        <v>626</v>
      </c>
      <c r="G1100" t="s">
        <v>617</v>
      </c>
      <c r="H1100">
        <v>6</v>
      </c>
      <c r="I1100" s="24">
        <v>8.9965277777777741E-2</v>
      </c>
      <c r="J1100">
        <f t="shared" si="34"/>
        <v>1</v>
      </c>
      <c r="K1100">
        <f t="shared" si="35"/>
        <v>0</v>
      </c>
    </row>
    <row r="1101" spans="1:11" x14ac:dyDescent="0.25">
      <c r="A1101">
        <v>17</v>
      </c>
      <c r="B1101" t="s">
        <v>114</v>
      </c>
      <c r="C1101" s="4">
        <v>0.83802083333333333</v>
      </c>
      <c r="D1101" s="23">
        <v>0.85803240740740738</v>
      </c>
      <c r="E1101" s="23">
        <v>0.92798611111111107</v>
      </c>
      <c r="F1101" t="s">
        <v>622</v>
      </c>
      <c r="G1101" t="s">
        <v>617</v>
      </c>
      <c r="H1101">
        <v>6</v>
      </c>
      <c r="I1101" s="24">
        <v>8.9965277777777741E-2</v>
      </c>
      <c r="J1101">
        <f t="shared" si="34"/>
        <v>1</v>
      </c>
      <c r="K1101">
        <f t="shared" si="35"/>
        <v>0</v>
      </c>
    </row>
    <row r="1102" spans="1:11" x14ac:dyDescent="0.25">
      <c r="A1102">
        <v>18</v>
      </c>
      <c r="B1102" t="s">
        <v>18</v>
      </c>
      <c r="C1102" s="4">
        <v>0.83802083333333333</v>
      </c>
      <c r="D1102" s="23">
        <v>0.85803240740740738</v>
      </c>
      <c r="E1102" s="23">
        <v>0.92798611111111107</v>
      </c>
      <c r="F1102" t="s">
        <v>622</v>
      </c>
      <c r="G1102" t="s">
        <v>617</v>
      </c>
      <c r="H1102">
        <v>6</v>
      </c>
      <c r="I1102" s="24">
        <v>8.9965277777777741E-2</v>
      </c>
      <c r="J1102">
        <f t="shared" si="34"/>
        <v>1</v>
      </c>
      <c r="K1102">
        <f t="shared" si="35"/>
        <v>0</v>
      </c>
    </row>
    <row r="1103" spans="1:11" x14ac:dyDescent="0.25">
      <c r="A1103">
        <v>19</v>
      </c>
      <c r="B1103" t="s">
        <v>41</v>
      </c>
      <c r="C1103" s="4">
        <v>0.83802083333333333</v>
      </c>
      <c r="D1103" s="23">
        <v>0.85803240740740738</v>
      </c>
      <c r="E1103" s="23">
        <v>0.92798611111111107</v>
      </c>
      <c r="F1103" t="s">
        <v>619</v>
      </c>
      <c r="G1103" t="s">
        <v>617</v>
      </c>
      <c r="H1103">
        <v>6</v>
      </c>
      <c r="I1103" s="24">
        <v>8.9965277777777741E-2</v>
      </c>
      <c r="J1103">
        <f t="shared" si="34"/>
        <v>1</v>
      </c>
      <c r="K1103">
        <f t="shared" si="35"/>
        <v>0</v>
      </c>
    </row>
    <row r="1104" spans="1:11" x14ac:dyDescent="0.25">
      <c r="A1104">
        <v>20</v>
      </c>
      <c r="B1104" t="s">
        <v>506</v>
      </c>
      <c r="C1104" s="4">
        <v>0.83802083333333333</v>
      </c>
      <c r="D1104" s="23">
        <v>0.89008101851851851</v>
      </c>
      <c r="E1104" s="23">
        <v>0.92798611111111107</v>
      </c>
      <c r="F1104" t="s">
        <v>624</v>
      </c>
      <c r="G1104" t="s">
        <v>617</v>
      </c>
      <c r="H1104">
        <v>6</v>
      </c>
      <c r="I1104" s="24">
        <v>8.9965277777777741E-2</v>
      </c>
      <c r="J1104">
        <f t="shared" si="34"/>
        <v>1</v>
      </c>
      <c r="K1104">
        <f t="shared" si="35"/>
        <v>0</v>
      </c>
    </row>
    <row r="1105" spans="1:11" x14ac:dyDescent="0.25">
      <c r="A1105">
        <v>21</v>
      </c>
      <c r="B1105" t="s">
        <v>118</v>
      </c>
      <c r="C1105" s="4">
        <v>0.83802083333333333</v>
      </c>
      <c r="D1105" s="23">
        <v>0.85934027777777777</v>
      </c>
      <c r="E1105" s="23">
        <v>0.92798611111111107</v>
      </c>
      <c r="F1105" t="s">
        <v>621</v>
      </c>
      <c r="G1105" t="s">
        <v>617</v>
      </c>
      <c r="H1105">
        <v>6</v>
      </c>
      <c r="I1105" s="24">
        <v>8.9965277777777741E-2</v>
      </c>
      <c r="J1105">
        <f t="shared" si="34"/>
        <v>1</v>
      </c>
      <c r="K1105">
        <f t="shared" si="35"/>
        <v>0</v>
      </c>
    </row>
    <row r="1106" spans="1:11" x14ac:dyDescent="0.25">
      <c r="A1106">
        <v>22</v>
      </c>
      <c r="B1106" t="s">
        <v>383</v>
      </c>
      <c r="C1106" s="4">
        <v>0.83802083333333333</v>
      </c>
      <c r="D1106" s="23">
        <v>0.85803240740740738</v>
      </c>
      <c r="E1106" s="23">
        <v>0.92798611111111107</v>
      </c>
      <c r="F1106" t="s">
        <v>619</v>
      </c>
      <c r="G1106" t="s">
        <v>617</v>
      </c>
      <c r="H1106">
        <v>6</v>
      </c>
      <c r="I1106" s="24">
        <v>8.9965277777777741E-2</v>
      </c>
      <c r="J1106">
        <f t="shared" si="34"/>
        <v>1</v>
      </c>
      <c r="K1106">
        <f t="shared" si="35"/>
        <v>0</v>
      </c>
    </row>
    <row r="1107" spans="1:11" x14ac:dyDescent="0.25">
      <c r="A1107">
        <v>23</v>
      </c>
      <c r="B1107" t="s">
        <v>20</v>
      </c>
      <c r="C1107" s="4">
        <v>0.83802083333333333</v>
      </c>
      <c r="D1107" s="23">
        <v>0.85803240740740738</v>
      </c>
      <c r="E1107" s="23">
        <v>0.92798611111111107</v>
      </c>
      <c r="F1107" t="s">
        <v>627</v>
      </c>
      <c r="G1107" t="s">
        <v>617</v>
      </c>
      <c r="H1107">
        <v>6</v>
      </c>
      <c r="I1107" s="24">
        <v>8.9965277777777741E-2</v>
      </c>
      <c r="J1107">
        <f t="shared" si="34"/>
        <v>1</v>
      </c>
      <c r="K1107">
        <f t="shared" si="35"/>
        <v>0</v>
      </c>
    </row>
    <row r="1108" spans="1:11" x14ac:dyDescent="0.25">
      <c r="A1108">
        <v>24</v>
      </c>
      <c r="B1108" t="s">
        <v>540</v>
      </c>
      <c r="C1108" s="4">
        <v>0.83802083333333333</v>
      </c>
      <c r="D1108" s="23">
        <v>0.85803240740740738</v>
      </c>
      <c r="E1108" s="23">
        <v>0.92798611111111107</v>
      </c>
      <c r="F1108" t="s">
        <v>619</v>
      </c>
      <c r="G1108" t="s">
        <v>617</v>
      </c>
      <c r="H1108">
        <v>6</v>
      </c>
      <c r="I1108" s="24">
        <v>8.9965277777777741E-2</v>
      </c>
      <c r="J1108">
        <f t="shared" si="34"/>
        <v>1</v>
      </c>
      <c r="K1108">
        <f t="shared" si="35"/>
        <v>0</v>
      </c>
    </row>
    <row r="1109" spans="1:11" x14ac:dyDescent="0.25">
      <c r="A1109">
        <v>25</v>
      </c>
      <c r="B1109" t="s">
        <v>99</v>
      </c>
      <c r="C1109" s="4">
        <v>0.83802083333333333</v>
      </c>
      <c r="D1109" s="23">
        <v>0.85803240740740738</v>
      </c>
      <c r="E1109" s="23">
        <v>0.92798611111111107</v>
      </c>
      <c r="F1109" t="s">
        <v>619</v>
      </c>
      <c r="G1109" t="s">
        <v>617</v>
      </c>
      <c r="H1109">
        <v>6</v>
      </c>
      <c r="I1109" s="24">
        <v>8.9965277777777741E-2</v>
      </c>
      <c r="J1109">
        <f t="shared" si="34"/>
        <v>1</v>
      </c>
      <c r="K1109">
        <f t="shared" si="35"/>
        <v>0</v>
      </c>
    </row>
    <row r="1110" spans="1:11" x14ac:dyDescent="0.25">
      <c r="A1110">
        <v>26</v>
      </c>
      <c r="B1110" t="s">
        <v>238</v>
      </c>
      <c r="C1110" s="4">
        <v>0.83802083333333333</v>
      </c>
      <c r="D1110" s="23">
        <v>0.85803240740740738</v>
      </c>
      <c r="E1110" s="23">
        <v>0.92798611111111107</v>
      </c>
      <c r="F1110" t="s">
        <v>622</v>
      </c>
      <c r="G1110" t="s">
        <v>617</v>
      </c>
      <c r="H1110">
        <v>6</v>
      </c>
      <c r="I1110" s="24">
        <v>8.9965277777777741E-2</v>
      </c>
      <c r="J1110">
        <f t="shared" si="34"/>
        <v>1</v>
      </c>
      <c r="K1110">
        <f t="shared" si="35"/>
        <v>0</v>
      </c>
    </row>
    <row r="1111" spans="1:11" x14ac:dyDescent="0.25">
      <c r="A1111">
        <v>27</v>
      </c>
      <c r="B1111" t="s">
        <v>22</v>
      </c>
      <c r="C1111" s="4">
        <v>0.83802083333333333</v>
      </c>
      <c r="D1111" s="23">
        <v>0.85803240740740738</v>
      </c>
      <c r="E1111" s="23">
        <v>0.92798611111111107</v>
      </c>
      <c r="F1111" t="s">
        <v>619</v>
      </c>
      <c r="G1111" t="s">
        <v>617</v>
      </c>
      <c r="H1111">
        <v>6</v>
      </c>
      <c r="I1111" s="24">
        <v>8.9965277777777741E-2</v>
      </c>
      <c r="J1111">
        <f t="shared" si="34"/>
        <v>1</v>
      </c>
      <c r="K1111">
        <f t="shared" si="35"/>
        <v>0</v>
      </c>
    </row>
    <row r="1112" spans="1:11" x14ac:dyDescent="0.25">
      <c r="A1112">
        <v>28</v>
      </c>
      <c r="B1112" t="s">
        <v>61</v>
      </c>
      <c r="C1112" s="4">
        <v>0.83802083333333333</v>
      </c>
      <c r="D1112" s="23">
        <v>0.89008101851851851</v>
      </c>
      <c r="E1112" s="23">
        <v>0.92798611111111107</v>
      </c>
      <c r="F1112" t="s">
        <v>626</v>
      </c>
      <c r="G1112" t="s">
        <v>617</v>
      </c>
      <c r="H1112">
        <v>6</v>
      </c>
      <c r="I1112" s="24">
        <v>8.9965277777777741E-2</v>
      </c>
      <c r="J1112">
        <f t="shared" si="34"/>
        <v>1</v>
      </c>
      <c r="K1112">
        <f t="shared" si="35"/>
        <v>0</v>
      </c>
    </row>
    <row r="1113" spans="1:11" x14ac:dyDescent="0.25">
      <c r="A1113">
        <v>29</v>
      </c>
      <c r="B1113" t="s">
        <v>46</v>
      </c>
      <c r="C1113" s="4">
        <v>0.83802083333333333</v>
      </c>
      <c r="D1113" s="23">
        <v>0.85803240740740738</v>
      </c>
      <c r="E1113" s="23">
        <v>0.92798611111111107</v>
      </c>
      <c r="F1113" t="s">
        <v>619</v>
      </c>
      <c r="G1113" t="s">
        <v>617</v>
      </c>
      <c r="H1113">
        <v>6</v>
      </c>
      <c r="I1113" s="24">
        <v>8.9965277777777741E-2</v>
      </c>
      <c r="J1113">
        <f t="shared" si="34"/>
        <v>1</v>
      </c>
      <c r="K1113">
        <f t="shared" si="35"/>
        <v>0</v>
      </c>
    </row>
    <row r="1114" spans="1:11" x14ac:dyDescent="0.25">
      <c r="A1114">
        <v>30</v>
      </c>
      <c r="B1114" t="s">
        <v>100</v>
      </c>
      <c r="C1114" s="4">
        <v>0.83802083333333333</v>
      </c>
      <c r="D1114" s="23">
        <v>0.89008101851851851</v>
      </c>
      <c r="E1114" s="23">
        <v>0.92798611111111107</v>
      </c>
      <c r="F1114" t="s">
        <v>624</v>
      </c>
      <c r="G1114" t="s">
        <v>617</v>
      </c>
      <c r="H1114">
        <v>6</v>
      </c>
      <c r="I1114" s="24">
        <v>8.9965277777777741E-2</v>
      </c>
      <c r="J1114">
        <f t="shared" si="34"/>
        <v>1</v>
      </c>
      <c r="K1114">
        <f t="shared" si="35"/>
        <v>0</v>
      </c>
    </row>
    <row r="1115" spans="1:11" x14ac:dyDescent="0.25">
      <c r="A1115">
        <v>31</v>
      </c>
      <c r="B1115" t="s">
        <v>23</v>
      </c>
      <c r="C1115" s="4">
        <v>0.83802083333333333</v>
      </c>
      <c r="D1115" s="23">
        <v>0.85803240740740738</v>
      </c>
      <c r="E1115" s="23">
        <v>0.92798611111111107</v>
      </c>
      <c r="F1115" t="s">
        <v>623</v>
      </c>
      <c r="G1115" t="s">
        <v>617</v>
      </c>
      <c r="H1115">
        <v>6</v>
      </c>
      <c r="I1115" s="24">
        <v>8.9965277777777741E-2</v>
      </c>
      <c r="J1115">
        <f t="shared" si="34"/>
        <v>1</v>
      </c>
      <c r="K1115">
        <f t="shared" si="35"/>
        <v>0</v>
      </c>
    </row>
    <row r="1116" spans="1:11" x14ac:dyDescent="0.25">
      <c r="A1116">
        <v>32</v>
      </c>
      <c r="B1116" t="s">
        <v>511</v>
      </c>
      <c r="C1116" s="4">
        <v>0.83802083333333333</v>
      </c>
      <c r="D1116" s="23">
        <v>0.85803240740740738</v>
      </c>
      <c r="E1116" s="23">
        <v>0.92798611111111107</v>
      </c>
      <c r="F1116" t="s">
        <v>619</v>
      </c>
      <c r="G1116" t="s">
        <v>617</v>
      </c>
      <c r="H1116">
        <v>6</v>
      </c>
      <c r="I1116" s="24">
        <v>8.9965277777777741E-2</v>
      </c>
      <c r="J1116">
        <f t="shared" si="34"/>
        <v>1</v>
      </c>
      <c r="K1116">
        <f t="shared" si="35"/>
        <v>0</v>
      </c>
    </row>
    <row r="1117" spans="1:11" x14ac:dyDescent="0.25">
      <c r="A1117">
        <v>33</v>
      </c>
      <c r="B1117" t="s">
        <v>49</v>
      </c>
      <c r="C1117" s="4">
        <v>0.83802083333333333</v>
      </c>
      <c r="D1117" s="23">
        <v>0.89008101851851851</v>
      </c>
      <c r="E1117" s="23">
        <v>0.92798611111111107</v>
      </c>
      <c r="F1117" t="s">
        <v>626</v>
      </c>
      <c r="G1117" t="s">
        <v>617</v>
      </c>
      <c r="H1117">
        <v>6</v>
      </c>
      <c r="I1117" s="24">
        <v>8.9965277777777741E-2</v>
      </c>
      <c r="J1117">
        <f t="shared" si="34"/>
        <v>1</v>
      </c>
      <c r="K1117">
        <f t="shared" si="35"/>
        <v>0</v>
      </c>
    </row>
    <row r="1118" spans="1:11" x14ac:dyDescent="0.25">
      <c r="A1118">
        <v>34</v>
      </c>
      <c r="B1118" t="s">
        <v>193</v>
      </c>
      <c r="C1118" s="4">
        <v>0.83802083333333333</v>
      </c>
      <c r="D1118" s="23">
        <v>0.85803240740740738</v>
      </c>
      <c r="E1118" s="23">
        <v>0.92798611111111107</v>
      </c>
      <c r="F1118" t="s">
        <v>628</v>
      </c>
      <c r="G1118" t="s">
        <v>617</v>
      </c>
      <c r="H1118">
        <v>6</v>
      </c>
      <c r="I1118" s="24">
        <v>8.9965277777777741E-2</v>
      </c>
      <c r="J1118">
        <f t="shared" si="34"/>
        <v>1</v>
      </c>
      <c r="K1118">
        <f t="shared" si="35"/>
        <v>0</v>
      </c>
    </row>
    <row r="1119" spans="1:11" x14ac:dyDescent="0.25">
      <c r="A1119">
        <v>35</v>
      </c>
      <c r="B1119" t="s">
        <v>213</v>
      </c>
      <c r="C1119" s="4">
        <v>0.83802083333333333</v>
      </c>
      <c r="D1119" s="23">
        <v>0.89008101851851851</v>
      </c>
      <c r="E1119" s="23">
        <v>0.92798611111111107</v>
      </c>
      <c r="F1119" t="s">
        <v>626</v>
      </c>
      <c r="G1119" t="s">
        <v>617</v>
      </c>
      <c r="H1119">
        <v>6</v>
      </c>
      <c r="I1119" s="24">
        <v>8.9965277777777741E-2</v>
      </c>
      <c r="J1119">
        <f t="shared" si="34"/>
        <v>1</v>
      </c>
      <c r="K1119">
        <f t="shared" si="35"/>
        <v>0</v>
      </c>
    </row>
    <row r="1120" spans="1:11" x14ac:dyDescent="0.25">
      <c r="A1120">
        <v>36</v>
      </c>
      <c r="B1120" t="s">
        <v>50</v>
      </c>
      <c r="C1120" s="4">
        <v>0.83802083333333333</v>
      </c>
      <c r="D1120" s="23">
        <v>0.859375</v>
      </c>
      <c r="E1120" s="23">
        <v>0.92798611111111107</v>
      </c>
      <c r="F1120" t="s">
        <v>629</v>
      </c>
      <c r="G1120" t="s">
        <v>617</v>
      </c>
      <c r="H1120">
        <v>6</v>
      </c>
      <c r="I1120" s="24">
        <v>8.9965277777777741E-2</v>
      </c>
      <c r="J1120">
        <f t="shared" si="34"/>
        <v>1</v>
      </c>
      <c r="K1120">
        <f t="shared" si="35"/>
        <v>0</v>
      </c>
    </row>
    <row r="1121" spans="1:11" x14ac:dyDescent="0.25">
      <c r="A1121">
        <v>37</v>
      </c>
      <c r="B1121" t="s">
        <v>570</v>
      </c>
      <c r="C1121" s="4">
        <v>0.83802083333333333</v>
      </c>
      <c r="D1121" s="23">
        <v>0.85803240740740738</v>
      </c>
      <c r="E1121" s="23">
        <v>0.92798611111111107</v>
      </c>
      <c r="F1121" t="s">
        <v>622</v>
      </c>
      <c r="G1121" t="s">
        <v>617</v>
      </c>
      <c r="H1121">
        <v>6</v>
      </c>
      <c r="I1121" s="24">
        <v>8.9965277777777741E-2</v>
      </c>
      <c r="J1121">
        <f t="shared" si="34"/>
        <v>1</v>
      </c>
      <c r="K1121">
        <f t="shared" si="35"/>
        <v>0</v>
      </c>
    </row>
    <row r="1122" spans="1:11" x14ac:dyDescent="0.25">
      <c r="A1122">
        <v>38</v>
      </c>
      <c r="B1122" t="s">
        <v>62</v>
      </c>
      <c r="C1122" s="4">
        <v>0.83802083333333333</v>
      </c>
      <c r="D1122" s="23">
        <v>0.83805555555555555</v>
      </c>
      <c r="E1122" s="23">
        <v>0.92798611111111107</v>
      </c>
      <c r="F1122" t="s">
        <v>630</v>
      </c>
      <c r="G1122" t="s">
        <v>617</v>
      </c>
      <c r="H1122">
        <v>6</v>
      </c>
      <c r="I1122" s="24">
        <v>8.9965277777777741E-2</v>
      </c>
      <c r="J1122">
        <f t="shared" si="34"/>
        <v>1</v>
      </c>
      <c r="K1122">
        <f t="shared" si="35"/>
        <v>0</v>
      </c>
    </row>
    <row r="1123" spans="1:11" x14ac:dyDescent="0.25">
      <c r="A1123">
        <v>39</v>
      </c>
      <c r="B1123" t="s">
        <v>83</v>
      </c>
      <c r="C1123" s="4">
        <v>0.83802083333333333</v>
      </c>
      <c r="D1123" s="23">
        <v>0.85803240740740738</v>
      </c>
      <c r="E1123" s="23">
        <v>0.92798611111111107</v>
      </c>
      <c r="F1123" t="s">
        <v>631</v>
      </c>
      <c r="G1123" t="s">
        <v>617</v>
      </c>
      <c r="H1123">
        <v>6</v>
      </c>
      <c r="I1123" s="24">
        <v>8.9965277777777741E-2</v>
      </c>
      <c r="J1123">
        <f t="shared" si="34"/>
        <v>1</v>
      </c>
      <c r="K1123">
        <f t="shared" si="35"/>
        <v>0</v>
      </c>
    </row>
    <row r="1124" spans="1:11" x14ac:dyDescent="0.25">
      <c r="A1124">
        <v>40</v>
      </c>
      <c r="B1124" t="s">
        <v>549</v>
      </c>
      <c r="C1124" s="4">
        <v>0.83802083333333333</v>
      </c>
      <c r="D1124" s="23">
        <v>0.85803240740740738</v>
      </c>
      <c r="E1124" s="23">
        <v>0.92798611111111107</v>
      </c>
      <c r="F1124" t="s">
        <v>622</v>
      </c>
      <c r="G1124" t="s">
        <v>617</v>
      </c>
      <c r="H1124">
        <v>6</v>
      </c>
      <c r="I1124" s="24">
        <v>8.9965277777777741E-2</v>
      </c>
      <c r="J1124">
        <f t="shared" si="34"/>
        <v>1</v>
      </c>
      <c r="K1124">
        <f t="shared" si="35"/>
        <v>0</v>
      </c>
    </row>
    <row r="1125" spans="1:11" x14ac:dyDescent="0.25">
      <c r="A1125">
        <v>41</v>
      </c>
      <c r="B1125" t="s">
        <v>101</v>
      </c>
      <c r="C1125" s="4">
        <v>0.83802083333333333</v>
      </c>
      <c r="D1125" s="23">
        <v>0.85934027777777777</v>
      </c>
      <c r="E1125" s="23">
        <v>0.92798611111111107</v>
      </c>
      <c r="F1125" t="s">
        <v>621</v>
      </c>
      <c r="G1125" t="s">
        <v>617</v>
      </c>
      <c r="H1125">
        <v>6</v>
      </c>
      <c r="I1125" s="24">
        <v>8.9965277777777741E-2</v>
      </c>
      <c r="J1125">
        <f t="shared" si="34"/>
        <v>1</v>
      </c>
      <c r="K1125">
        <f t="shared" si="35"/>
        <v>0</v>
      </c>
    </row>
    <row r="1126" spans="1:11" x14ac:dyDescent="0.25">
      <c r="A1126">
        <v>42</v>
      </c>
      <c r="B1126" t="s">
        <v>53</v>
      </c>
      <c r="C1126" s="4">
        <v>0.83802083333333333</v>
      </c>
      <c r="D1126" s="23">
        <v>0.89008101851851851</v>
      </c>
      <c r="E1126" s="23">
        <v>0.92798611111111107</v>
      </c>
      <c r="F1126" t="s">
        <v>624</v>
      </c>
      <c r="G1126" t="s">
        <v>617</v>
      </c>
      <c r="H1126">
        <v>6</v>
      </c>
      <c r="I1126" s="24">
        <v>8.9965277777777741E-2</v>
      </c>
      <c r="J1126">
        <f t="shared" si="34"/>
        <v>1</v>
      </c>
      <c r="K1126">
        <f t="shared" si="35"/>
        <v>0</v>
      </c>
    </row>
    <row r="1127" spans="1:11" x14ac:dyDescent="0.25">
      <c r="A1127">
        <v>43</v>
      </c>
      <c r="B1127" t="s">
        <v>262</v>
      </c>
      <c r="C1127" s="4">
        <v>0.83802083333333333</v>
      </c>
      <c r="D1127" s="23">
        <v>0.89008101851851851</v>
      </c>
      <c r="E1127" s="23">
        <v>0.92798611111111107</v>
      </c>
      <c r="F1127" t="s">
        <v>626</v>
      </c>
      <c r="G1127" t="s">
        <v>617</v>
      </c>
      <c r="H1127">
        <v>6</v>
      </c>
      <c r="I1127" s="24">
        <v>8.9965277777777741E-2</v>
      </c>
      <c r="J1127">
        <f t="shared" si="34"/>
        <v>1</v>
      </c>
      <c r="K1127">
        <f t="shared" si="35"/>
        <v>0</v>
      </c>
    </row>
    <row r="1128" spans="1:11" x14ac:dyDescent="0.25">
      <c r="A1128">
        <v>44</v>
      </c>
      <c r="B1128" t="s">
        <v>54</v>
      </c>
      <c r="C1128" s="4">
        <v>0.83802083333333333</v>
      </c>
      <c r="D1128" s="23">
        <v>0.89008101851851851</v>
      </c>
      <c r="E1128" s="23">
        <v>0.92798611111111107</v>
      </c>
      <c r="F1128" t="s">
        <v>626</v>
      </c>
      <c r="G1128" t="s">
        <v>617</v>
      </c>
      <c r="H1128">
        <v>6</v>
      </c>
      <c r="I1128" s="24">
        <v>8.9965277777777741E-2</v>
      </c>
      <c r="J1128">
        <f t="shared" si="34"/>
        <v>1</v>
      </c>
      <c r="K1128">
        <f t="shared" si="35"/>
        <v>0</v>
      </c>
    </row>
    <row r="1129" spans="1:11" x14ac:dyDescent="0.25">
      <c r="A1129">
        <v>45</v>
      </c>
      <c r="B1129" t="s">
        <v>470</v>
      </c>
      <c r="C1129" s="4">
        <v>0.83802083333333333</v>
      </c>
      <c r="D1129" s="23">
        <v>0.85803240740740738</v>
      </c>
      <c r="E1129" s="23">
        <v>0.92798611111111107</v>
      </c>
      <c r="F1129" t="s">
        <v>628</v>
      </c>
      <c r="G1129" t="s">
        <v>617</v>
      </c>
      <c r="H1129">
        <v>6</v>
      </c>
      <c r="I1129" s="24">
        <v>8.9965277777777741E-2</v>
      </c>
      <c r="J1129">
        <f t="shared" ref="J1129:J1190" si="36">IF(AND(H1129&gt;=1,H1129&lt;=7),1,0)</f>
        <v>1</v>
      </c>
      <c r="K1129">
        <f t="shared" ref="K1129:K1190" si="37">IF(AND(H1129&gt;=30,H1129&lt;=36),1,0)</f>
        <v>0</v>
      </c>
    </row>
    <row r="1130" spans="1:11" x14ac:dyDescent="0.25">
      <c r="A1130">
        <v>46</v>
      </c>
      <c r="B1130" t="s">
        <v>397</v>
      </c>
      <c r="C1130" s="4">
        <v>0.83802083333333333</v>
      </c>
      <c r="D1130" s="23">
        <v>0.85803240740740738</v>
      </c>
      <c r="E1130" s="23">
        <v>0.92798611111111107</v>
      </c>
      <c r="F1130" t="s">
        <v>622</v>
      </c>
      <c r="G1130" t="s">
        <v>617</v>
      </c>
      <c r="H1130">
        <v>6</v>
      </c>
      <c r="I1130" s="24">
        <v>8.9965277777777741E-2</v>
      </c>
      <c r="J1130">
        <f t="shared" si="36"/>
        <v>1</v>
      </c>
      <c r="K1130">
        <f t="shared" si="37"/>
        <v>0</v>
      </c>
    </row>
    <row r="1131" spans="1:11" x14ac:dyDescent="0.25">
      <c r="A1131">
        <v>47</v>
      </c>
      <c r="B1131" t="s">
        <v>89</v>
      </c>
      <c r="C1131" s="4">
        <v>0.83802083333333333</v>
      </c>
      <c r="D1131" s="23">
        <v>0.85803240740740738</v>
      </c>
      <c r="E1131" s="23">
        <v>0.92798611111111107</v>
      </c>
      <c r="F1131" t="s">
        <v>632</v>
      </c>
      <c r="G1131" t="s">
        <v>617</v>
      </c>
      <c r="H1131">
        <v>6</v>
      </c>
      <c r="I1131" s="24">
        <v>8.9965277777777741E-2</v>
      </c>
      <c r="J1131">
        <f t="shared" si="36"/>
        <v>1</v>
      </c>
      <c r="K1131">
        <f t="shared" si="37"/>
        <v>0</v>
      </c>
    </row>
    <row r="1132" spans="1:11" x14ac:dyDescent="0.25">
      <c r="A1132">
        <v>48</v>
      </c>
      <c r="B1132" t="s">
        <v>348</v>
      </c>
      <c r="C1132" s="4">
        <v>0.83802083333333333</v>
      </c>
      <c r="D1132" s="23">
        <v>0.85803240740740738</v>
      </c>
      <c r="E1132" s="23">
        <v>0.92798611111111107</v>
      </c>
      <c r="F1132" t="s">
        <v>622</v>
      </c>
      <c r="G1132" t="s">
        <v>617</v>
      </c>
      <c r="H1132">
        <v>6</v>
      </c>
      <c r="I1132" s="24">
        <v>8.9965277777777741E-2</v>
      </c>
      <c r="J1132">
        <f t="shared" si="36"/>
        <v>1</v>
      </c>
      <c r="K1132">
        <f t="shared" si="37"/>
        <v>0</v>
      </c>
    </row>
    <row r="1133" spans="1:11" x14ac:dyDescent="0.25">
      <c r="A1133">
        <v>49</v>
      </c>
      <c r="B1133" t="s">
        <v>321</v>
      </c>
      <c r="C1133" s="4">
        <v>0.83802083333333333</v>
      </c>
      <c r="D1133" s="23">
        <v>0.85803240740740738</v>
      </c>
      <c r="E1133" s="23">
        <v>0.92798611111111107</v>
      </c>
      <c r="F1133" t="s">
        <v>622</v>
      </c>
      <c r="G1133" t="s">
        <v>617</v>
      </c>
      <c r="H1133">
        <v>6</v>
      </c>
      <c r="I1133" s="24">
        <v>8.9965277777777741E-2</v>
      </c>
      <c r="J1133">
        <f t="shared" si="36"/>
        <v>1</v>
      </c>
      <c r="K1133">
        <f t="shared" si="37"/>
        <v>0</v>
      </c>
    </row>
    <row r="1134" spans="1:11" x14ac:dyDescent="0.25">
      <c r="A1134">
        <v>50</v>
      </c>
      <c r="B1134" t="s">
        <v>55</v>
      </c>
      <c r="C1134" s="4">
        <v>0.83802083333333333</v>
      </c>
      <c r="D1134" s="23">
        <v>0.89008101851851851</v>
      </c>
      <c r="E1134" s="23">
        <v>0.92798611111111107</v>
      </c>
      <c r="F1134" t="s">
        <v>626</v>
      </c>
      <c r="G1134" t="s">
        <v>617</v>
      </c>
      <c r="H1134">
        <v>6</v>
      </c>
      <c r="I1134" s="24">
        <v>8.9965277777777741E-2</v>
      </c>
      <c r="J1134">
        <f t="shared" si="36"/>
        <v>1</v>
      </c>
      <c r="K1134">
        <f t="shared" si="37"/>
        <v>0</v>
      </c>
    </row>
    <row r="1135" spans="1:11" x14ac:dyDescent="0.25">
      <c r="A1135">
        <v>1</v>
      </c>
      <c r="B1135" t="s">
        <v>296</v>
      </c>
      <c r="C1135" s="4">
        <v>0.84175925925925921</v>
      </c>
      <c r="D1135" s="23">
        <v>0.94538194444444446</v>
      </c>
      <c r="E1135" s="23">
        <v>0.9899768518518518</v>
      </c>
      <c r="F1135" t="s">
        <v>633</v>
      </c>
      <c r="G1135" t="s">
        <v>634</v>
      </c>
      <c r="H1135">
        <v>5</v>
      </c>
      <c r="I1135" s="24">
        <v>0.1482175925925926</v>
      </c>
      <c r="J1135">
        <f t="shared" si="36"/>
        <v>1</v>
      </c>
      <c r="K1135">
        <f t="shared" si="37"/>
        <v>0</v>
      </c>
    </row>
    <row r="1136" spans="1:11" x14ac:dyDescent="0.25">
      <c r="A1136">
        <v>2</v>
      </c>
      <c r="B1136" t="s">
        <v>636</v>
      </c>
      <c r="C1136" s="4">
        <v>0.84175925925925921</v>
      </c>
      <c r="D1136" s="23">
        <v>0.94538194444444446</v>
      </c>
      <c r="E1136" s="23">
        <v>0.9899768518518518</v>
      </c>
      <c r="F1136" t="s">
        <v>637</v>
      </c>
      <c r="G1136" t="s">
        <v>634</v>
      </c>
      <c r="H1136">
        <v>5</v>
      </c>
      <c r="I1136" s="24">
        <v>0.1482175925925926</v>
      </c>
      <c r="J1136">
        <f t="shared" si="36"/>
        <v>1</v>
      </c>
      <c r="K1136">
        <f t="shared" si="37"/>
        <v>0</v>
      </c>
    </row>
    <row r="1137" spans="1:11" x14ac:dyDescent="0.25">
      <c r="A1137">
        <v>3</v>
      </c>
      <c r="B1137" t="s">
        <v>585</v>
      </c>
      <c r="C1137" s="4">
        <v>0.84175925925925921</v>
      </c>
      <c r="D1137" s="23">
        <v>0.94538194444444446</v>
      </c>
      <c r="E1137" s="23">
        <v>0.9899768518518518</v>
      </c>
      <c r="F1137" t="s">
        <v>633</v>
      </c>
      <c r="G1137" t="s">
        <v>634</v>
      </c>
      <c r="H1137">
        <v>5</v>
      </c>
      <c r="I1137" s="24">
        <v>0.1482175925925926</v>
      </c>
      <c r="J1137">
        <f t="shared" si="36"/>
        <v>1</v>
      </c>
      <c r="K1137">
        <f t="shared" si="37"/>
        <v>0</v>
      </c>
    </row>
    <row r="1138" spans="1:11" x14ac:dyDescent="0.25">
      <c r="A1138">
        <v>4</v>
      </c>
      <c r="B1138" t="s">
        <v>59</v>
      </c>
      <c r="C1138" s="4">
        <v>0.84175925925925921</v>
      </c>
      <c r="D1138" s="23">
        <v>0.94538194444444446</v>
      </c>
      <c r="E1138" s="23">
        <v>0.9899768518518518</v>
      </c>
      <c r="F1138" t="s">
        <v>94</v>
      </c>
      <c r="G1138" t="s">
        <v>634</v>
      </c>
      <c r="H1138">
        <v>5</v>
      </c>
      <c r="I1138" s="24">
        <v>0.1482175925925926</v>
      </c>
      <c r="J1138">
        <f t="shared" si="36"/>
        <v>1</v>
      </c>
      <c r="K1138">
        <f t="shared" si="37"/>
        <v>0</v>
      </c>
    </row>
    <row r="1139" spans="1:11" x14ac:dyDescent="0.25">
      <c r="A1139">
        <v>5</v>
      </c>
      <c r="B1139" t="s">
        <v>380</v>
      </c>
      <c r="C1139" s="4">
        <v>0.84175925925925921</v>
      </c>
      <c r="D1139" s="23">
        <v>0.85392361111111115</v>
      </c>
      <c r="E1139" s="23">
        <v>0.9899768518518518</v>
      </c>
      <c r="F1139" t="s">
        <v>638</v>
      </c>
      <c r="G1139" t="s">
        <v>634</v>
      </c>
      <c r="H1139">
        <v>5</v>
      </c>
      <c r="I1139" s="24">
        <v>0.1482175925925926</v>
      </c>
      <c r="J1139">
        <f t="shared" si="36"/>
        <v>1</v>
      </c>
      <c r="K1139">
        <f t="shared" si="37"/>
        <v>0</v>
      </c>
    </row>
    <row r="1140" spans="1:11" x14ac:dyDescent="0.25">
      <c r="A1140">
        <v>6</v>
      </c>
      <c r="B1140" t="s">
        <v>181</v>
      </c>
      <c r="C1140" s="4">
        <v>0.84175925925925921</v>
      </c>
      <c r="D1140" s="23">
        <v>0.85392361111111115</v>
      </c>
      <c r="E1140" s="23">
        <v>0.9899768518518518</v>
      </c>
      <c r="F1140" t="s">
        <v>638</v>
      </c>
      <c r="G1140" t="s">
        <v>634</v>
      </c>
      <c r="H1140">
        <v>5</v>
      </c>
      <c r="I1140" s="24">
        <v>0.1482175925925926</v>
      </c>
      <c r="J1140">
        <f t="shared" si="36"/>
        <v>1</v>
      </c>
      <c r="K1140">
        <f t="shared" si="37"/>
        <v>0</v>
      </c>
    </row>
    <row r="1141" spans="1:11" x14ac:dyDescent="0.25">
      <c r="A1141">
        <v>7</v>
      </c>
      <c r="B1141" t="s">
        <v>36</v>
      </c>
      <c r="C1141" s="4">
        <v>0.84175925925925921</v>
      </c>
      <c r="D1141" s="23">
        <v>0.85392361111111115</v>
      </c>
      <c r="E1141" s="23">
        <v>0.9899768518518518</v>
      </c>
      <c r="F1141" t="s">
        <v>638</v>
      </c>
      <c r="G1141" t="s">
        <v>634</v>
      </c>
      <c r="H1141">
        <v>5</v>
      </c>
      <c r="I1141" s="24">
        <v>0.1482175925925926</v>
      </c>
      <c r="J1141">
        <f t="shared" si="36"/>
        <v>1</v>
      </c>
      <c r="K1141">
        <f t="shared" si="37"/>
        <v>0</v>
      </c>
    </row>
    <row r="1142" spans="1:11" x14ac:dyDescent="0.25">
      <c r="A1142">
        <v>8</v>
      </c>
      <c r="B1142" t="s">
        <v>16</v>
      </c>
      <c r="C1142" s="4">
        <v>0.84175925925925921</v>
      </c>
      <c r="D1142" s="23">
        <v>0.84179398148148143</v>
      </c>
      <c r="E1142" s="23">
        <v>0.9899768518518518</v>
      </c>
      <c r="F1142" t="s">
        <v>639</v>
      </c>
      <c r="G1142" t="s">
        <v>634</v>
      </c>
      <c r="H1142">
        <v>5</v>
      </c>
      <c r="I1142" s="24">
        <v>0.1482175925925926</v>
      </c>
      <c r="J1142">
        <f t="shared" si="36"/>
        <v>1</v>
      </c>
      <c r="K1142">
        <f t="shared" si="37"/>
        <v>0</v>
      </c>
    </row>
    <row r="1143" spans="1:11" x14ac:dyDescent="0.25">
      <c r="A1143">
        <v>9</v>
      </c>
      <c r="B1143" t="s">
        <v>186</v>
      </c>
      <c r="C1143" s="4">
        <v>0.84175925925925921</v>
      </c>
      <c r="D1143" s="23">
        <v>0.85392361111111115</v>
      </c>
      <c r="E1143" s="23">
        <v>0.9899768518518518</v>
      </c>
      <c r="F1143" t="s">
        <v>638</v>
      </c>
      <c r="G1143" t="s">
        <v>634</v>
      </c>
      <c r="H1143">
        <v>5</v>
      </c>
      <c r="I1143" s="24">
        <v>0.1482175925925926</v>
      </c>
      <c r="J1143">
        <f t="shared" si="36"/>
        <v>1</v>
      </c>
      <c r="K1143">
        <f t="shared" si="37"/>
        <v>0</v>
      </c>
    </row>
    <row r="1144" spans="1:11" x14ac:dyDescent="0.25">
      <c r="A1144">
        <v>10</v>
      </c>
      <c r="B1144" t="s">
        <v>114</v>
      </c>
      <c r="C1144" s="4">
        <v>0.84175925925925921</v>
      </c>
      <c r="D1144" s="23">
        <v>0.85392361111111115</v>
      </c>
      <c r="E1144" s="23">
        <v>0.9899768518518518</v>
      </c>
      <c r="F1144" t="s">
        <v>638</v>
      </c>
      <c r="G1144" t="s">
        <v>634</v>
      </c>
      <c r="H1144">
        <v>5</v>
      </c>
      <c r="I1144" s="24">
        <v>0.1482175925925926</v>
      </c>
      <c r="J1144">
        <f t="shared" si="36"/>
        <v>1</v>
      </c>
      <c r="K1144">
        <f t="shared" si="37"/>
        <v>0</v>
      </c>
    </row>
    <row r="1145" spans="1:11" x14ac:dyDescent="0.25">
      <c r="A1145">
        <v>11</v>
      </c>
      <c r="B1145" t="s">
        <v>410</v>
      </c>
      <c r="C1145" s="4">
        <v>0.84175925925925921</v>
      </c>
      <c r="D1145" s="23">
        <v>0.85392361111111115</v>
      </c>
      <c r="E1145" s="23">
        <v>0.9899768518518518</v>
      </c>
      <c r="F1145" t="s">
        <v>638</v>
      </c>
      <c r="G1145" t="s">
        <v>634</v>
      </c>
      <c r="H1145">
        <v>5</v>
      </c>
      <c r="I1145" s="24">
        <v>0.1482175925925926</v>
      </c>
      <c r="J1145">
        <f t="shared" si="36"/>
        <v>1</v>
      </c>
      <c r="K1145">
        <f t="shared" si="37"/>
        <v>0</v>
      </c>
    </row>
    <row r="1146" spans="1:11" x14ac:dyDescent="0.25">
      <c r="A1146">
        <v>12</v>
      </c>
      <c r="B1146" t="s">
        <v>18</v>
      </c>
      <c r="C1146" s="4">
        <v>0.84175925925925921</v>
      </c>
      <c r="D1146" s="23">
        <v>0.94538194444444446</v>
      </c>
      <c r="E1146" s="23">
        <v>0.9899768518518518</v>
      </c>
      <c r="F1146" t="s">
        <v>640</v>
      </c>
      <c r="G1146" t="s">
        <v>634</v>
      </c>
      <c r="H1146">
        <v>5</v>
      </c>
      <c r="I1146" s="24">
        <v>0.1482175925925926</v>
      </c>
      <c r="J1146">
        <f t="shared" si="36"/>
        <v>1</v>
      </c>
      <c r="K1146">
        <f t="shared" si="37"/>
        <v>0</v>
      </c>
    </row>
    <row r="1147" spans="1:11" x14ac:dyDescent="0.25">
      <c r="A1147">
        <v>13</v>
      </c>
      <c r="B1147" t="s">
        <v>506</v>
      </c>
      <c r="C1147" s="4">
        <v>0.84175925925925921</v>
      </c>
      <c r="D1147" s="23">
        <v>0.9636689814814815</v>
      </c>
      <c r="E1147" s="23">
        <v>0.9899768518518518</v>
      </c>
      <c r="F1147" t="s">
        <v>641</v>
      </c>
      <c r="G1147" t="s">
        <v>634</v>
      </c>
      <c r="H1147">
        <v>5</v>
      </c>
      <c r="I1147" s="24">
        <v>0.1482175925925926</v>
      </c>
      <c r="J1147">
        <f t="shared" si="36"/>
        <v>1</v>
      </c>
      <c r="K1147">
        <f t="shared" si="37"/>
        <v>0</v>
      </c>
    </row>
    <row r="1148" spans="1:11" x14ac:dyDescent="0.25">
      <c r="A1148">
        <v>14</v>
      </c>
      <c r="B1148" t="s">
        <v>118</v>
      </c>
      <c r="C1148" s="4">
        <v>0.84175925925925921</v>
      </c>
      <c r="D1148" s="23">
        <v>0.85392361111111115</v>
      </c>
      <c r="E1148" s="23">
        <v>0.9899768518518518</v>
      </c>
      <c r="F1148" t="s">
        <v>642</v>
      </c>
      <c r="G1148" t="s">
        <v>634</v>
      </c>
      <c r="H1148">
        <v>5</v>
      </c>
      <c r="I1148" s="24">
        <v>0.1482175925925926</v>
      </c>
      <c r="J1148">
        <f t="shared" si="36"/>
        <v>1</v>
      </c>
      <c r="K1148">
        <f t="shared" si="37"/>
        <v>0</v>
      </c>
    </row>
    <row r="1149" spans="1:11" x14ac:dyDescent="0.25">
      <c r="A1149">
        <v>15</v>
      </c>
      <c r="B1149" t="s">
        <v>383</v>
      </c>
      <c r="C1149" s="4">
        <v>0.84175925925925921</v>
      </c>
      <c r="D1149" s="23">
        <v>0.85392361111111115</v>
      </c>
      <c r="E1149" s="23">
        <v>0.9899768518518518</v>
      </c>
      <c r="F1149" t="s">
        <v>638</v>
      </c>
      <c r="G1149" t="s">
        <v>634</v>
      </c>
      <c r="H1149">
        <v>5</v>
      </c>
      <c r="I1149" s="24">
        <v>0.1482175925925926</v>
      </c>
      <c r="J1149">
        <f t="shared" si="36"/>
        <v>1</v>
      </c>
      <c r="K1149">
        <f t="shared" si="37"/>
        <v>0</v>
      </c>
    </row>
    <row r="1150" spans="1:11" x14ac:dyDescent="0.25">
      <c r="A1150">
        <v>16</v>
      </c>
      <c r="B1150" t="s">
        <v>236</v>
      </c>
      <c r="C1150" s="4">
        <v>0.84175925925925921</v>
      </c>
      <c r="D1150" s="23">
        <v>0.85392361111111115</v>
      </c>
      <c r="E1150" s="23">
        <v>0.9899768518518518</v>
      </c>
      <c r="F1150" t="s">
        <v>638</v>
      </c>
      <c r="G1150" t="s">
        <v>634</v>
      </c>
      <c r="H1150">
        <v>5</v>
      </c>
      <c r="I1150" s="24">
        <v>0.1482175925925926</v>
      </c>
      <c r="J1150">
        <f t="shared" si="36"/>
        <v>1</v>
      </c>
      <c r="K1150">
        <f t="shared" si="37"/>
        <v>0</v>
      </c>
    </row>
    <row r="1151" spans="1:11" x14ac:dyDescent="0.25">
      <c r="A1151">
        <v>17</v>
      </c>
      <c r="B1151" t="s">
        <v>22</v>
      </c>
      <c r="C1151" s="4">
        <v>0.84175925925925921</v>
      </c>
      <c r="D1151" s="23">
        <v>0.94538194444444446</v>
      </c>
      <c r="E1151" s="23">
        <v>0.9899768518518518</v>
      </c>
      <c r="F1151" t="s">
        <v>633</v>
      </c>
      <c r="G1151" t="s">
        <v>634</v>
      </c>
      <c r="H1151">
        <v>5</v>
      </c>
      <c r="I1151" s="24">
        <v>0.1482175925925926</v>
      </c>
      <c r="J1151">
        <f t="shared" si="36"/>
        <v>1</v>
      </c>
      <c r="K1151">
        <f t="shared" si="37"/>
        <v>0</v>
      </c>
    </row>
    <row r="1152" spans="1:11" x14ac:dyDescent="0.25">
      <c r="A1152">
        <v>18</v>
      </c>
      <c r="B1152" t="s">
        <v>46</v>
      </c>
      <c r="C1152" s="4">
        <v>0.84175925925925921</v>
      </c>
      <c r="D1152" s="23">
        <v>0.94538194444444446</v>
      </c>
      <c r="E1152" s="23">
        <v>0.9899768518518518</v>
      </c>
      <c r="F1152" t="s">
        <v>643</v>
      </c>
      <c r="G1152" t="s">
        <v>634</v>
      </c>
      <c r="H1152">
        <v>5</v>
      </c>
      <c r="I1152" s="24">
        <v>0.1482175925925926</v>
      </c>
      <c r="J1152">
        <f t="shared" si="36"/>
        <v>1</v>
      </c>
      <c r="K1152">
        <f t="shared" si="37"/>
        <v>0</v>
      </c>
    </row>
    <row r="1153" spans="1:11" x14ac:dyDescent="0.25">
      <c r="A1153">
        <v>19</v>
      </c>
      <c r="B1153" t="s">
        <v>100</v>
      </c>
      <c r="C1153" s="4">
        <v>0.84175925925925921</v>
      </c>
      <c r="D1153" s="23">
        <v>0.85392361111111115</v>
      </c>
      <c r="E1153" s="23">
        <v>0.9899768518518518</v>
      </c>
      <c r="F1153" t="s">
        <v>638</v>
      </c>
      <c r="G1153" t="s">
        <v>634</v>
      </c>
      <c r="H1153">
        <v>5</v>
      </c>
      <c r="I1153" s="24">
        <v>0.1482175925925926</v>
      </c>
      <c r="J1153">
        <f t="shared" si="36"/>
        <v>1</v>
      </c>
      <c r="K1153">
        <f t="shared" si="37"/>
        <v>0</v>
      </c>
    </row>
    <row r="1154" spans="1:11" x14ac:dyDescent="0.25">
      <c r="A1154">
        <v>20</v>
      </c>
      <c r="B1154" t="s">
        <v>23</v>
      </c>
      <c r="C1154" s="4">
        <v>0.84175925925925921</v>
      </c>
      <c r="D1154" s="23">
        <v>0.94538194444444446</v>
      </c>
      <c r="E1154" s="23">
        <v>0.9899768518518518</v>
      </c>
      <c r="F1154" t="s">
        <v>644</v>
      </c>
      <c r="G1154" t="s">
        <v>634</v>
      </c>
      <c r="H1154">
        <v>5</v>
      </c>
      <c r="I1154" s="24">
        <v>0.1482175925925926</v>
      </c>
      <c r="J1154">
        <f t="shared" si="36"/>
        <v>1</v>
      </c>
      <c r="K1154">
        <f t="shared" si="37"/>
        <v>0</v>
      </c>
    </row>
    <row r="1155" spans="1:11" x14ac:dyDescent="0.25">
      <c r="A1155">
        <v>21</v>
      </c>
      <c r="B1155" t="s">
        <v>570</v>
      </c>
      <c r="C1155" s="4">
        <v>0.84175925925925921</v>
      </c>
      <c r="D1155" s="23">
        <v>0.85392361111111115</v>
      </c>
      <c r="E1155" s="23">
        <v>0.9899768518518518</v>
      </c>
      <c r="F1155" t="s">
        <v>638</v>
      </c>
      <c r="G1155" t="s">
        <v>634</v>
      </c>
      <c r="H1155">
        <v>5</v>
      </c>
      <c r="I1155" s="24">
        <v>0.1482175925925926</v>
      </c>
      <c r="J1155">
        <f t="shared" si="36"/>
        <v>1</v>
      </c>
      <c r="K1155">
        <f t="shared" si="37"/>
        <v>0</v>
      </c>
    </row>
    <row r="1156" spans="1:11" x14ac:dyDescent="0.25">
      <c r="A1156">
        <v>22</v>
      </c>
      <c r="B1156" t="s">
        <v>53</v>
      </c>
      <c r="C1156" s="4">
        <v>0.84175925925925921</v>
      </c>
      <c r="D1156" s="23">
        <v>0.94538194444444446</v>
      </c>
      <c r="E1156" s="23">
        <v>0.9899768518518518</v>
      </c>
      <c r="F1156" t="s">
        <v>645</v>
      </c>
      <c r="G1156" t="s">
        <v>634</v>
      </c>
      <c r="H1156">
        <v>5</v>
      </c>
      <c r="I1156" s="24">
        <v>0.1482175925925926</v>
      </c>
      <c r="J1156">
        <f t="shared" si="36"/>
        <v>1</v>
      </c>
      <c r="K1156">
        <f t="shared" si="37"/>
        <v>0</v>
      </c>
    </row>
    <row r="1157" spans="1:11" x14ac:dyDescent="0.25">
      <c r="A1157">
        <v>23</v>
      </c>
      <c r="B1157" t="s">
        <v>89</v>
      </c>
      <c r="C1157" s="4">
        <v>0.84175925925925921</v>
      </c>
      <c r="D1157" s="23">
        <v>0.94538194444444446</v>
      </c>
      <c r="E1157" s="23">
        <v>0.9899768518518518</v>
      </c>
      <c r="F1157" t="s">
        <v>646</v>
      </c>
      <c r="G1157" t="s">
        <v>634</v>
      </c>
      <c r="H1157">
        <v>5</v>
      </c>
      <c r="I1157" s="24">
        <v>0.1482175925925926</v>
      </c>
      <c r="J1157">
        <f t="shared" si="36"/>
        <v>1</v>
      </c>
      <c r="K1157">
        <f t="shared" si="37"/>
        <v>0</v>
      </c>
    </row>
    <row r="1158" spans="1:11" x14ac:dyDescent="0.25">
      <c r="A1158">
        <v>24</v>
      </c>
      <c r="B1158" t="s">
        <v>348</v>
      </c>
      <c r="C1158" s="4">
        <v>0.84175925925925921</v>
      </c>
      <c r="D1158" s="23">
        <v>0.94538194444444446</v>
      </c>
      <c r="E1158" s="23">
        <v>0.9899768518518518</v>
      </c>
      <c r="F1158" t="s">
        <v>633</v>
      </c>
      <c r="G1158" t="s">
        <v>634</v>
      </c>
      <c r="H1158">
        <v>5</v>
      </c>
      <c r="I1158" s="24">
        <v>0.1482175925925926</v>
      </c>
      <c r="J1158">
        <f t="shared" si="36"/>
        <v>1</v>
      </c>
      <c r="K1158">
        <f t="shared" si="37"/>
        <v>0</v>
      </c>
    </row>
    <row r="1159" spans="1:11" x14ac:dyDescent="0.25">
      <c r="A1159">
        <v>1</v>
      </c>
      <c r="B1159" t="s">
        <v>9</v>
      </c>
      <c r="C1159" s="4">
        <v>0.85416666666666663</v>
      </c>
      <c r="D1159" s="23">
        <v>0.85420138888888886</v>
      </c>
      <c r="E1159" s="23">
        <v>0.93041666666666667</v>
      </c>
      <c r="F1159" t="s">
        <v>647</v>
      </c>
      <c r="G1159" t="s">
        <v>634</v>
      </c>
      <c r="H1159">
        <v>4</v>
      </c>
      <c r="I1159" s="24">
        <v>7.6249999999999929E-2</v>
      </c>
      <c r="J1159">
        <f t="shared" si="36"/>
        <v>1</v>
      </c>
      <c r="K1159">
        <f t="shared" si="37"/>
        <v>0</v>
      </c>
    </row>
    <row r="1160" spans="1:11" x14ac:dyDescent="0.25">
      <c r="A1160">
        <v>2</v>
      </c>
      <c r="B1160" t="s">
        <v>11</v>
      </c>
      <c r="C1160" s="4">
        <v>0.85416666666666663</v>
      </c>
      <c r="D1160" s="23">
        <v>0.85890046296296296</v>
      </c>
      <c r="E1160" s="23">
        <v>0.93041666666666667</v>
      </c>
      <c r="F1160" t="s">
        <v>649</v>
      </c>
      <c r="G1160" t="s">
        <v>634</v>
      </c>
      <c r="H1160">
        <v>4</v>
      </c>
      <c r="I1160" s="24">
        <v>7.6249999999999929E-2</v>
      </c>
      <c r="J1160">
        <f t="shared" si="36"/>
        <v>1</v>
      </c>
      <c r="K1160">
        <f t="shared" si="37"/>
        <v>0</v>
      </c>
    </row>
    <row r="1161" spans="1:11" x14ac:dyDescent="0.25">
      <c r="A1161">
        <v>3</v>
      </c>
      <c r="B1161" t="s">
        <v>296</v>
      </c>
      <c r="C1161" s="4">
        <v>0.85416666666666663</v>
      </c>
      <c r="D1161" s="23">
        <v>0.85890046296296296</v>
      </c>
      <c r="E1161" s="23">
        <v>0.93041666666666667</v>
      </c>
      <c r="F1161" t="s">
        <v>649</v>
      </c>
      <c r="G1161" t="s">
        <v>634</v>
      </c>
      <c r="H1161">
        <v>4</v>
      </c>
      <c r="I1161" s="24">
        <v>7.6249999999999929E-2</v>
      </c>
      <c r="J1161">
        <f t="shared" si="36"/>
        <v>1</v>
      </c>
      <c r="K1161">
        <f t="shared" si="37"/>
        <v>0</v>
      </c>
    </row>
    <row r="1162" spans="1:11" x14ac:dyDescent="0.25">
      <c r="A1162">
        <v>4</v>
      </c>
      <c r="B1162" t="s">
        <v>35</v>
      </c>
      <c r="C1162" s="4">
        <v>0.85416666666666663</v>
      </c>
      <c r="D1162" s="23">
        <v>0.85890046296296296</v>
      </c>
      <c r="E1162" s="23">
        <v>0.93041666666666667</v>
      </c>
      <c r="F1162" t="s">
        <v>649</v>
      </c>
      <c r="G1162" t="s">
        <v>634</v>
      </c>
      <c r="H1162">
        <v>4</v>
      </c>
      <c r="I1162" s="24">
        <v>7.6249999999999929E-2</v>
      </c>
      <c r="J1162">
        <f t="shared" si="36"/>
        <v>1</v>
      </c>
      <c r="K1162">
        <f t="shared" si="37"/>
        <v>0</v>
      </c>
    </row>
    <row r="1163" spans="1:11" x14ac:dyDescent="0.25">
      <c r="A1163">
        <v>5</v>
      </c>
      <c r="B1163" t="s">
        <v>636</v>
      </c>
      <c r="C1163" s="4">
        <v>0.85416666666666663</v>
      </c>
      <c r="D1163" s="23">
        <v>0.85890046296296296</v>
      </c>
      <c r="E1163" s="23">
        <v>0.93041666666666667</v>
      </c>
      <c r="F1163" t="s">
        <v>649</v>
      </c>
      <c r="G1163" t="s">
        <v>634</v>
      </c>
      <c r="H1163">
        <v>4</v>
      </c>
      <c r="I1163" s="24">
        <v>7.6249999999999929E-2</v>
      </c>
      <c r="J1163">
        <f t="shared" si="36"/>
        <v>1</v>
      </c>
      <c r="K1163">
        <f t="shared" si="37"/>
        <v>0</v>
      </c>
    </row>
    <row r="1164" spans="1:11" x14ac:dyDescent="0.25">
      <c r="A1164">
        <v>7</v>
      </c>
      <c r="B1164" t="s">
        <v>70</v>
      </c>
      <c r="C1164" s="4">
        <v>0.85416666666666663</v>
      </c>
      <c r="D1164" s="23">
        <v>0.85420138888888886</v>
      </c>
      <c r="E1164" s="23">
        <v>0.93041666666666667</v>
      </c>
      <c r="F1164" t="s">
        <v>647</v>
      </c>
      <c r="G1164" t="s">
        <v>634</v>
      </c>
      <c r="H1164">
        <v>4</v>
      </c>
      <c r="I1164" s="24">
        <v>7.6249999999999929E-2</v>
      </c>
      <c r="J1164">
        <f t="shared" si="36"/>
        <v>1</v>
      </c>
      <c r="K1164">
        <f t="shared" si="37"/>
        <v>0</v>
      </c>
    </row>
    <row r="1165" spans="1:11" x14ac:dyDescent="0.25">
      <c r="A1165">
        <v>8</v>
      </c>
      <c r="B1165" t="s">
        <v>59</v>
      </c>
      <c r="C1165" s="4">
        <v>0.85416666666666663</v>
      </c>
      <c r="D1165" s="23">
        <v>0.85890046296296296</v>
      </c>
      <c r="E1165" s="23">
        <v>0.93041666666666667</v>
      </c>
      <c r="F1165" t="s">
        <v>649</v>
      </c>
      <c r="G1165" t="s">
        <v>634</v>
      </c>
      <c r="H1165">
        <v>4</v>
      </c>
      <c r="I1165" s="24">
        <v>7.6249999999999929E-2</v>
      </c>
      <c r="J1165">
        <f t="shared" si="36"/>
        <v>1</v>
      </c>
      <c r="K1165">
        <f t="shared" si="37"/>
        <v>0</v>
      </c>
    </row>
    <row r="1166" spans="1:11" x14ac:dyDescent="0.25">
      <c r="A1166">
        <v>9</v>
      </c>
      <c r="B1166" t="s">
        <v>380</v>
      </c>
      <c r="C1166" s="4">
        <v>0.85416666666666663</v>
      </c>
      <c r="D1166" s="23">
        <v>0.85420138888888886</v>
      </c>
      <c r="E1166" s="23">
        <v>0.93041666666666667</v>
      </c>
      <c r="F1166" t="s">
        <v>647</v>
      </c>
      <c r="G1166" t="s">
        <v>634</v>
      </c>
      <c r="H1166">
        <v>4</v>
      </c>
      <c r="I1166" s="24">
        <v>7.6249999999999929E-2</v>
      </c>
      <c r="J1166">
        <f t="shared" si="36"/>
        <v>1</v>
      </c>
      <c r="K1166">
        <f t="shared" si="37"/>
        <v>0</v>
      </c>
    </row>
    <row r="1167" spans="1:11" x14ac:dyDescent="0.25">
      <c r="A1167">
        <v>11</v>
      </c>
      <c r="B1167" t="s">
        <v>36</v>
      </c>
      <c r="C1167" s="4">
        <v>0.85416666666666663</v>
      </c>
      <c r="D1167" s="23">
        <v>0.85420138888888886</v>
      </c>
      <c r="E1167" s="23">
        <v>0.93041666666666667</v>
      </c>
      <c r="F1167" t="s">
        <v>647</v>
      </c>
      <c r="G1167" t="s">
        <v>634</v>
      </c>
      <c r="H1167">
        <v>4</v>
      </c>
      <c r="I1167" s="24">
        <v>7.6249999999999929E-2</v>
      </c>
      <c r="J1167">
        <f t="shared" si="36"/>
        <v>1</v>
      </c>
      <c r="K1167">
        <f t="shared" si="37"/>
        <v>0</v>
      </c>
    </row>
    <row r="1168" spans="1:11" x14ac:dyDescent="0.25">
      <c r="A1168">
        <v>12</v>
      </c>
      <c r="B1168" t="s">
        <v>530</v>
      </c>
      <c r="C1168" s="4">
        <v>0.85416666666666663</v>
      </c>
      <c r="D1168" s="23">
        <v>0.85890046296296296</v>
      </c>
      <c r="E1168" s="23">
        <v>0.93041666666666667</v>
      </c>
      <c r="F1168" t="s">
        <v>649</v>
      </c>
      <c r="G1168" t="s">
        <v>634</v>
      </c>
      <c r="H1168">
        <v>4</v>
      </c>
      <c r="I1168" s="24">
        <v>7.6249999999999929E-2</v>
      </c>
      <c r="J1168">
        <f t="shared" si="36"/>
        <v>1</v>
      </c>
      <c r="K1168">
        <f t="shared" si="37"/>
        <v>0</v>
      </c>
    </row>
    <row r="1169" spans="1:11" x14ac:dyDescent="0.25">
      <c r="A1169">
        <v>13</v>
      </c>
      <c r="B1169" t="s">
        <v>208</v>
      </c>
      <c r="C1169" s="4">
        <v>0.85416666666666663</v>
      </c>
      <c r="D1169" s="23">
        <v>0.85420138888888886</v>
      </c>
      <c r="E1169" s="23">
        <v>0.93041666666666667</v>
      </c>
      <c r="F1169" t="s">
        <v>647</v>
      </c>
      <c r="G1169" t="s">
        <v>634</v>
      </c>
      <c r="H1169">
        <v>4</v>
      </c>
      <c r="I1169" s="24">
        <v>7.6249999999999929E-2</v>
      </c>
      <c r="J1169">
        <f t="shared" si="36"/>
        <v>1</v>
      </c>
      <c r="K1169">
        <f t="shared" si="37"/>
        <v>0</v>
      </c>
    </row>
    <row r="1170" spans="1:11" x14ac:dyDescent="0.25">
      <c r="A1170">
        <v>14</v>
      </c>
      <c r="B1170" t="s">
        <v>16</v>
      </c>
      <c r="C1170" s="4">
        <v>0.85416666666666663</v>
      </c>
      <c r="D1170" s="23">
        <v>0.85420138888888886</v>
      </c>
      <c r="E1170" s="23">
        <v>0.93041666666666667</v>
      </c>
      <c r="F1170" t="s">
        <v>647</v>
      </c>
      <c r="G1170" t="s">
        <v>634</v>
      </c>
      <c r="H1170">
        <v>4</v>
      </c>
      <c r="I1170" s="24">
        <v>7.6249999999999929E-2</v>
      </c>
      <c r="J1170">
        <f t="shared" si="36"/>
        <v>1</v>
      </c>
      <c r="K1170">
        <f t="shared" si="37"/>
        <v>0</v>
      </c>
    </row>
    <row r="1171" spans="1:11" x14ac:dyDescent="0.25">
      <c r="A1171">
        <v>15</v>
      </c>
      <c r="B1171" t="s">
        <v>184</v>
      </c>
      <c r="C1171" s="4">
        <v>0.85416666666666663</v>
      </c>
      <c r="D1171" s="23">
        <v>0.85890046296296296</v>
      </c>
      <c r="E1171" s="23">
        <v>0.93041666666666667</v>
      </c>
      <c r="F1171" t="s">
        <v>649</v>
      </c>
      <c r="G1171" t="s">
        <v>634</v>
      </c>
      <c r="H1171">
        <v>4</v>
      </c>
      <c r="I1171" s="24">
        <v>7.6249999999999929E-2</v>
      </c>
      <c r="J1171">
        <f t="shared" si="36"/>
        <v>1</v>
      </c>
      <c r="K1171">
        <f t="shared" si="37"/>
        <v>0</v>
      </c>
    </row>
    <row r="1172" spans="1:11" x14ac:dyDescent="0.25">
      <c r="A1172">
        <v>16</v>
      </c>
      <c r="B1172" t="s">
        <v>625</v>
      </c>
      <c r="C1172" s="4">
        <v>0.85416666666666663</v>
      </c>
      <c r="D1172" s="23">
        <v>0.85890046296296296</v>
      </c>
      <c r="E1172" s="23">
        <v>0.93041666666666667</v>
      </c>
      <c r="F1172" t="s">
        <v>649</v>
      </c>
      <c r="G1172" t="s">
        <v>634</v>
      </c>
      <c r="H1172">
        <v>4</v>
      </c>
      <c r="I1172" s="24">
        <v>7.6249999999999929E-2</v>
      </c>
      <c r="J1172">
        <f t="shared" si="36"/>
        <v>1</v>
      </c>
      <c r="K1172">
        <f t="shared" si="37"/>
        <v>0</v>
      </c>
    </row>
    <row r="1173" spans="1:11" x14ac:dyDescent="0.25">
      <c r="A1173">
        <v>17</v>
      </c>
      <c r="B1173" t="s">
        <v>538</v>
      </c>
      <c r="C1173" s="4">
        <v>0.85416666666666663</v>
      </c>
      <c r="D1173" s="23">
        <v>0.85890046296296296</v>
      </c>
      <c r="E1173" s="23">
        <v>0.93041666666666667</v>
      </c>
      <c r="F1173" t="s">
        <v>649</v>
      </c>
      <c r="G1173" t="s">
        <v>634</v>
      </c>
      <c r="H1173">
        <v>4</v>
      </c>
      <c r="I1173" s="24">
        <v>7.6249999999999929E-2</v>
      </c>
      <c r="J1173">
        <f t="shared" si="36"/>
        <v>1</v>
      </c>
      <c r="K1173">
        <f t="shared" si="37"/>
        <v>0</v>
      </c>
    </row>
    <row r="1174" spans="1:11" x14ac:dyDescent="0.25">
      <c r="A1174">
        <v>18</v>
      </c>
      <c r="B1174" t="s">
        <v>114</v>
      </c>
      <c r="C1174" s="4">
        <v>0.85416666666666663</v>
      </c>
      <c r="D1174" s="23">
        <v>0.85420138888888886</v>
      </c>
      <c r="E1174" s="23">
        <v>0.93041666666666667</v>
      </c>
      <c r="F1174" t="s">
        <v>647</v>
      </c>
      <c r="G1174" t="s">
        <v>634</v>
      </c>
      <c r="H1174">
        <v>4</v>
      </c>
      <c r="I1174" s="24">
        <v>7.6249999999999929E-2</v>
      </c>
      <c r="J1174">
        <f t="shared" si="36"/>
        <v>1</v>
      </c>
      <c r="K1174">
        <f t="shared" si="37"/>
        <v>0</v>
      </c>
    </row>
    <row r="1175" spans="1:11" x14ac:dyDescent="0.25">
      <c r="A1175">
        <v>19</v>
      </c>
      <c r="B1175" t="s">
        <v>410</v>
      </c>
      <c r="C1175" s="4">
        <v>0.85416666666666663</v>
      </c>
      <c r="D1175" s="23">
        <v>0.85420138888888886</v>
      </c>
      <c r="E1175" s="23">
        <v>0.93041666666666667</v>
      </c>
      <c r="F1175" t="s">
        <v>647</v>
      </c>
      <c r="G1175" t="s">
        <v>634</v>
      </c>
      <c r="H1175">
        <v>4</v>
      </c>
      <c r="I1175" s="24">
        <v>7.6249999999999929E-2</v>
      </c>
      <c r="J1175">
        <f t="shared" si="36"/>
        <v>1</v>
      </c>
      <c r="K1175">
        <f t="shared" si="37"/>
        <v>0</v>
      </c>
    </row>
    <row r="1176" spans="1:11" x14ac:dyDescent="0.25">
      <c r="A1176">
        <v>20</v>
      </c>
      <c r="B1176" t="s">
        <v>41</v>
      </c>
      <c r="C1176" s="4">
        <v>0.85416666666666663</v>
      </c>
      <c r="D1176" s="23">
        <v>0.85420138888888886</v>
      </c>
      <c r="E1176" s="23">
        <v>0.93041666666666667</v>
      </c>
      <c r="F1176" t="s">
        <v>647</v>
      </c>
      <c r="G1176" t="s">
        <v>634</v>
      </c>
      <c r="H1176">
        <v>4</v>
      </c>
      <c r="I1176" s="24">
        <v>7.6249999999999929E-2</v>
      </c>
      <c r="J1176">
        <f t="shared" si="36"/>
        <v>1</v>
      </c>
      <c r="K1176">
        <f t="shared" si="37"/>
        <v>0</v>
      </c>
    </row>
    <row r="1177" spans="1:11" x14ac:dyDescent="0.25">
      <c r="A1177">
        <v>21</v>
      </c>
      <c r="B1177" t="s">
        <v>267</v>
      </c>
      <c r="C1177" s="4">
        <v>0.85416666666666663</v>
      </c>
      <c r="D1177" s="23">
        <v>0.85420138888888886</v>
      </c>
      <c r="E1177" s="23">
        <v>0.93041666666666667</v>
      </c>
      <c r="F1177" t="s">
        <v>647</v>
      </c>
      <c r="G1177" t="s">
        <v>634</v>
      </c>
      <c r="H1177">
        <v>4</v>
      </c>
      <c r="I1177" s="24">
        <v>7.6249999999999929E-2</v>
      </c>
      <c r="J1177">
        <f t="shared" si="36"/>
        <v>1</v>
      </c>
      <c r="K1177">
        <f t="shared" si="37"/>
        <v>0</v>
      </c>
    </row>
    <row r="1178" spans="1:11" x14ac:dyDescent="0.25">
      <c r="A1178">
        <v>22</v>
      </c>
      <c r="B1178" t="s">
        <v>20</v>
      </c>
      <c r="C1178" s="4">
        <v>0.85416666666666663</v>
      </c>
      <c r="D1178" s="23">
        <v>0.85420138888888886</v>
      </c>
      <c r="E1178" s="23">
        <v>0.93041666666666667</v>
      </c>
      <c r="F1178" t="s">
        <v>647</v>
      </c>
      <c r="G1178" t="s">
        <v>634</v>
      </c>
      <c r="H1178">
        <v>4</v>
      </c>
      <c r="I1178" s="24">
        <v>7.6249999999999929E-2</v>
      </c>
      <c r="J1178">
        <f t="shared" si="36"/>
        <v>1</v>
      </c>
      <c r="K1178">
        <f t="shared" si="37"/>
        <v>0</v>
      </c>
    </row>
    <row r="1179" spans="1:11" x14ac:dyDescent="0.25">
      <c r="A1179">
        <v>23</v>
      </c>
      <c r="B1179" t="s">
        <v>99</v>
      </c>
      <c r="C1179" s="4">
        <v>0.85416666666666663</v>
      </c>
      <c r="D1179" s="23">
        <v>0.85420138888888886</v>
      </c>
      <c r="E1179" s="23">
        <v>0.93041666666666667</v>
      </c>
      <c r="F1179" t="s">
        <v>647</v>
      </c>
      <c r="G1179" t="s">
        <v>634</v>
      </c>
      <c r="H1179">
        <v>4</v>
      </c>
      <c r="I1179" s="24">
        <v>7.6249999999999929E-2</v>
      </c>
      <c r="J1179">
        <f t="shared" si="36"/>
        <v>1</v>
      </c>
      <c r="K1179">
        <f t="shared" si="37"/>
        <v>0</v>
      </c>
    </row>
    <row r="1180" spans="1:11" x14ac:dyDescent="0.25">
      <c r="A1180">
        <v>24</v>
      </c>
      <c r="B1180" t="s">
        <v>156</v>
      </c>
      <c r="C1180" s="4">
        <v>0.85416666666666663</v>
      </c>
      <c r="D1180" s="23">
        <v>0.85420138888888886</v>
      </c>
      <c r="E1180" s="23">
        <v>0.93041666666666667</v>
      </c>
      <c r="F1180" t="s">
        <v>647</v>
      </c>
      <c r="G1180" t="s">
        <v>634</v>
      </c>
      <c r="H1180">
        <v>4</v>
      </c>
      <c r="I1180" s="24">
        <v>7.6249999999999929E-2</v>
      </c>
      <c r="J1180">
        <f t="shared" si="36"/>
        <v>1</v>
      </c>
      <c r="K1180">
        <f t="shared" si="37"/>
        <v>0</v>
      </c>
    </row>
    <row r="1181" spans="1:11" x14ac:dyDescent="0.25">
      <c r="A1181">
        <v>25</v>
      </c>
      <c r="B1181" t="s">
        <v>384</v>
      </c>
      <c r="C1181" s="4">
        <v>0.85416666666666663</v>
      </c>
      <c r="D1181" s="23">
        <v>0.85420138888888886</v>
      </c>
      <c r="E1181" s="23">
        <v>0.93041666666666667</v>
      </c>
      <c r="F1181" t="s">
        <v>647</v>
      </c>
      <c r="G1181" t="s">
        <v>634</v>
      </c>
      <c r="H1181">
        <v>4</v>
      </c>
      <c r="I1181" s="24">
        <v>7.6249999999999929E-2</v>
      </c>
      <c r="J1181">
        <f t="shared" si="36"/>
        <v>1</v>
      </c>
      <c r="K1181">
        <f t="shared" si="37"/>
        <v>0</v>
      </c>
    </row>
    <row r="1182" spans="1:11" x14ac:dyDescent="0.25">
      <c r="A1182">
        <v>26</v>
      </c>
      <c r="B1182" t="s">
        <v>238</v>
      </c>
      <c r="C1182" s="4">
        <v>0.85416666666666663</v>
      </c>
      <c r="D1182" s="23">
        <v>0.85420138888888886</v>
      </c>
      <c r="E1182" s="23">
        <v>0.93041666666666667</v>
      </c>
      <c r="F1182" t="s">
        <v>647</v>
      </c>
      <c r="G1182" t="s">
        <v>634</v>
      </c>
      <c r="H1182">
        <v>4</v>
      </c>
      <c r="I1182" s="24">
        <v>7.6249999999999929E-2</v>
      </c>
      <c r="J1182">
        <f t="shared" si="36"/>
        <v>1</v>
      </c>
      <c r="K1182">
        <f t="shared" si="37"/>
        <v>0</v>
      </c>
    </row>
    <row r="1183" spans="1:11" x14ac:dyDescent="0.25">
      <c r="A1183">
        <v>27</v>
      </c>
      <c r="B1183" t="s">
        <v>22</v>
      </c>
      <c r="C1183" s="4">
        <v>0.85416666666666663</v>
      </c>
      <c r="D1183" s="23">
        <v>0.85420138888888886</v>
      </c>
      <c r="E1183" s="23">
        <v>0.93041666666666667</v>
      </c>
      <c r="F1183" t="s">
        <v>647</v>
      </c>
      <c r="G1183" t="s">
        <v>634</v>
      </c>
      <c r="H1183">
        <v>4</v>
      </c>
      <c r="I1183" s="24">
        <v>7.6249999999999929E-2</v>
      </c>
      <c r="J1183">
        <f t="shared" si="36"/>
        <v>1</v>
      </c>
      <c r="K1183">
        <f t="shared" si="37"/>
        <v>0</v>
      </c>
    </row>
    <row r="1184" spans="1:11" x14ac:dyDescent="0.25">
      <c r="A1184">
        <v>28</v>
      </c>
      <c r="B1184" t="s">
        <v>46</v>
      </c>
      <c r="C1184" s="4">
        <v>0.85416666666666663</v>
      </c>
      <c r="D1184" s="23">
        <v>0.85893518518518519</v>
      </c>
      <c r="E1184" s="23">
        <v>0.93041666666666667</v>
      </c>
      <c r="F1184" t="s">
        <v>650</v>
      </c>
      <c r="G1184" t="s">
        <v>634</v>
      </c>
      <c r="H1184">
        <v>4</v>
      </c>
      <c r="I1184" s="24">
        <v>7.6249999999999929E-2</v>
      </c>
      <c r="J1184">
        <f t="shared" si="36"/>
        <v>1</v>
      </c>
      <c r="K1184">
        <f t="shared" si="37"/>
        <v>0</v>
      </c>
    </row>
    <row r="1185" spans="1:11" x14ac:dyDescent="0.25">
      <c r="A1185">
        <v>29</v>
      </c>
      <c r="B1185" t="s">
        <v>100</v>
      </c>
      <c r="C1185" s="4">
        <v>0.85416666666666663</v>
      </c>
      <c r="D1185" s="23">
        <v>0.85420138888888886</v>
      </c>
      <c r="E1185" s="23">
        <v>0.93041666666666667</v>
      </c>
      <c r="F1185" t="s">
        <v>647</v>
      </c>
      <c r="G1185" t="s">
        <v>634</v>
      </c>
      <c r="H1185">
        <v>4</v>
      </c>
      <c r="I1185" s="24">
        <v>7.6249999999999929E-2</v>
      </c>
      <c r="J1185">
        <f t="shared" si="36"/>
        <v>1</v>
      </c>
      <c r="K1185">
        <f t="shared" si="37"/>
        <v>0</v>
      </c>
    </row>
    <row r="1186" spans="1:11" x14ac:dyDescent="0.25">
      <c r="A1186">
        <v>30</v>
      </c>
      <c r="B1186" t="s">
        <v>511</v>
      </c>
      <c r="C1186" s="4">
        <v>0.85416666666666663</v>
      </c>
      <c r="D1186" s="23">
        <v>0.85420138888888886</v>
      </c>
      <c r="E1186" s="23">
        <v>0.93041666666666667</v>
      </c>
      <c r="F1186" t="s">
        <v>647</v>
      </c>
      <c r="G1186" t="s">
        <v>634</v>
      </c>
      <c r="H1186">
        <v>4</v>
      </c>
      <c r="I1186" s="24">
        <v>7.6249999999999929E-2</v>
      </c>
      <c r="J1186">
        <f t="shared" si="36"/>
        <v>1</v>
      </c>
      <c r="K1186">
        <f t="shared" si="37"/>
        <v>0</v>
      </c>
    </row>
    <row r="1187" spans="1:11" x14ac:dyDescent="0.25">
      <c r="A1187">
        <v>31</v>
      </c>
      <c r="B1187" t="s">
        <v>49</v>
      </c>
      <c r="C1187" s="4">
        <v>0.85416666666666663</v>
      </c>
      <c r="D1187" s="23">
        <v>0.85420138888888886</v>
      </c>
      <c r="E1187" s="23">
        <v>0.93041666666666667</v>
      </c>
      <c r="F1187" t="s">
        <v>647</v>
      </c>
      <c r="G1187" t="s">
        <v>634</v>
      </c>
      <c r="H1187">
        <v>4</v>
      </c>
      <c r="I1187" s="24">
        <v>7.6249999999999929E-2</v>
      </c>
      <c r="J1187">
        <f t="shared" si="36"/>
        <v>1</v>
      </c>
      <c r="K1187">
        <f t="shared" si="37"/>
        <v>0</v>
      </c>
    </row>
    <row r="1188" spans="1:11" x14ac:dyDescent="0.25">
      <c r="A1188">
        <v>32</v>
      </c>
      <c r="B1188" t="s">
        <v>193</v>
      </c>
      <c r="C1188" s="4">
        <v>0.85416666666666663</v>
      </c>
      <c r="D1188" s="23">
        <v>0.85890046296296296</v>
      </c>
      <c r="E1188" s="23">
        <v>0.93041666666666667</v>
      </c>
      <c r="F1188" t="s">
        <v>649</v>
      </c>
      <c r="G1188" t="s">
        <v>634</v>
      </c>
      <c r="H1188">
        <v>4</v>
      </c>
      <c r="I1188" s="24">
        <v>7.6249999999999929E-2</v>
      </c>
      <c r="J1188">
        <f t="shared" si="36"/>
        <v>1</v>
      </c>
      <c r="K1188">
        <f t="shared" si="37"/>
        <v>0</v>
      </c>
    </row>
    <row r="1189" spans="1:11" x14ac:dyDescent="0.25">
      <c r="A1189">
        <v>33</v>
      </c>
      <c r="B1189" t="s">
        <v>50</v>
      </c>
      <c r="C1189" s="4">
        <v>0.85416666666666663</v>
      </c>
      <c r="D1189" s="23">
        <v>0.85890046296296296</v>
      </c>
      <c r="E1189" s="23">
        <v>0.93041666666666667</v>
      </c>
      <c r="F1189" t="s">
        <v>649</v>
      </c>
      <c r="G1189" t="s">
        <v>634</v>
      </c>
      <c r="H1189">
        <v>4</v>
      </c>
      <c r="I1189" s="24">
        <v>7.6249999999999929E-2</v>
      </c>
      <c r="J1189">
        <f t="shared" si="36"/>
        <v>1</v>
      </c>
      <c r="K1189">
        <f t="shared" si="37"/>
        <v>0</v>
      </c>
    </row>
    <row r="1190" spans="1:11" x14ac:dyDescent="0.25">
      <c r="A1190">
        <v>34</v>
      </c>
      <c r="B1190" t="s">
        <v>570</v>
      </c>
      <c r="C1190" s="4">
        <v>0.85416666666666663</v>
      </c>
      <c r="D1190" s="23">
        <v>0.85420138888888886</v>
      </c>
      <c r="E1190" s="23">
        <v>0.93041666666666667</v>
      </c>
      <c r="F1190" t="s">
        <v>647</v>
      </c>
      <c r="G1190" t="s">
        <v>634</v>
      </c>
      <c r="H1190">
        <v>4</v>
      </c>
      <c r="I1190" s="24">
        <v>7.6249999999999929E-2</v>
      </c>
      <c r="J1190">
        <f t="shared" si="36"/>
        <v>1</v>
      </c>
      <c r="K1190">
        <f t="shared" si="37"/>
        <v>0</v>
      </c>
    </row>
    <row r="1191" spans="1:11" x14ac:dyDescent="0.25">
      <c r="A1191">
        <v>35</v>
      </c>
      <c r="B1191" t="s">
        <v>62</v>
      </c>
      <c r="C1191" s="4">
        <v>0.85416666666666663</v>
      </c>
      <c r="D1191" s="23">
        <v>0.85420138888888886</v>
      </c>
      <c r="E1191" s="23">
        <v>0.93041666666666667</v>
      </c>
      <c r="F1191" t="s">
        <v>647</v>
      </c>
      <c r="G1191" t="s">
        <v>634</v>
      </c>
      <c r="H1191">
        <v>4</v>
      </c>
      <c r="I1191" s="24">
        <v>7.6249999999999929E-2</v>
      </c>
      <c r="J1191">
        <f t="shared" ref="J1191:J1253" si="38">IF(AND(H1191&gt;=1,H1191&lt;=7),1,0)</f>
        <v>1</v>
      </c>
      <c r="K1191">
        <f t="shared" ref="K1191:K1253" si="39">IF(AND(H1191&gt;=30,H1191&lt;=36),1,0)</f>
        <v>0</v>
      </c>
    </row>
    <row r="1192" spans="1:11" x14ac:dyDescent="0.25">
      <c r="A1192">
        <v>36</v>
      </c>
      <c r="B1192" t="s">
        <v>516</v>
      </c>
      <c r="C1192" s="4">
        <v>0.85416666666666663</v>
      </c>
      <c r="D1192" s="23">
        <v>0.85890046296296296</v>
      </c>
      <c r="E1192" s="23">
        <v>0.93041666666666667</v>
      </c>
      <c r="F1192" t="s">
        <v>649</v>
      </c>
      <c r="G1192" t="s">
        <v>634</v>
      </c>
      <c r="H1192">
        <v>4</v>
      </c>
      <c r="I1192" s="24">
        <v>7.6249999999999929E-2</v>
      </c>
      <c r="J1192">
        <f t="shared" si="38"/>
        <v>1</v>
      </c>
      <c r="K1192">
        <f t="shared" si="39"/>
        <v>0</v>
      </c>
    </row>
    <row r="1193" spans="1:11" x14ac:dyDescent="0.25">
      <c r="A1193">
        <v>37</v>
      </c>
      <c r="B1193" t="s">
        <v>51</v>
      </c>
      <c r="C1193" s="4">
        <v>0.85416666666666663</v>
      </c>
      <c r="D1193" s="23">
        <v>0.85420138888888886</v>
      </c>
      <c r="E1193" s="23">
        <v>0.93041666666666667</v>
      </c>
      <c r="F1193" t="s">
        <v>647</v>
      </c>
      <c r="G1193" t="s">
        <v>634</v>
      </c>
      <c r="H1193">
        <v>4</v>
      </c>
      <c r="I1193" s="24">
        <v>7.6249999999999929E-2</v>
      </c>
      <c r="J1193">
        <f t="shared" si="38"/>
        <v>1</v>
      </c>
      <c r="K1193">
        <f t="shared" si="39"/>
        <v>0</v>
      </c>
    </row>
    <row r="1194" spans="1:11" x14ac:dyDescent="0.25">
      <c r="A1194">
        <v>38</v>
      </c>
      <c r="B1194" t="s">
        <v>549</v>
      </c>
      <c r="C1194" s="4">
        <v>0.85416666666666663</v>
      </c>
      <c r="D1194" s="23">
        <v>0.85420138888888886</v>
      </c>
      <c r="E1194" s="23">
        <v>0.93041666666666667</v>
      </c>
      <c r="F1194" t="s">
        <v>647</v>
      </c>
      <c r="G1194" t="s">
        <v>634</v>
      </c>
      <c r="H1194">
        <v>4</v>
      </c>
      <c r="I1194" s="24">
        <v>7.6249999999999929E-2</v>
      </c>
      <c r="J1194">
        <f t="shared" si="38"/>
        <v>1</v>
      </c>
      <c r="K1194">
        <f t="shared" si="39"/>
        <v>0</v>
      </c>
    </row>
    <row r="1195" spans="1:11" x14ac:dyDescent="0.25">
      <c r="A1195">
        <v>39</v>
      </c>
      <c r="B1195" t="s">
        <v>101</v>
      </c>
      <c r="C1195" s="4">
        <v>0.85416666666666663</v>
      </c>
      <c r="D1195" s="23">
        <v>0.85420138888888886</v>
      </c>
      <c r="E1195" s="23">
        <v>0.93041666666666667</v>
      </c>
      <c r="F1195" t="s">
        <v>647</v>
      </c>
      <c r="G1195" t="s">
        <v>634</v>
      </c>
      <c r="H1195">
        <v>4</v>
      </c>
      <c r="I1195" s="24">
        <v>7.6249999999999929E-2</v>
      </c>
      <c r="J1195">
        <f t="shared" si="38"/>
        <v>1</v>
      </c>
      <c r="K1195">
        <f t="shared" si="39"/>
        <v>0</v>
      </c>
    </row>
    <row r="1196" spans="1:11" x14ac:dyDescent="0.25">
      <c r="A1196">
        <v>40</v>
      </c>
      <c r="B1196" t="s">
        <v>53</v>
      </c>
      <c r="C1196" s="4">
        <v>0.85416666666666663</v>
      </c>
      <c r="D1196" s="23">
        <v>0.85890046296296296</v>
      </c>
      <c r="E1196" s="23">
        <v>0.93041666666666667</v>
      </c>
      <c r="F1196" t="s">
        <v>649</v>
      </c>
      <c r="G1196" t="s">
        <v>634</v>
      </c>
      <c r="H1196">
        <v>4</v>
      </c>
      <c r="I1196" s="24">
        <v>7.6249999999999929E-2</v>
      </c>
      <c r="J1196">
        <f t="shared" si="38"/>
        <v>1</v>
      </c>
      <c r="K1196">
        <f t="shared" si="39"/>
        <v>0</v>
      </c>
    </row>
    <row r="1197" spans="1:11" x14ac:dyDescent="0.25">
      <c r="A1197">
        <v>41</v>
      </c>
      <c r="B1197" t="s">
        <v>651</v>
      </c>
      <c r="C1197" s="4">
        <v>0.85416666666666663</v>
      </c>
      <c r="D1197" s="23">
        <v>0.85890046296296296</v>
      </c>
      <c r="E1197" s="23">
        <v>0.93041666666666667</v>
      </c>
      <c r="F1197" t="s">
        <v>649</v>
      </c>
      <c r="G1197" t="s">
        <v>634</v>
      </c>
      <c r="H1197">
        <v>4</v>
      </c>
      <c r="I1197" s="24">
        <v>7.6249999999999929E-2</v>
      </c>
      <c r="J1197">
        <f t="shared" si="38"/>
        <v>1</v>
      </c>
      <c r="K1197">
        <f t="shared" si="39"/>
        <v>0</v>
      </c>
    </row>
    <row r="1198" spans="1:11" x14ac:dyDescent="0.25">
      <c r="A1198">
        <v>42</v>
      </c>
      <c r="B1198" t="s">
        <v>54</v>
      </c>
      <c r="C1198" s="4">
        <v>0.85416666666666663</v>
      </c>
      <c r="D1198" s="23">
        <v>0.85420138888888886</v>
      </c>
      <c r="E1198" s="23">
        <v>0.93041666666666667</v>
      </c>
      <c r="F1198" t="s">
        <v>647</v>
      </c>
      <c r="G1198" t="s">
        <v>634</v>
      </c>
      <c r="H1198">
        <v>4</v>
      </c>
      <c r="I1198" s="24">
        <v>7.6249999999999929E-2</v>
      </c>
      <c r="J1198">
        <f t="shared" si="38"/>
        <v>1</v>
      </c>
      <c r="K1198">
        <f t="shared" si="39"/>
        <v>0</v>
      </c>
    </row>
    <row r="1199" spans="1:11" x14ac:dyDescent="0.25">
      <c r="A1199">
        <v>43</v>
      </c>
      <c r="B1199" t="s">
        <v>470</v>
      </c>
      <c r="C1199" s="4">
        <v>0.85416666666666663</v>
      </c>
      <c r="D1199" s="23">
        <v>0.85890046296296296</v>
      </c>
      <c r="E1199" s="23">
        <v>0.93041666666666667</v>
      </c>
      <c r="F1199" t="s">
        <v>649</v>
      </c>
      <c r="G1199" t="s">
        <v>634</v>
      </c>
      <c r="H1199">
        <v>4</v>
      </c>
      <c r="I1199" s="24">
        <v>7.6249999999999929E-2</v>
      </c>
      <c r="J1199">
        <f t="shared" si="38"/>
        <v>1</v>
      </c>
      <c r="K1199">
        <f t="shared" si="39"/>
        <v>0</v>
      </c>
    </row>
    <row r="1200" spans="1:11" x14ac:dyDescent="0.25">
      <c r="A1200">
        <v>44</v>
      </c>
      <c r="B1200" t="s">
        <v>397</v>
      </c>
      <c r="C1200" s="4">
        <v>0.85416666666666663</v>
      </c>
      <c r="D1200" s="23">
        <v>0.85890046296296296</v>
      </c>
      <c r="E1200" s="23">
        <v>0.93041666666666667</v>
      </c>
      <c r="F1200" t="s">
        <v>649</v>
      </c>
      <c r="G1200" t="s">
        <v>634</v>
      </c>
      <c r="H1200">
        <v>4</v>
      </c>
      <c r="I1200" s="24">
        <v>7.6249999999999929E-2</v>
      </c>
      <c r="J1200">
        <f t="shared" si="38"/>
        <v>1</v>
      </c>
      <c r="K1200">
        <f t="shared" si="39"/>
        <v>0</v>
      </c>
    </row>
    <row r="1201" spans="1:11" x14ac:dyDescent="0.25">
      <c r="A1201">
        <v>45</v>
      </c>
      <c r="B1201" t="s">
        <v>321</v>
      </c>
      <c r="C1201" s="4">
        <v>0.85416666666666663</v>
      </c>
      <c r="D1201" s="23">
        <v>0.85890046296296296</v>
      </c>
      <c r="E1201" s="23">
        <v>0.93041666666666667</v>
      </c>
      <c r="F1201" t="s">
        <v>649</v>
      </c>
      <c r="G1201" t="s">
        <v>634</v>
      </c>
      <c r="H1201">
        <v>4</v>
      </c>
      <c r="I1201" s="24">
        <v>7.6249999999999929E-2</v>
      </c>
      <c r="J1201">
        <f t="shared" si="38"/>
        <v>1</v>
      </c>
      <c r="K1201">
        <f t="shared" si="39"/>
        <v>0</v>
      </c>
    </row>
    <row r="1202" spans="1:11" x14ac:dyDescent="0.25">
      <c r="A1202">
        <v>1</v>
      </c>
      <c r="B1202" t="s">
        <v>9</v>
      </c>
      <c r="C1202" s="4">
        <v>0.85219907407407403</v>
      </c>
      <c r="D1202" s="23">
        <v>0.85912037037037037</v>
      </c>
      <c r="E1202" s="23">
        <v>0.94437499999999996</v>
      </c>
      <c r="F1202" t="s">
        <v>652</v>
      </c>
      <c r="G1202" t="s">
        <v>634</v>
      </c>
      <c r="H1202">
        <v>3</v>
      </c>
      <c r="I1202" s="24">
        <v>9.2175925925925828E-2</v>
      </c>
      <c r="J1202">
        <f t="shared" si="38"/>
        <v>1</v>
      </c>
      <c r="K1202">
        <f t="shared" si="39"/>
        <v>0</v>
      </c>
    </row>
    <row r="1203" spans="1:11" x14ac:dyDescent="0.25">
      <c r="A1203">
        <v>2</v>
      </c>
      <c r="B1203" t="s">
        <v>11</v>
      </c>
      <c r="C1203" s="4">
        <v>0.85219907407407403</v>
      </c>
      <c r="D1203" s="23">
        <v>0.85912037037037037</v>
      </c>
      <c r="E1203" s="23">
        <v>0.94437499999999996</v>
      </c>
      <c r="F1203" t="s">
        <v>654</v>
      </c>
      <c r="G1203" t="s">
        <v>634</v>
      </c>
      <c r="H1203">
        <v>3</v>
      </c>
      <c r="I1203" s="24">
        <v>9.2175925925925828E-2</v>
      </c>
      <c r="J1203">
        <f t="shared" si="38"/>
        <v>1</v>
      </c>
      <c r="K1203">
        <f t="shared" si="39"/>
        <v>0</v>
      </c>
    </row>
    <row r="1204" spans="1:11" x14ac:dyDescent="0.25">
      <c r="A1204">
        <v>3</v>
      </c>
      <c r="B1204" t="s">
        <v>296</v>
      </c>
      <c r="C1204" s="4">
        <v>0.85219907407407403</v>
      </c>
      <c r="D1204" s="23">
        <v>0.85912037037037037</v>
      </c>
      <c r="E1204" s="23">
        <v>0.94437499999999996</v>
      </c>
      <c r="F1204" t="s">
        <v>654</v>
      </c>
      <c r="G1204" t="s">
        <v>634</v>
      </c>
      <c r="H1204">
        <v>3</v>
      </c>
      <c r="I1204" s="24">
        <v>9.2175925925925828E-2</v>
      </c>
      <c r="J1204">
        <f t="shared" si="38"/>
        <v>1</v>
      </c>
      <c r="K1204">
        <f t="shared" si="39"/>
        <v>0</v>
      </c>
    </row>
    <row r="1205" spans="1:11" x14ac:dyDescent="0.25">
      <c r="A1205">
        <v>4</v>
      </c>
      <c r="B1205" t="s">
        <v>35</v>
      </c>
      <c r="C1205" s="4">
        <v>0.85219907407407403</v>
      </c>
      <c r="D1205" s="23">
        <v>0.85223379629629625</v>
      </c>
      <c r="E1205" s="23">
        <v>0.94437499999999996</v>
      </c>
      <c r="F1205" t="s">
        <v>655</v>
      </c>
      <c r="G1205" t="s">
        <v>634</v>
      </c>
      <c r="H1205">
        <v>3</v>
      </c>
      <c r="I1205" s="24">
        <v>9.2175925925925828E-2</v>
      </c>
      <c r="J1205">
        <f t="shared" si="38"/>
        <v>1</v>
      </c>
      <c r="K1205">
        <f t="shared" si="39"/>
        <v>0</v>
      </c>
    </row>
    <row r="1206" spans="1:11" x14ac:dyDescent="0.25">
      <c r="A1206">
        <v>5</v>
      </c>
      <c r="B1206" t="s">
        <v>636</v>
      </c>
      <c r="C1206" s="4">
        <v>0.85219907407407403</v>
      </c>
      <c r="D1206" s="23">
        <v>0.85912037037037037</v>
      </c>
      <c r="E1206" s="23">
        <v>0.94437499999999996</v>
      </c>
      <c r="F1206" t="s">
        <v>656</v>
      </c>
      <c r="G1206" t="s">
        <v>634</v>
      </c>
      <c r="H1206">
        <v>3</v>
      </c>
      <c r="I1206" s="24">
        <v>9.2175925925925828E-2</v>
      </c>
      <c r="J1206">
        <f t="shared" si="38"/>
        <v>1</v>
      </c>
      <c r="K1206">
        <f t="shared" si="39"/>
        <v>0</v>
      </c>
    </row>
    <row r="1207" spans="1:11" x14ac:dyDescent="0.25">
      <c r="A1207">
        <v>6</v>
      </c>
      <c r="B1207" t="s">
        <v>585</v>
      </c>
      <c r="C1207" s="4">
        <v>0.85219907407407403</v>
      </c>
      <c r="D1207" s="23">
        <v>0.85912037037037037</v>
      </c>
      <c r="E1207" s="23">
        <v>0.94437499999999996</v>
      </c>
      <c r="F1207" t="s">
        <v>657</v>
      </c>
      <c r="G1207" t="s">
        <v>634</v>
      </c>
      <c r="H1207">
        <v>3</v>
      </c>
      <c r="I1207" s="24">
        <v>9.2175925925925828E-2</v>
      </c>
      <c r="J1207">
        <f t="shared" si="38"/>
        <v>1</v>
      </c>
      <c r="K1207">
        <f t="shared" si="39"/>
        <v>0</v>
      </c>
    </row>
    <row r="1208" spans="1:11" x14ac:dyDescent="0.25">
      <c r="A1208">
        <v>8</v>
      </c>
      <c r="B1208" t="s">
        <v>70</v>
      </c>
      <c r="C1208" s="4">
        <v>0.85219907407407403</v>
      </c>
      <c r="D1208" s="23">
        <v>0.85912037037037037</v>
      </c>
      <c r="E1208" s="23">
        <v>0.94437499999999996</v>
      </c>
      <c r="F1208" t="s">
        <v>654</v>
      </c>
      <c r="G1208" t="s">
        <v>634</v>
      </c>
      <c r="H1208">
        <v>3</v>
      </c>
      <c r="I1208" s="24">
        <v>9.2175925925925828E-2</v>
      </c>
      <c r="J1208">
        <f t="shared" si="38"/>
        <v>1</v>
      </c>
      <c r="K1208">
        <f t="shared" si="39"/>
        <v>0</v>
      </c>
    </row>
    <row r="1209" spans="1:11" x14ac:dyDescent="0.25">
      <c r="A1209">
        <v>9</v>
      </c>
      <c r="B1209" t="s">
        <v>59</v>
      </c>
      <c r="C1209" s="4">
        <v>0.85219907407407403</v>
      </c>
      <c r="D1209" s="23">
        <v>0.85223379629629625</v>
      </c>
      <c r="E1209" s="23">
        <v>0.94437499999999996</v>
      </c>
      <c r="F1209" t="s">
        <v>655</v>
      </c>
      <c r="G1209" t="s">
        <v>634</v>
      </c>
      <c r="H1209">
        <v>3</v>
      </c>
      <c r="I1209" s="24">
        <v>9.2175925925925828E-2</v>
      </c>
      <c r="J1209">
        <f t="shared" si="38"/>
        <v>1</v>
      </c>
      <c r="K1209">
        <f t="shared" si="39"/>
        <v>0</v>
      </c>
    </row>
    <row r="1210" spans="1:11" x14ac:dyDescent="0.25">
      <c r="A1210">
        <v>10</v>
      </c>
      <c r="B1210" t="s">
        <v>380</v>
      </c>
      <c r="C1210" s="4">
        <v>0.85219907407407403</v>
      </c>
      <c r="D1210" s="23">
        <v>0.85223379629629625</v>
      </c>
      <c r="E1210" s="23">
        <v>0.94437499999999996</v>
      </c>
      <c r="F1210" t="s">
        <v>655</v>
      </c>
      <c r="G1210" t="s">
        <v>634</v>
      </c>
      <c r="H1210">
        <v>3</v>
      </c>
      <c r="I1210" s="24">
        <v>9.2175925925925828E-2</v>
      </c>
      <c r="J1210">
        <f t="shared" si="38"/>
        <v>1</v>
      </c>
      <c r="K1210">
        <f t="shared" si="39"/>
        <v>0</v>
      </c>
    </row>
    <row r="1211" spans="1:11" x14ac:dyDescent="0.25">
      <c r="A1211">
        <v>11</v>
      </c>
      <c r="B1211" t="s">
        <v>181</v>
      </c>
      <c r="C1211" s="4">
        <v>0.85219907407407403</v>
      </c>
      <c r="D1211" s="23">
        <v>0.85223379629629625</v>
      </c>
      <c r="E1211" s="23">
        <v>0.94437499999999996</v>
      </c>
      <c r="F1211" t="s">
        <v>655</v>
      </c>
      <c r="G1211" t="s">
        <v>634</v>
      </c>
      <c r="H1211">
        <v>3</v>
      </c>
      <c r="I1211" s="24">
        <v>9.2175925925925828E-2</v>
      </c>
      <c r="J1211">
        <f t="shared" si="38"/>
        <v>1</v>
      </c>
      <c r="K1211">
        <f t="shared" si="39"/>
        <v>0</v>
      </c>
    </row>
    <row r="1212" spans="1:11" x14ac:dyDescent="0.25">
      <c r="A1212">
        <v>12</v>
      </c>
      <c r="B1212" t="s">
        <v>36</v>
      </c>
      <c r="C1212" s="4">
        <v>0.85219907407407403</v>
      </c>
      <c r="D1212" s="23">
        <v>0.85912037037037037</v>
      </c>
      <c r="E1212" s="23">
        <v>0.94437499999999996</v>
      </c>
      <c r="F1212" t="s">
        <v>654</v>
      </c>
      <c r="G1212" t="s">
        <v>634</v>
      </c>
      <c r="H1212">
        <v>3</v>
      </c>
      <c r="I1212" s="24">
        <v>9.2175925925925828E-2</v>
      </c>
      <c r="J1212">
        <f t="shared" si="38"/>
        <v>1</v>
      </c>
      <c r="K1212">
        <f t="shared" si="39"/>
        <v>0</v>
      </c>
    </row>
    <row r="1213" spans="1:11" x14ac:dyDescent="0.25">
      <c r="A1213">
        <v>13</v>
      </c>
      <c r="B1213" t="s">
        <v>530</v>
      </c>
      <c r="C1213" s="4">
        <v>0.85219907407407403</v>
      </c>
      <c r="D1213" s="23">
        <v>0.85912037037037037</v>
      </c>
      <c r="E1213" s="23">
        <v>0.94437499999999996</v>
      </c>
      <c r="F1213" t="s">
        <v>654</v>
      </c>
      <c r="G1213" t="s">
        <v>634</v>
      </c>
      <c r="H1213">
        <v>3</v>
      </c>
      <c r="I1213" s="24">
        <v>9.2175925925925828E-2</v>
      </c>
      <c r="J1213">
        <f t="shared" si="38"/>
        <v>1</v>
      </c>
      <c r="K1213">
        <f t="shared" si="39"/>
        <v>0</v>
      </c>
    </row>
    <row r="1214" spans="1:11" x14ac:dyDescent="0.25">
      <c r="A1214">
        <v>14</v>
      </c>
      <c r="B1214" t="s">
        <v>208</v>
      </c>
      <c r="C1214" s="4">
        <v>0.85219907407407403</v>
      </c>
      <c r="D1214" s="23">
        <v>0.85412037037037036</v>
      </c>
      <c r="E1214" s="23">
        <v>0.94437499999999996</v>
      </c>
      <c r="F1214" t="s">
        <v>658</v>
      </c>
      <c r="G1214" t="s">
        <v>634</v>
      </c>
      <c r="H1214">
        <v>3</v>
      </c>
      <c r="I1214" s="24">
        <v>9.2175925925925828E-2</v>
      </c>
      <c r="J1214">
        <f t="shared" si="38"/>
        <v>1</v>
      </c>
      <c r="K1214">
        <f t="shared" si="39"/>
        <v>0</v>
      </c>
    </row>
    <row r="1215" spans="1:11" x14ac:dyDescent="0.25">
      <c r="A1215">
        <v>15</v>
      </c>
      <c r="B1215" t="s">
        <v>16</v>
      </c>
      <c r="C1215" s="4">
        <v>0.85219907407407403</v>
      </c>
      <c r="D1215" s="23">
        <v>0.85223379629629625</v>
      </c>
      <c r="E1215" s="23">
        <v>0.94437499999999996</v>
      </c>
      <c r="F1215" t="s">
        <v>659</v>
      </c>
      <c r="G1215" t="s">
        <v>634</v>
      </c>
      <c r="H1215">
        <v>3</v>
      </c>
      <c r="I1215" s="24">
        <v>9.2175925925925828E-2</v>
      </c>
      <c r="J1215">
        <f t="shared" si="38"/>
        <v>1</v>
      </c>
      <c r="K1215">
        <f t="shared" si="39"/>
        <v>0</v>
      </c>
    </row>
    <row r="1216" spans="1:11" x14ac:dyDescent="0.25">
      <c r="A1216">
        <v>16</v>
      </c>
      <c r="B1216" t="s">
        <v>534</v>
      </c>
      <c r="C1216" s="4">
        <v>0.85219907407407403</v>
      </c>
      <c r="D1216" s="23">
        <v>0.85912037037037037</v>
      </c>
      <c r="E1216" s="23">
        <v>0.94437499999999996</v>
      </c>
      <c r="F1216" t="s">
        <v>654</v>
      </c>
      <c r="G1216" t="s">
        <v>634</v>
      </c>
      <c r="H1216">
        <v>3</v>
      </c>
      <c r="I1216" s="24">
        <v>9.2175925925925828E-2</v>
      </c>
      <c r="J1216">
        <f t="shared" si="38"/>
        <v>1</v>
      </c>
      <c r="K1216">
        <f t="shared" si="39"/>
        <v>0</v>
      </c>
    </row>
    <row r="1217" spans="1:11" x14ac:dyDescent="0.25">
      <c r="A1217">
        <v>17</v>
      </c>
      <c r="B1217" t="s">
        <v>186</v>
      </c>
      <c r="C1217" s="4">
        <v>0.85219907407407403</v>
      </c>
      <c r="D1217" s="23">
        <v>0.85223379629629625</v>
      </c>
      <c r="E1217" s="23">
        <v>0.94437499999999996</v>
      </c>
      <c r="F1217" t="s">
        <v>655</v>
      </c>
      <c r="G1217" t="s">
        <v>634</v>
      </c>
      <c r="H1217">
        <v>3</v>
      </c>
      <c r="I1217" s="24">
        <v>9.2175925925925828E-2</v>
      </c>
      <c r="J1217">
        <f t="shared" si="38"/>
        <v>1</v>
      </c>
      <c r="K1217">
        <f t="shared" si="39"/>
        <v>0</v>
      </c>
    </row>
    <row r="1218" spans="1:11" x14ac:dyDescent="0.25">
      <c r="A1218">
        <v>18</v>
      </c>
      <c r="B1218" t="s">
        <v>409</v>
      </c>
      <c r="C1218" s="4">
        <v>0.85219907407407403</v>
      </c>
      <c r="D1218" s="23">
        <v>0.85912037037037037</v>
      </c>
      <c r="E1218" s="23">
        <v>0.94437499999999996</v>
      </c>
      <c r="F1218" t="s">
        <v>654</v>
      </c>
      <c r="G1218" t="s">
        <v>634</v>
      </c>
      <c r="H1218">
        <v>3</v>
      </c>
      <c r="I1218" s="24">
        <v>9.2175925925925828E-2</v>
      </c>
      <c r="J1218">
        <f t="shared" si="38"/>
        <v>1</v>
      </c>
      <c r="K1218">
        <f t="shared" si="39"/>
        <v>0</v>
      </c>
    </row>
    <row r="1219" spans="1:11" x14ac:dyDescent="0.25">
      <c r="A1219">
        <v>19</v>
      </c>
      <c r="B1219" t="s">
        <v>538</v>
      </c>
      <c r="C1219" s="4">
        <v>0.85219907407407403</v>
      </c>
      <c r="D1219" s="23">
        <v>0.85306712962962961</v>
      </c>
      <c r="E1219" s="23">
        <v>0.94437499999999996</v>
      </c>
      <c r="F1219" t="s">
        <v>660</v>
      </c>
      <c r="G1219" t="s">
        <v>634</v>
      </c>
      <c r="H1219">
        <v>3</v>
      </c>
      <c r="I1219" s="24">
        <v>9.2175925925925828E-2</v>
      </c>
      <c r="J1219">
        <f t="shared" si="38"/>
        <v>1</v>
      </c>
      <c r="K1219">
        <f t="shared" si="39"/>
        <v>0</v>
      </c>
    </row>
    <row r="1220" spans="1:11" x14ac:dyDescent="0.25">
      <c r="A1220">
        <v>20</v>
      </c>
      <c r="B1220" t="s">
        <v>114</v>
      </c>
      <c r="C1220" s="4">
        <v>0.85219907407407403</v>
      </c>
      <c r="D1220" s="23">
        <v>0.85912037037037037</v>
      </c>
      <c r="E1220" s="23">
        <v>0.94437499999999996</v>
      </c>
      <c r="F1220" t="s">
        <v>654</v>
      </c>
      <c r="G1220" t="s">
        <v>634</v>
      </c>
      <c r="H1220">
        <v>3</v>
      </c>
      <c r="I1220" s="24">
        <v>9.2175925925925828E-2</v>
      </c>
      <c r="J1220">
        <f t="shared" si="38"/>
        <v>1</v>
      </c>
      <c r="K1220">
        <f t="shared" si="39"/>
        <v>0</v>
      </c>
    </row>
    <row r="1221" spans="1:11" x14ac:dyDescent="0.25">
      <c r="A1221">
        <v>21</v>
      </c>
      <c r="B1221" t="s">
        <v>410</v>
      </c>
      <c r="C1221" s="4">
        <v>0.85219907407407403</v>
      </c>
      <c r="D1221" s="23">
        <v>0.85912037037037037</v>
      </c>
      <c r="E1221" s="23">
        <v>0.94437499999999996</v>
      </c>
      <c r="F1221" t="s">
        <v>654</v>
      </c>
      <c r="G1221" t="s">
        <v>634</v>
      </c>
      <c r="H1221">
        <v>3</v>
      </c>
      <c r="I1221" s="24">
        <v>9.2175925925925828E-2</v>
      </c>
      <c r="J1221">
        <f t="shared" si="38"/>
        <v>1</v>
      </c>
      <c r="K1221">
        <f t="shared" si="39"/>
        <v>0</v>
      </c>
    </row>
    <row r="1222" spans="1:11" x14ac:dyDescent="0.25">
      <c r="A1222">
        <v>22</v>
      </c>
      <c r="B1222" t="s">
        <v>18</v>
      </c>
      <c r="C1222" s="4">
        <v>0.85219907407407403</v>
      </c>
      <c r="D1222" s="23">
        <v>0.85912037037037037</v>
      </c>
      <c r="E1222" s="23">
        <v>0.94437499999999996</v>
      </c>
      <c r="F1222" t="s">
        <v>656</v>
      </c>
      <c r="G1222" t="s">
        <v>634</v>
      </c>
      <c r="H1222">
        <v>3</v>
      </c>
      <c r="I1222" s="24">
        <v>9.2175925925925828E-2</v>
      </c>
      <c r="J1222">
        <f t="shared" si="38"/>
        <v>1</v>
      </c>
      <c r="K1222">
        <f t="shared" si="39"/>
        <v>0</v>
      </c>
    </row>
    <row r="1223" spans="1:11" x14ac:dyDescent="0.25">
      <c r="A1223">
        <v>23</v>
      </c>
      <c r="B1223" t="s">
        <v>41</v>
      </c>
      <c r="C1223" s="4">
        <v>0.85219907407407403</v>
      </c>
      <c r="D1223" s="23">
        <v>0.85912037037037037</v>
      </c>
      <c r="E1223" s="23">
        <v>0.94437499999999996</v>
      </c>
      <c r="F1223" t="s">
        <v>654</v>
      </c>
      <c r="G1223" t="s">
        <v>634</v>
      </c>
      <c r="H1223">
        <v>3</v>
      </c>
      <c r="I1223" s="24">
        <v>9.2175925925925828E-2</v>
      </c>
      <c r="J1223">
        <f t="shared" si="38"/>
        <v>1</v>
      </c>
      <c r="K1223">
        <f t="shared" si="39"/>
        <v>0</v>
      </c>
    </row>
    <row r="1224" spans="1:11" x14ac:dyDescent="0.25">
      <c r="A1224">
        <v>24</v>
      </c>
      <c r="B1224" t="s">
        <v>267</v>
      </c>
      <c r="C1224" s="4">
        <v>0.85219907407407403</v>
      </c>
      <c r="D1224" s="23">
        <v>0.85912037037037037</v>
      </c>
      <c r="E1224" s="23">
        <v>0.94437499999999996</v>
      </c>
      <c r="F1224" t="s">
        <v>654</v>
      </c>
      <c r="G1224" t="s">
        <v>634</v>
      </c>
      <c r="H1224">
        <v>3</v>
      </c>
      <c r="I1224" s="24">
        <v>9.2175925925925828E-2</v>
      </c>
      <c r="J1224">
        <f t="shared" si="38"/>
        <v>1</v>
      </c>
      <c r="K1224">
        <f t="shared" si="39"/>
        <v>0</v>
      </c>
    </row>
    <row r="1225" spans="1:11" x14ac:dyDescent="0.25">
      <c r="A1225">
        <v>25</v>
      </c>
      <c r="B1225" t="s">
        <v>20</v>
      </c>
      <c r="C1225" s="4">
        <v>0.85219907407407403</v>
      </c>
      <c r="D1225" s="23">
        <v>0.85223379629629625</v>
      </c>
      <c r="E1225" s="23">
        <v>0.94437499999999996</v>
      </c>
      <c r="F1225" t="s">
        <v>655</v>
      </c>
      <c r="G1225" t="s">
        <v>634</v>
      </c>
      <c r="H1225">
        <v>3</v>
      </c>
      <c r="I1225" s="24">
        <v>9.2175925925925828E-2</v>
      </c>
      <c r="J1225">
        <f t="shared" si="38"/>
        <v>1</v>
      </c>
      <c r="K1225">
        <f t="shared" si="39"/>
        <v>0</v>
      </c>
    </row>
    <row r="1226" spans="1:11" x14ac:dyDescent="0.25">
      <c r="A1226">
        <v>26</v>
      </c>
      <c r="B1226" t="s">
        <v>43</v>
      </c>
      <c r="C1226" s="4">
        <v>0.85219907407407403</v>
      </c>
      <c r="D1226" s="23">
        <v>0.85912037037037037</v>
      </c>
      <c r="E1226" s="23">
        <v>0.94437499999999996</v>
      </c>
      <c r="F1226" t="s">
        <v>654</v>
      </c>
      <c r="G1226" t="s">
        <v>634</v>
      </c>
      <c r="H1226">
        <v>3</v>
      </c>
      <c r="I1226" s="24">
        <v>9.2175925925925828E-2</v>
      </c>
      <c r="J1226">
        <f t="shared" si="38"/>
        <v>1</v>
      </c>
      <c r="K1226">
        <f t="shared" si="39"/>
        <v>0</v>
      </c>
    </row>
    <row r="1227" spans="1:11" x14ac:dyDescent="0.25">
      <c r="A1227">
        <v>27</v>
      </c>
      <c r="B1227" t="s">
        <v>99</v>
      </c>
      <c r="C1227" s="4">
        <v>0.85219907407407403</v>
      </c>
      <c r="D1227" s="23">
        <v>0.85223379629629625</v>
      </c>
      <c r="E1227" s="23">
        <v>0.94437499999999996</v>
      </c>
      <c r="F1227" t="s">
        <v>655</v>
      </c>
      <c r="G1227" t="s">
        <v>634</v>
      </c>
      <c r="H1227">
        <v>3</v>
      </c>
      <c r="I1227" s="24">
        <v>9.2175925925925828E-2</v>
      </c>
      <c r="J1227">
        <f t="shared" si="38"/>
        <v>1</v>
      </c>
      <c r="K1227">
        <f t="shared" si="39"/>
        <v>0</v>
      </c>
    </row>
    <row r="1228" spans="1:11" x14ac:dyDescent="0.25">
      <c r="A1228">
        <v>28</v>
      </c>
      <c r="B1228" t="s">
        <v>156</v>
      </c>
      <c r="C1228" s="4">
        <v>0.85219907407407403</v>
      </c>
      <c r="D1228" s="23">
        <v>0.94207175925925923</v>
      </c>
      <c r="E1228" s="23">
        <v>0.94437499999999996</v>
      </c>
      <c r="F1228" t="s">
        <v>661</v>
      </c>
      <c r="G1228" t="s">
        <v>634</v>
      </c>
      <c r="H1228">
        <v>3</v>
      </c>
      <c r="I1228" s="24">
        <v>9.2175925925925828E-2</v>
      </c>
      <c r="J1228">
        <f t="shared" si="38"/>
        <v>1</v>
      </c>
      <c r="K1228">
        <f t="shared" si="39"/>
        <v>0</v>
      </c>
    </row>
    <row r="1229" spans="1:11" x14ac:dyDescent="0.25">
      <c r="A1229">
        <v>29</v>
      </c>
      <c r="B1229" t="s">
        <v>384</v>
      </c>
      <c r="C1229" s="4">
        <v>0.85219907407407403</v>
      </c>
      <c r="D1229" s="23">
        <v>0.85912037037037037</v>
      </c>
      <c r="E1229" s="23">
        <v>0.94437499999999996</v>
      </c>
      <c r="F1229" t="s">
        <v>656</v>
      </c>
      <c r="G1229" t="s">
        <v>634</v>
      </c>
      <c r="H1229">
        <v>3</v>
      </c>
      <c r="I1229" s="24">
        <v>9.2175925925925828E-2</v>
      </c>
      <c r="J1229">
        <f t="shared" si="38"/>
        <v>1</v>
      </c>
      <c r="K1229">
        <f t="shared" si="39"/>
        <v>0</v>
      </c>
    </row>
    <row r="1230" spans="1:11" x14ac:dyDescent="0.25">
      <c r="A1230">
        <v>30</v>
      </c>
      <c r="B1230" t="s">
        <v>238</v>
      </c>
      <c r="C1230" s="4">
        <v>0.85219907407407403</v>
      </c>
      <c r="D1230" s="23">
        <v>0.85409722222222217</v>
      </c>
      <c r="E1230" s="23">
        <v>0.94437499999999996</v>
      </c>
      <c r="F1230" t="s">
        <v>662</v>
      </c>
      <c r="G1230" t="s">
        <v>634</v>
      </c>
      <c r="H1230">
        <v>3</v>
      </c>
      <c r="I1230" s="24">
        <v>9.2175925925925828E-2</v>
      </c>
      <c r="J1230">
        <f t="shared" si="38"/>
        <v>1</v>
      </c>
      <c r="K1230">
        <f t="shared" si="39"/>
        <v>0</v>
      </c>
    </row>
    <row r="1231" spans="1:11" x14ac:dyDescent="0.25">
      <c r="A1231">
        <v>31</v>
      </c>
      <c r="B1231" t="s">
        <v>22</v>
      </c>
      <c r="C1231" s="4">
        <v>0.85219907407407403</v>
      </c>
      <c r="D1231" s="23">
        <v>0.85912037037037037</v>
      </c>
      <c r="E1231" s="23">
        <v>0.94437499999999996</v>
      </c>
      <c r="F1231" t="s">
        <v>656</v>
      </c>
      <c r="G1231" t="s">
        <v>634</v>
      </c>
      <c r="H1231">
        <v>3</v>
      </c>
      <c r="I1231" s="24">
        <v>9.2175925925925828E-2</v>
      </c>
      <c r="J1231">
        <f t="shared" si="38"/>
        <v>1</v>
      </c>
      <c r="K1231">
        <f t="shared" si="39"/>
        <v>0</v>
      </c>
    </row>
    <row r="1232" spans="1:11" x14ac:dyDescent="0.25">
      <c r="A1232">
        <v>32</v>
      </c>
      <c r="B1232" t="s">
        <v>61</v>
      </c>
      <c r="C1232" s="4">
        <v>0.85219907407407403</v>
      </c>
      <c r="D1232" s="23">
        <v>0.85912037037037037</v>
      </c>
      <c r="E1232" s="23">
        <v>0.94437499999999996</v>
      </c>
      <c r="F1232" t="s">
        <v>654</v>
      </c>
      <c r="G1232" t="s">
        <v>634</v>
      </c>
      <c r="H1232">
        <v>3</v>
      </c>
      <c r="I1232" s="24">
        <v>9.2175925925925828E-2</v>
      </c>
      <c r="J1232">
        <f t="shared" si="38"/>
        <v>1</v>
      </c>
      <c r="K1232">
        <f t="shared" si="39"/>
        <v>0</v>
      </c>
    </row>
    <row r="1233" spans="1:11" x14ac:dyDescent="0.25">
      <c r="A1233">
        <v>33</v>
      </c>
      <c r="B1233" t="s">
        <v>46</v>
      </c>
      <c r="C1233" s="4">
        <v>0.85219907407407403</v>
      </c>
      <c r="D1233" s="23">
        <v>0.94207175925925923</v>
      </c>
      <c r="E1233" s="23">
        <v>0.94437499999999996</v>
      </c>
      <c r="F1233" t="s">
        <v>661</v>
      </c>
      <c r="G1233" t="s">
        <v>634</v>
      </c>
      <c r="H1233">
        <v>3</v>
      </c>
      <c r="I1233" s="24">
        <v>9.2175925925925828E-2</v>
      </c>
      <c r="J1233">
        <f t="shared" si="38"/>
        <v>1</v>
      </c>
      <c r="K1233">
        <f t="shared" si="39"/>
        <v>0</v>
      </c>
    </row>
    <row r="1234" spans="1:11" x14ac:dyDescent="0.25">
      <c r="A1234">
        <v>34</v>
      </c>
      <c r="B1234" t="s">
        <v>100</v>
      </c>
      <c r="C1234" s="4">
        <v>0.85219907407407403</v>
      </c>
      <c r="D1234" s="23">
        <v>0.85223379629629625</v>
      </c>
      <c r="E1234" s="23">
        <v>0.94437499999999996</v>
      </c>
      <c r="F1234" t="s">
        <v>659</v>
      </c>
      <c r="G1234" t="s">
        <v>634</v>
      </c>
      <c r="H1234">
        <v>3</v>
      </c>
      <c r="I1234" s="24">
        <v>9.2175925925925828E-2</v>
      </c>
      <c r="J1234">
        <f t="shared" si="38"/>
        <v>1</v>
      </c>
      <c r="K1234">
        <f t="shared" si="39"/>
        <v>0</v>
      </c>
    </row>
    <row r="1235" spans="1:11" x14ac:dyDescent="0.25">
      <c r="A1235">
        <v>35</v>
      </c>
      <c r="B1235" t="s">
        <v>23</v>
      </c>
      <c r="C1235" s="4">
        <v>0.85219907407407403</v>
      </c>
      <c r="D1235" s="23">
        <v>0.94207175925925923</v>
      </c>
      <c r="E1235" s="23">
        <v>0.94437499999999996</v>
      </c>
      <c r="F1235" t="s">
        <v>661</v>
      </c>
      <c r="G1235" t="s">
        <v>634</v>
      </c>
      <c r="H1235">
        <v>3</v>
      </c>
      <c r="I1235" s="24">
        <v>9.2175925925925828E-2</v>
      </c>
      <c r="J1235">
        <f t="shared" si="38"/>
        <v>1</v>
      </c>
      <c r="K1235">
        <f t="shared" si="39"/>
        <v>0</v>
      </c>
    </row>
    <row r="1236" spans="1:11" x14ac:dyDescent="0.25">
      <c r="A1236">
        <v>36</v>
      </c>
      <c r="B1236" t="s">
        <v>511</v>
      </c>
      <c r="C1236" s="4">
        <v>0.85219907407407403</v>
      </c>
      <c r="D1236" s="23">
        <v>0.85223379629629625</v>
      </c>
      <c r="E1236" s="23">
        <v>0.94437499999999996</v>
      </c>
      <c r="F1236" t="s">
        <v>655</v>
      </c>
      <c r="G1236" t="s">
        <v>634</v>
      </c>
      <c r="H1236">
        <v>3</v>
      </c>
      <c r="I1236" s="24">
        <v>9.2175925925925828E-2</v>
      </c>
      <c r="J1236">
        <f t="shared" si="38"/>
        <v>1</v>
      </c>
      <c r="K1236">
        <f t="shared" si="39"/>
        <v>0</v>
      </c>
    </row>
    <row r="1237" spans="1:11" x14ac:dyDescent="0.25">
      <c r="A1237">
        <v>37</v>
      </c>
      <c r="B1237" t="s">
        <v>49</v>
      </c>
      <c r="C1237" s="4">
        <v>0.85219907407407403</v>
      </c>
      <c r="D1237" s="23">
        <v>0.85912037037037037</v>
      </c>
      <c r="E1237" s="23">
        <v>0.94437499999999996</v>
      </c>
      <c r="F1237" t="s">
        <v>654</v>
      </c>
      <c r="G1237" t="s">
        <v>634</v>
      </c>
      <c r="H1237">
        <v>3</v>
      </c>
      <c r="I1237" s="24">
        <v>9.2175925925925828E-2</v>
      </c>
      <c r="J1237">
        <f t="shared" si="38"/>
        <v>1</v>
      </c>
      <c r="K1237">
        <f t="shared" si="39"/>
        <v>0</v>
      </c>
    </row>
    <row r="1238" spans="1:11" x14ac:dyDescent="0.25">
      <c r="A1238">
        <v>38</v>
      </c>
      <c r="B1238" t="s">
        <v>268</v>
      </c>
      <c r="C1238" s="4">
        <v>0.85219907407407403</v>
      </c>
      <c r="D1238" s="23">
        <v>0.85912037037037037</v>
      </c>
      <c r="E1238" s="23">
        <v>0.94437499999999996</v>
      </c>
      <c r="F1238" t="s">
        <v>654</v>
      </c>
      <c r="G1238" t="s">
        <v>634</v>
      </c>
      <c r="H1238">
        <v>3</v>
      </c>
      <c r="I1238" s="24">
        <v>9.2175925925925828E-2</v>
      </c>
      <c r="J1238">
        <f t="shared" si="38"/>
        <v>1</v>
      </c>
      <c r="K1238">
        <f t="shared" si="39"/>
        <v>0</v>
      </c>
    </row>
    <row r="1239" spans="1:11" x14ac:dyDescent="0.25">
      <c r="A1239">
        <v>39</v>
      </c>
      <c r="B1239" t="s">
        <v>213</v>
      </c>
      <c r="C1239" s="4">
        <v>0.85219907407407403</v>
      </c>
      <c r="D1239" s="23">
        <v>0.85223379629629625</v>
      </c>
      <c r="E1239" s="23">
        <v>0.94437499999999996</v>
      </c>
      <c r="F1239" t="s">
        <v>655</v>
      </c>
      <c r="G1239" t="s">
        <v>634</v>
      </c>
      <c r="H1239">
        <v>3</v>
      </c>
      <c r="I1239" s="24">
        <v>9.2175925925925828E-2</v>
      </c>
      <c r="J1239">
        <f t="shared" si="38"/>
        <v>1</v>
      </c>
      <c r="K1239">
        <f t="shared" si="39"/>
        <v>0</v>
      </c>
    </row>
    <row r="1240" spans="1:11" x14ac:dyDescent="0.25">
      <c r="A1240">
        <v>40</v>
      </c>
      <c r="B1240" t="s">
        <v>50</v>
      </c>
      <c r="C1240" s="4">
        <v>0.85219907407407403</v>
      </c>
      <c r="D1240" s="23">
        <v>0.85912037037037037</v>
      </c>
      <c r="E1240" s="23">
        <v>0.94437499999999996</v>
      </c>
      <c r="F1240" t="s">
        <v>654</v>
      </c>
      <c r="G1240" t="s">
        <v>634</v>
      </c>
      <c r="H1240">
        <v>3</v>
      </c>
      <c r="I1240" s="24">
        <v>9.2175925925925828E-2</v>
      </c>
      <c r="J1240">
        <f t="shared" si="38"/>
        <v>1</v>
      </c>
      <c r="K1240">
        <f t="shared" si="39"/>
        <v>0</v>
      </c>
    </row>
    <row r="1241" spans="1:11" x14ac:dyDescent="0.25">
      <c r="A1241">
        <v>41</v>
      </c>
      <c r="B1241" t="s">
        <v>570</v>
      </c>
      <c r="C1241" s="4">
        <v>0.85219907407407403</v>
      </c>
      <c r="D1241" s="23">
        <v>0.85223379629629625</v>
      </c>
      <c r="E1241" s="23">
        <v>0.94437499999999996</v>
      </c>
      <c r="F1241" t="s">
        <v>655</v>
      </c>
      <c r="G1241" t="s">
        <v>634</v>
      </c>
      <c r="H1241">
        <v>3</v>
      </c>
      <c r="I1241" s="24">
        <v>9.2175925925925828E-2</v>
      </c>
      <c r="J1241">
        <f t="shared" si="38"/>
        <v>1</v>
      </c>
      <c r="K1241">
        <f t="shared" si="39"/>
        <v>0</v>
      </c>
    </row>
    <row r="1242" spans="1:11" x14ac:dyDescent="0.25">
      <c r="A1242">
        <v>42</v>
      </c>
      <c r="B1242" t="s">
        <v>62</v>
      </c>
      <c r="C1242" s="4">
        <v>0.85219907407407403</v>
      </c>
      <c r="D1242" s="23">
        <v>0.85223379629629625</v>
      </c>
      <c r="E1242" s="23">
        <v>0.94437499999999996</v>
      </c>
      <c r="F1242" t="s">
        <v>655</v>
      </c>
      <c r="G1242" t="s">
        <v>634</v>
      </c>
      <c r="H1242">
        <v>3</v>
      </c>
      <c r="I1242" s="24">
        <v>9.2175925925925828E-2</v>
      </c>
      <c r="J1242">
        <f t="shared" si="38"/>
        <v>1</v>
      </c>
      <c r="K1242">
        <f t="shared" si="39"/>
        <v>0</v>
      </c>
    </row>
    <row r="1243" spans="1:11" x14ac:dyDescent="0.25">
      <c r="A1243">
        <v>43</v>
      </c>
      <c r="B1243" t="s">
        <v>516</v>
      </c>
      <c r="C1243" s="4">
        <v>0.85219907407407403</v>
      </c>
      <c r="D1243" s="23">
        <v>0.85912037037037037</v>
      </c>
      <c r="E1243" s="23">
        <v>0.94437499999999996</v>
      </c>
      <c r="F1243" t="s">
        <v>654</v>
      </c>
      <c r="G1243" t="s">
        <v>634</v>
      </c>
      <c r="H1243">
        <v>3</v>
      </c>
      <c r="I1243" s="24">
        <v>9.2175925925925828E-2</v>
      </c>
      <c r="J1243">
        <f t="shared" si="38"/>
        <v>1</v>
      </c>
      <c r="K1243">
        <f t="shared" si="39"/>
        <v>0</v>
      </c>
    </row>
    <row r="1244" spans="1:11" x14ac:dyDescent="0.25">
      <c r="A1244">
        <v>44</v>
      </c>
      <c r="B1244" t="s">
        <v>51</v>
      </c>
      <c r="C1244" s="4">
        <v>0.85219907407407403</v>
      </c>
      <c r="D1244" s="23">
        <v>0.85223379629629625</v>
      </c>
      <c r="E1244" s="23">
        <v>0.94437499999999996</v>
      </c>
      <c r="F1244" t="s">
        <v>655</v>
      </c>
      <c r="G1244" t="s">
        <v>634</v>
      </c>
      <c r="H1244">
        <v>3</v>
      </c>
      <c r="I1244" s="24">
        <v>9.2175925925925828E-2</v>
      </c>
      <c r="J1244">
        <f t="shared" si="38"/>
        <v>1</v>
      </c>
      <c r="K1244">
        <f t="shared" si="39"/>
        <v>0</v>
      </c>
    </row>
    <row r="1245" spans="1:11" x14ac:dyDescent="0.25">
      <c r="A1245">
        <v>45</v>
      </c>
      <c r="B1245" t="s">
        <v>549</v>
      </c>
      <c r="C1245" s="4">
        <v>0.85219907407407403</v>
      </c>
      <c r="D1245" s="23">
        <v>0.85223379629629625</v>
      </c>
      <c r="E1245" s="23">
        <v>0.94437499999999996</v>
      </c>
      <c r="F1245" t="s">
        <v>655</v>
      </c>
      <c r="G1245" t="s">
        <v>634</v>
      </c>
      <c r="H1245">
        <v>3</v>
      </c>
      <c r="I1245" s="24">
        <v>9.2175925925925828E-2</v>
      </c>
      <c r="J1245">
        <f t="shared" si="38"/>
        <v>1</v>
      </c>
      <c r="K1245">
        <f t="shared" si="39"/>
        <v>0</v>
      </c>
    </row>
    <row r="1246" spans="1:11" x14ac:dyDescent="0.25">
      <c r="A1246">
        <v>46</v>
      </c>
      <c r="B1246" t="s">
        <v>53</v>
      </c>
      <c r="C1246" s="4">
        <v>0.85219907407407403</v>
      </c>
      <c r="D1246" s="23">
        <v>0.85223379629629625</v>
      </c>
      <c r="E1246" s="23">
        <v>0.94437499999999996</v>
      </c>
      <c r="F1246" t="s">
        <v>663</v>
      </c>
      <c r="G1246" t="s">
        <v>634</v>
      </c>
      <c r="H1246">
        <v>3</v>
      </c>
      <c r="I1246" s="24">
        <v>9.2175925925925828E-2</v>
      </c>
      <c r="J1246">
        <f t="shared" si="38"/>
        <v>1</v>
      </c>
      <c r="K1246">
        <f t="shared" si="39"/>
        <v>0</v>
      </c>
    </row>
    <row r="1247" spans="1:11" x14ac:dyDescent="0.25">
      <c r="A1247">
        <v>47</v>
      </c>
      <c r="B1247" t="s">
        <v>262</v>
      </c>
      <c r="C1247" s="4">
        <v>0.85219907407407403</v>
      </c>
      <c r="D1247" s="23">
        <v>0.85912037037037037</v>
      </c>
      <c r="E1247" s="23">
        <v>0.94437499999999996</v>
      </c>
      <c r="F1247" t="s">
        <v>654</v>
      </c>
      <c r="G1247" t="s">
        <v>634</v>
      </c>
      <c r="H1247">
        <v>3</v>
      </c>
      <c r="I1247" s="24">
        <v>9.2175925925925828E-2</v>
      </c>
      <c r="J1247">
        <f t="shared" si="38"/>
        <v>1</v>
      </c>
      <c r="K1247">
        <f t="shared" si="39"/>
        <v>0</v>
      </c>
    </row>
    <row r="1248" spans="1:11" x14ac:dyDescent="0.25">
      <c r="A1248">
        <v>48</v>
      </c>
      <c r="B1248" t="s">
        <v>54</v>
      </c>
      <c r="C1248" s="4">
        <v>0.85219907407407403</v>
      </c>
      <c r="D1248" s="23">
        <v>0.85223379629629625</v>
      </c>
      <c r="E1248" s="23">
        <v>0.94437499999999996</v>
      </c>
      <c r="F1248" t="s">
        <v>655</v>
      </c>
      <c r="G1248" t="s">
        <v>634</v>
      </c>
      <c r="H1248">
        <v>3</v>
      </c>
      <c r="I1248" s="24">
        <v>9.2175925925925828E-2</v>
      </c>
      <c r="J1248">
        <f t="shared" si="38"/>
        <v>1</v>
      </c>
      <c r="K1248">
        <f t="shared" si="39"/>
        <v>0</v>
      </c>
    </row>
    <row r="1249" spans="1:11" x14ac:dyDescent="0.25">
      <c r="A1249">
        <v>49</v>
      </c>
      <c r="B1249" t="s">
        <v>470</v>
      </c>
      <c r="C1249" s="4">
        <v>0.85219907407407403</v>
      </c>
      <c r="D1249" s="23">
        <v>0.85912037037037037</v>
      </c>
      <c r="E1249" s="23">
        <v>0.94437499999999996</v>
      </c>
      <c r="F1249" t="s">
        <v>656</v>
      </c>
      <c r="G1249" t="s">
        <v>634</v>
      </c>
      <c r="H1249">
        <v>3</v>
      </c>
      <c r="I1249" s="24">
        <v>9.2175925925925828E-2</v>
      </c>
      <c r="J1249">
        <f t="shared" si="38"/>
        <v>1</v>
      </c>
      <c r="K1249">
        <f t="shared" si="39"/>
        <v>0</v>
      </c>
    </row>
    <row r="1250" spans="1:11" x14ac:dyDescent="0.25">
      <c r="A1250">
        <v>50</v>
      </c>
      <c r="B1250" t="s">
        <v>397</v>
      </c>
      <c r="C1250" s="4">
        <v>0.85219907407407403</v>
      </c>
      <c r="D1250" s="23">
        <v>0.85409722222222217</v>
      </c>
      <c r="E1250" s="23">
        <v>0.94437499999999996</v>
      </c>
      <c r="F1250" t="s">
        <v>434</v>
      </c>
      <c r="G1250" t="s">
        <v>634</v>
      </c>
      <c r="H1250">
        <v>3</v>
      </c>
      <c r="I1250" s="24">
        <v>9.2175925925925828E-2</v>
      </c>
      <c r="J1250">
        <f t="shared" si="38"/>
        <v>1</v>
      </c>
      <c r="K1250">
        <f t="shared" si="39"/>
        <v>0</v>
      </c>
    </row>
    <row r="1251" spans="1:11" x14ac:dyDescent="0.25">
      <c r="A1251">
        <v>51</v>
      </c>
      <c r="B1251" t="s">
        <v>89</v>
      </c>
      <c r="C1251" s="4">
        <v>0.85219907407407403</v>
      </c>
      <c r="D1251" s="23">
        <v>0.85912037037037037</v>
      </c>
      <c r="E1251" s="23">
        <v>0.94437499999999996</v>
      </c>
      <c r="F1251" t="s">
        <v>654</v>
      </c>
      <c r="G1251" t="s">
        <v>634</v>
      </c>
      <c r="H1251">
        <v>3</v>
      </c>
      <c r="I1251" s="24">
        <v>9.2175925925925828E-2</v>
      </c>
      <c r="J1251">
        <f t="shared" si="38"/>
        <v>1</v>
      </c>
      <c r="K1251">
        <f t="shared" si="39"/>
        <v>0</v>
      </c>
    </row>
    <row r="1252" spans="1:11" x14ac:dyDescent="0.25">
      <c r="A1252">
        <v>52</v>
      </c>
      <c r="B1252" t="s">
        <v>348</v>
      </c>
      <c r="C1252" s="4">
        <v>0.85219907407407403</v>
      </c>
      <c r="D1252" s="23">
        <v>0.85912037037037037</v>
      </c>
      <c r="E1252" s="23">
        <v>0.94437499999999996</v>
      </c>
      <c r="F1252" t="s">
        <v>654</v>
      </c>
      <c r="G1252" t="s">
        <v>634</v>
      </c>
      <c r="H1252">
        <v>3</v>
      </c>
      <c r="I1252" s="24">
        <v>9.2175925925925828E-2</v>
      </c>
      <c r="J1252">
        <f t="shared" si="38"/>
        <v>1</v>
      </c>
      <c r="K1252">
        <f t="shared" si="39"/>
        <v>0</v>
      </c>
    </row>
    <row r="1253" spans="1:11" x14ac:dyDescent="0.25">
      <c r="A1253">
        <v>53</v>
      </c>
      <c r="B1253" t="s">
        <v>321</v>
      </c>
      <c r="C1253" s="4">
        <v>0.85219907407407403</v>
      </c>
      <c r="D1253" s="23">
        <v>0.85912037037037037</v>
      </c>
      <c r="E1253" s="23">
        <v>0.94437499999999996</v>
      </c>
      <c r="F1253" t="s">
        <v>654</v>
      </c>
      <c r="G1253" t="s">
        <v>634</v>
      </c>
      <c r="H1253">
        <v>3</v>
      </c>
      <c r="I1253" s="24">
        <v>9.2175925925925828E-2</v>
      </c>
      <c r="J1253">
        <f t="shared" si="38"/>
        <v>1</v>
      </c>
      <c r="K1253">
        <f t="shared" si="39"/>
        <v>0</v>
      </c>
    </row>
    <row r="1254" spans="1:11" x14ac:dyDescent="0.25">
      <c r="A1254">
        <v>1</v>
      </c>
      <c r="B1254" t="s">
        <v>9</v>
      </c>
      <c r="C1254" s="4">
        <v>0.85913194444444441</v>
      </c>
      <c r="D1254" s="23">
        <v>0.85914351851851856</v>
      </c>
      <c r="E1254" s="23">
        <v>0.94839120370370367</v>
      </c>
      <c r="F1254" t="s">
        <v>664</v>
      </c>
      <c r="G1254" t="s">
        <v>634</v>
      </c>
      <c r="H1254">
        <v>2</v>
      </c>
      <c r="I1254" s="24">
        <v>8.9259259259259149E-2</v>
      </c>
      <c r="J1254">
        <f t="shared" ref="J1254:J1315" si="40">IF(AND(H1254&gt;=1,H1254&lt;=7),1,0)</f>
        <v>1</v>
      </c>
      <c r="K1254">
        <f t="shared" ref="K1254:K1315" si="41">IF(AND(H1254&gt;=30,H1254&lt;=36),1,0)</f>
        <v>0</v>
      </c>
    </row>
    <row r="1255" spans="1:11" x14ac:dyDescent="0.25">
      <c r="A1255">
        <v>2</v>
      </c>
      <c r="B1255" t="s">
        <v>11</v>
      </c>
      <c r="C1255" s="4">
        <v>0.85913194444444441</v>
      </c>
      <c r="D1255" s="23">
        <v>0.94695601851851852</v>
      </c>
      <c r="E1255" s="23">
        <v>0.94839120370370367</v>
      </c>
      <c r="F1255" t="s">
        <v>349</v>
      </c>
      <c r="G1255" t="s">
        <v>634</v>
      </c>
      <c r="H1255">
        <v>2</v>
      </c>
      <c r="I1255" s="24">
        <v>8.9259259259259149E-2</v>
      </c>
      <c r="J1255">
        <f t="shared" si="40"/>
        <v>1</v>
      </c>
      <c r="K1255">
        <f t="shared" si="41"/>
        <v>0</v>
      </c>
    </row>
    <row r="1256" spans="1:11" x14ac:dyDescent="0.25">
      <c r="A1256">
        <v>3</v>
      </c>
      <c r="B1256" t="s">
        <v>296</v>
      </c>
      <c r="C1256" s="4">
        <v>0.85913194444444441</v>
      </c>
      <c r="D1256" s="23">
        <v>0.85914351851851856</v>
      </c>
      <c r="E1256" s="23">
        <v>0.94839120370370367</v>
      </c>
      <c r="F1256" t="s">
        <v>295</v>
      </c>
      <c r="G1256" t="s">
        <v>634</v>
      </c>
      <c r="H1256">
        <v>2</v>
      </c>
      <c r="I1256" s="24">
        <v>8.9259259259259149E-2</v>
      </c>
      <c r="J1256">
        <f t="shared" si="40"/>
        <v>1</v>
      </c>
      <c r="K1256">
        <f t="shared" si="41"/>
        <v>0</v>
      </c>
    </row>
    <row r="1257" spans="1:11" x14ac:dyDescent="0.25">
      <c r="A1257">
        <v>4</v>
      </c>
      <c r="B1257" t="s">
        <v>35</v>
      </c>
      <c r="C1257" s="4">
        <v>0.85913194444444441</v>
      </c>
      <c r="D1257" s="23">
        <v>0.85914351851851856</v>
      </c>
      <c r="E1257" s="23">
        <v>0.94839120370370367</v>
      </c>
      <c r="F1257" t="s">
        <v>295</v>
      </c>
      <c r="G1257" t="s">
        <v>634</v>
      </c>
      <c r="H1257">
        <v>2</v>
      </c>
      <c r="I1257" s="24">
        <v>8.9259259259259149E-2</v>
      </c>
      <c r="J1257">
        <f t="shared" si="40"/>
        <v>1</v>
      </c>
      <c r="K1257">
        <f t="shared" si="41"/>
        <v>0</v>
      </c>
    </row>
    <row r="1258" spans="1:11" x14ac:dyDescent="0.25">
      <c r="A1258">
        <v>5</v>
      </c>
      <c r="B1258" t="s">
        <v>636</v>
      </c>
      <c r="C1258" s="4">
        <v>0.85913194444444441</v>
      </c>
      <c r="D1258" s="23">
        <v>0.85914351851851856</v>
      </c>
      <c r="E1258" s="23">
        <v>0.94839120370370367</v>
      </c>
      <c r="F1258" t="s">
        <v>664</v>
      </c>
      <c r="G1258" t="s">
        <v>634</v>
      </c>
      <c r="H1258">
        <v>2</v>
      </c>
      <c r="I1258" s="24">
        <v>8.9259259259259149E-2</v>
      </c>
      <c r="J1258">
        <f t="shared" si="40"/>
        <v>1</v>
      </c>
      <c r="K1258">
        <f t="shared" si="41"/>
        <v>0</v>
      </c>
    </row>
    <row r="1259" spans="1:11" x14ac:dyDescent="0.25">
      <c r="A1259">
        <v>7</v>
      </c>
      <c r="B1259" t="s">
        <v>70</v>
      </c>
      <c r="C1259" s="4">
        <v>0.85913194444444441</v>
      </c>
      <c r="D1259" s="23">
        <v>0.85914351851851856</v>
      </c>
      <c r="E1259" s="23">
        <v>0.94839120370370367</v>
      </c>
      <c r="F1259" t="s">
        <v>295</v>
      </c>
      <c r="G1259" t="s">
        <v>634</v>
      </c>
      <c r="H1259">
        <v>2</v>
      </c>
      <c r="I1259" s="24">
        <v>8.9259259259259149E-2</v>
      </c>
      <c r="J1259">
        <f t="shared" si="40"/>
        <v>1</v>
      </c>
      <c r="K1259">
        <f t="shared" si="41"/>
        <v>0</v>
      </c>
    </row>
    <row r="1260" spans="1:11" x14ac:dyDescent="0.25">
      <c r="A1260">
        <v>8</v>
      </c>
      <c r="B1260" t="s">
        <v>59</v>
      </c>
      <c r="C1260" s="4">
        <v>0.85913194444444441</v>
      </c>
      <c r="D1260" s="23">
        <v>0.85914351851851856</v>
      </c>
      <c r="E1260" s="23">
        <v>0.94839120370370367</v>
      </c>
      <c r="F1260" t="s">
        <v>664</v>
      </c>
      <c r="G1260" t="s">
        <v>634</v>
      </c>
      <c r="H1260">
        <v>2</v>
      </c>
      <c r="I1260" s="24">
        <v>8.9259259259259149E-2</v>
      </c>
      <c r="J1260">
        <f t="shared" si="40"/>
        <v>1</v>
      </c>
      <c r="K1260">
        <f t="shared" si="41"/>
        <v>0</v>
      </c>
    </row>
    <row r="1261" spans="1:11" x14ac:dyDescent="0.25">
      <c r="A1261">
        <v>9</v>
      </c>
      <c r="B1261" t="s">
        <v>181</v>
      </c>
      <c r="C1261" s="4">
        <v>0.85913194444444441</v>
      </c>
      <c r="D1261" s="23">
        <v>0.85914351851851856</v>
      </c>
      <c r="E1261" s="23">
        <v>0.94839120370370367</v>
      </c>
      <c r="F1261" t="s">
        <v>666</v>
      </c>
      <c r="G1261" t="s">
        <v>634</v>
      </c>
      <c r="H1261">
        <v>2</v>
      </c>
      <c r="I1261" s="24">
        <v>8.9259259259259149E-2</v>
      </c>
      <c r="J1261">
        <f t="shared" si="40"/>
        <v>1</v>
      </c>
      <c r="K1261">
        <f t="shared" si="41"/>
        <v>0</v>
      </c>
    </row>
    <row r="1262" spans="1:11" x14ac:dyDescent="0.25">
      <c r="A1262">
        <v>10</v>
      </c>
      <c r="B1262" t="s">
        <v>36</v>
      </c>
      <c r="C1262" s="4">
        <v>0.85913194444444441</v>
      </c>
      <c r="D1262" s="23">
        <v>0.85914351851851856</v>
      </c>
      <c r="E1262" s="23">
        <v>0.94839120370370367</v>
      </c>
      <c r="F1262" t="s">
        <v>295</v>
      </c>
      <c r="G1262" t="s">
        <v>634</v>
      </c>
      <c r="H1262">
        <v>2</v>
      </c>
      <c r="I1262" s="24">
        <v>8.9259259259259149E-2</v>
      </c>
      <c r="J1262">
        <f t="shared" si="40"/>
        <v>1</v>
      </c>
      <c r="K1262">
        <f t="shared" si="41"/>
        <v>0</v>
      </c>
    </row>
    <row r="1263" spans="1:11" x14ac:dyDescent="0.25">
      <c r="A1263">
        <v>11</v>
      </c>
      <c r="B1263" t="s">
        <v>530</v>
      </c>
      <c r="C1263" s="4">
        <v>0.85913194444444441</v>
      </c>
      <c r="D1263" s="23">
        <v>0.85914351851851856</v>
      </c>
      <c r="E1263" s="23">
        <v>0.94839120370370367</v>
      </c>
      <c r="F1263" t="s">
        <v>667</v>
      </c>
      <c r="G1263" t="s">
        <v>634</v>
      </c>
      <c r="H1263">
        <v>2</v>
      </c>
      <c r="I1263" s="24">
        <v>8.9259259259259149E-2</v>
      </c>
      <c r="J1263">
        <f t="shared" si="40"/>
        <v>1</v>
      </c>
      <c r="K1263">
        <f t="shared" si="41"/>
        <v>0</v>
      </c>
    </row>
    <row r="1264" spans="1:11" x14ac:dyDescent="0.25">
      <c r="A1264">
        <v>12</v>
      </c>
      <c r="B1264" t="s">
        <v>208</v>
      </c>
      <c r="C1264" s="4">
        <v>0.85913194444444441</v>
      </c>
      <c r="D1264" s="23">
        <v>0.85914351851851856</v>
      </c>
      <c r="E1264" s="23">
        <v>0.94839120370370367</v>
      </c>
      <c r="F1264" t="s">
        <v>295</v>
      </c>
      <c r="G1264" t="s">
        <v>634</v>
      </c>
      <c r="H1264">
        <v>2</v>
      </c>
      <c r="I1264" s="24">
        <v>8.9259259259259149E-2</v>
      </c>
      <c r="J1264">
        <f t="shared" si="40"/>
        <v>1</v>
      </c>
      <c r="K1264">
        <f t="shared" si="41"/>
        <v>0</v>
      </c>
    </row>
    <row r="1265" spans="1:11" x14ac:dyDescent="0.25">
      <c r="A1265">
        <v>13</v>
      </c>
      <c r="B1265" t="s">
        <v>16</v>
      </c>
      <c r="C1265" s="4">
        <v>0.85913194444444441</v>
      </c>
      <c r="D1265" s="23">
        <v>0.85914351851851856</v>
      </c>
      <c r="E1265" s="23">
        <v>0.94839120370370367</v>
      </c>
      <c r="F1265" t="s">
        <v>664</v>
      </c>
      <c r="G1265" t="s">
        <v>634</v>
      </c>
      <c r="H1265">
        <v>2</v>
      </c>
      <c r="I1265" s="24">
        <v>8.9259259259259149E-2</v>
      </c>
      <c r="J1265">
        <f t="shared" si="40"/>
        <v>1</v>
      </c>
      <c r="K1265">
        <f t="shared" si="41"/>
        <v>0</v>
      </c>
    </row>
    <row r="1266" spans="1:11" x14ac:dyDescent="0.25">
      <c r="A1266">
        <v>14</v>
      </c>
      <c r="B1266" t="s">
        <v>184</v>
      </c>
      <c r="C1266" s="4">
        <v>0.85913194444444441</v>
      </c>
      <c r="D1266" s="23">
        <v>0.85914351851851856</v>
      </c>
      <c r="E1266" s="23">
        <v>0.94839120370370367</v>
      </c>
      <c r="F1266" t="s">
        <v>295</v>
      </c>
      <c r="G1266" t="s">
        <v>634</v>
      </c>
      <c r="H1266">
        <v>2</v>
      </c>
      <c r="I1266" s="24">
        <v>8.9259259259259149E-2</v>
      </c>
      <c r="J1266">
        <f t="shared" si="40"/>
        <v>1</v>
      </c>
      <c r="K1266">
        <f t="shared" si="41"/>
        <v>0</v>
      </c>
    </row>
    <row r="1267" spans="1:11" x14ac:dyDescent="0.25">
      <c r="A1267">
        <v>15</v>
      </c>
      <c r="B1267" t="s">
        <v>534</v>
      </c>
      <c r="C1267" s="4">
        <v>0.85913194444444441</v>
      </c>
      <c r="D1267" s="23">
        <v>0.85914351851851856</v>
      </c>
      <c r="E1267" s="23">
        <v>0.94839120370370367</v>
      </c>
      <c r="F1267" t="s">
        <v>295</v>
      </c>
      <c r="G1267" t="s">
        <v>634</v>
      </c>
      <c r="H1267">
        <v>2</v>
      </c>
      <c r="I1267" s="24">
        <v>8.9259259259259149E-2</v>
      </c>
      <c r="J1267">
        <f t="shared" si="40"/>
        <v>1</v>
      </c>
      <c r="K1267">
        <f t="shared" si="41"/>
        <v>0</v>
      </c>
    </row>
    <row r="1268" spans="1:11" x14ac:dyDescent="0.25">
      <c r="A1268">
        <v>16</v>
      </c>
      <c r="B1268" t="s">
        <v>186</v>
      </c>
      <c r="C1268" s="4">
        <v>0.85913194444444441</v>
      </c>
      <c r="D1268" s="23">
        <v>0.85914351851851856</v>
      </c>
      <c r="E1268" s="23">
        <v>0.94839120370370367</v>
      </c>
      <c r="F1268" t="s">
        <v>295</v>
      </c>
      <c r="G1268" t="s">
        <v>634</v>
      </c>
      <c r="H1268">
        <v>2</v>
      </c>
      <c r="I1268" s="24">
        <v>8.9259259259259149E-2</v>
      </c>
      <c r="J1268">
        <f t="shared" si="40"/>
        <v>1</v>
      </c>
      <c r="K1268">
        <f t="shared" si="41"/>
        <v>0</v>
      </c>
    </row>
    <row r="1269" spans="1:11" x14ac:dyDescent="0.25">
      <c r="A1269">
        <v>17</v>
      </c>
      <c r="B1269" t="s">
        <v>409</v>
      </c>
      <c r="C1269" s="4">
        <v>0.85913194444444441</v>
      </c>
      <c r="D1269" s="23">
        <v>0.85914351851851856</v>
      </c>
      <c r="E1269" s="23">
        <v>0.94839120370370367</v>
      </c>
      <c r="F1269" t="s">
        <v>666</v>
      </c>
      <c r="G1269" t="s">
        <v>634</v>
      </c>
      <c r="H1269">
        <v>2</v>
      </c>
      <c r="I1269" s="24">
        <v>8.9259259259259149E-2</v>
      </c>
      <c r="J1269">
        <f t="shared" si="40"/>
        <v>1</v>
      </c>
      <c r="K1269">
        <f t="shared" si="41"/>
        <v>0</v>
      </c>
    </row>
    <row r="1270" spans="1:11" x14ac:dyDescent="0.25">
      <c r="A1270">
        <v>18</v>
      </c>
      <c r="B1270" t="s">
        <v>538</v>
      </c>
      <c r="C1270" s="4">
        <v>0.85913194444444441</v>
      </c>
      <c r="D1270" s="23">
        <v>0.85914351851851856</v>
      </c>
      <c r="E1270" s="23">
        <v>0.94839120370370367</v>
      </c>
      <c r="F1270" t="s">
        <v>295</v>
      </c>
      <c r="G1270" t="s">
        <v>634</v>
      </c>
      <c r="H1270">
        <v>2</v>
      </c>
      <c r="I1270" s="24">
        <v>8.9259259259259149E-2</v>
      </c>
      <c r="J1270">
        <f t="shared" si="40"/>
        <v>1</v>
      </c>
      <c r="K1270">
        <f t="shared" si="41"/>
        <v>0</v>
      </c>
    </row>
    <row r="1271" spans="1:11" x14ac:dyDescent="0.25">
      <c r="A1271">
        <v>19</v>
      </c>
      <c r="B1271" t="s">
        <v>114</v>
      </c>
      <c r="C1271" s="4">
        <v>0.85913194444444441</v>
      </c>
      <c r="D1271" s="23">
        <v>0.85914351851851856</v>
      </c>
      <c r="E1271" s="23">
        <v>0.94839120370370367</v>
      </c>
      <c r="F1271" t="s">
        <v>295</v>
      </c>
      <c r="G1271" t="s">
        <v>634</v>
      </c>
      <c r="H1271">
        <v>2</v>
      </c>
      <c r="I1271" s="24">
        <v>8.9259259259259149E-2</v>
      </c>
      <c r="J1271">
        <f t="shared" si="40"/>
        <v>1</v>
      </c>
      <c r="K1271">
        <f t="shared" si="41"/>
        <v>0</v>
      </c>
    </row>
    <row r="1272" spans="1:11" x14ac:dyDescent="0.25">
      <c r="A1272">
        <v>20</v>
      </c>
      <c r="B1272" t="s">
        <v>410</v>
      </c>
      <c r="C1272" s="4">
        <v>0.85913194444444441</v>
      </c>
      <c r="D1272" s="23">
        <v>0.85914351851851856</v>
      </c>
      <c r="E1272" s="23">
        <v>0.94839120370370367</v>
      </c>
      <c r="F1272" t="s">
        <v>295</v>
      </c>
      <c r="G1272" t="s">
        <v>634</v>
      </c>
      <c r="H1272">
        <v>2</v>
      </c>
      <c r="I1272" s="24">
        <v>8.9259259259259149E-2</v>
      </c>
      <c r="J1272">
        <f t="shared" si="40"/>
        <v>1</v>
      </c>
      <c r="K1272">
        <f t="shared" si="41"/>
        <v>0</v>
      </c>
    </row>
    <row r="1273" spans="1:11" x14ac:dyDescent="0.25">
      <c r="A1273">
        <v>21</v>
      </c>
      <c r="B1273" t="s">
        <v>668</v>
      </c>
      <c r="C1273" s="4">
        <v>0.85913194444444441</v>
      </c>
      <c r="D1273" s="23">
        <v>0.85914351851851856</v>
      </c>
      <c r="E1273" s="23">
        <v>0.94839120370370367</v>
      </c>
      <c r="F1273" t="s">
        <v>295</v>
      </c>
      <c r="G1273" t="s">
        <v>634</v>
      </c>
      <c r="H1273">
        <v>2</v>
      </c>
      <c r="I1273" s="24">
        <v>8.9259259259259149E-2</v>
      </c>
      <c r="J1273">
        <f t="shared" si="40"/>
        <v>1</v>
      </c>
      <c r="K1273">
        <f t="shared" si="41"/>
        <v>0</v>
      </c>
    </row>
    <row r="1274" spans="1:11" x14ac:dyDescent="0.25">
      <c r="A1274">
        <v>22</v>
      </c>
      <c r="B1274" t="s">
        <v>18</v>
      </c>
      <c r="C1274" s="4">
        <v>0.85913194444444441</v>
      </c>
      <c r="D1274" s="23">
        <v>0.94695601851851852</v>
      </c>
      <c r="E1274" s="23">
        <v>0.94839120370370367</v>
      </c>
      <c r="F1274" t="s">
        <v>669</v>
      </c>
      <c r="G1274" t="s">
        <v>634</v>
      </c>
      <c r="H1274">
        <v>2</v>
      </c>
      <c r="I1274" s="24">
        <v>8.9259259259259149E-2</v>
      </c>
      <c r="J1274">
        <f t="shared" si="40"/>
        <v>1</v>
      </c>
      <c r="K1274">
        <f t="shared" si="41"/>
        <v>0</v>
      </c>
    </row>
    <row r="1275" spans="1:11" x14ac:dyDescent="0.25">
      <c r="A1275">
        <v>23</v>
      </c>
      <c r="B1275" t="s">
        <v>41</v>
      </c>
      <c r="C1275" s="4">
        <v>0.85913194444444441</v>
      </c>
      <c r="D1275" s="23">
        <v>0.85914351851851856</v>
      </c>
      <c r="E1275" s="23">
        <v>0.94839120370370367</v>
      </c>
      <c r="F1275" t="s">
        <v>670</v>
      </c>
      <c r="G1275" t="s">
        <v>634</v>
      </c>
      <c r="H1275">
        <v>2</v>
      </c>
      <c r="I1275" s="24">
        <v>8.9259259259259149E-2</v>
      </c>
      <c r="J1275">
        <f t="shared" si="40"/>
        <v>1</v>
      </c>
      <c r="K1275">
        <f t="shared" si="41"/>
        <v>0</v>
      </c>
    </row>
    <row r="1276" spans="1:11" x14ac:dyDescent="0.25">
      <c r="A1276">
        <v>24</v>
      </c>
      <c r="B1276" t="s">
        <v>506</v>
      </c>
      <c r="C1276" s="4">
        <v>0.85913194444444441</v>
      </c>
      <c r="D1276" s="23">
        <v>0.85914351851851856</v>
      </c>
      <c r="E1276" s="23">
        <v>0.94839120370370367</v>
      </c>
      <c r="F1276" t="s">
        <v>664</v>
      </c>
      <c r="G1276" t="s">
        <v>634</v>
      </c>
      <c r="H1276">
        <v>2</v>
      </c>
      <c r="I1276" s="24">
        <v>8.9259259259259149E-2</v>
      </c>
      <c r="J1276">
        <f t="shared" si="40"/>
        <v>1</v>
      </c>
      <c r="K1276">
        <f t="shared" si="41"/>
        <v>0</v>
      </c>
    </row>
    <row r="1277" spans="1:11" x14ac:dyDescent="0.25">
      <c r="A1277">
        <v>25</v>
      </c>
      <c r="B1277" t="s">
        <v>118</v>
      </c>
      <c r="C1277" s="4">
        <v>0.85913194444444441</v>
      </c>
      <c r="D1277" s="23">
        <v>0.85914351851851856</v>
      </c>
      <c r="E1277" s="23">
        <v>0.94839120370370367</v>
      </c>
      <c r="F1277" t="s">
        <v>295</v>
      </c>
      <c r="G1277" t="s">
        <v>634</v>
      </c>
      <c r="H1277">
        <v>2</v>
      </c>
      <c r="I1277" s="24">
        <v>8.9259259259259149E-2</v>
      </c>
      <c r="J1277">
        <f t="shared" si="40"/>
        <v>1</v>
      </c>
      <c r="K1277">
        <f t="shared" si="41"/>
        <v>0</v>
      </c>
    </row>
    <row r="1278" spans="1:11" x14ac:dyDescent="0.25">
      <c r="A1278">
        <v>26</v>
      </c>
      <c r="B1278" t="s">
        <v>20</v>
      </c>
      <c r="C1278" s="4">
        <v>0.85913194444444441</v>
      </c>
      <c r="D1278" s="23">
        <v>0.85914351851851856</v>
      </c>
      <c r="E1278" s="23">
        <v>0.94839120370370367</v>
      </c>
      <c r="F1278" t="s">
        <v>295</v>
      </c>
      <c r="G1278" t="s">
        <v>634</v>
      </c>
      <c r="H1278">
        <v>2</v>
      </c>
      <c r="I1278" s="24">
        <v>8.9259259259259149E-2</v>
      </c>
      <c r="J1278">
        <f t="shared" si="40"/>
        <v>1</v>
      </c>
      <c r="K1278">
        <f t="shared" si="41"/>
        <v>0</v>
      </c>
    </row>
    <row r="1279" spans="1:11" x14ac:dyDescent="0.25">
      <c r="A1279">
        <v>27</v>
      </c>
      <c r="B1279" t="s">
        <v>43</v>
      </c>
      <c r="C1279" s="4">
        <v>0.85913194444444441</v>
      </c>
      <c r="D1279" s="23">
        <v>0.85914351851851856</v>
      </c>
      <c r="E1279" s="23">
        <v>0.94839120370370367</v>
      </c>
      <c r="F1279" t="s">
        <v>295</v>
      </c>
      <c r="G1279" t="s">
        <v>634</v>
      </c>
      <c r="H1279">
        <v>2</v>
      </c>
      <c r="I1279" s="24">
        <v>8.9259259259259149E-2</v>
      </c>
      <c r="J1279">
        <f t="shared" si="40"/>
        <v>1</v>
      </c>
      <c r="K1279">
        <f t="shared" si="41"/>
        <v>0</v>
      </c>
    </row>
    <row r="1280" spans="1:11" x14ac:dyDescent="0.25">
      <c r="A1280">
        <v>28</v>
      </c>
      <c r="B1280" t="s">
        <v>671</v>
      </c>
      <c r="C1280" s="4">
        <v>0.85913194444444441</v>
      </c>
      <c r="D1280" s="23">
        <v>0.94695601851851852</v>
      </c>
      <c r="E1280" s="23">
        <v>0.94839120370370367</v>
      </c>
      <c r="F1280" t="s">
        <v>672</v>
      </c>
      <c r="G1280" t="s">
        <v>634</v>
      </c>
      <c r="H1280">
        <v>2</v>
      </c>
      <c r="I1280" s="24">
        <v>8.9259259259259149E-2</v>
      </c>
      <c r="J1280">
        <f t="shared" si="40"/>
        <v>1</v>
      </c>
      <c r="K1280">
        <f t="shared" si="41"/>
        <v>0</v>
      </c>
    </row>
    <row r="1281" spans="1:11" x14ac:dyDescent="0.25">
      <c r="A1281">
        <v>29</v>
      </c>
      <c r="B1281" t="s">
        <v>99</v>
      </c>
      <c r="C1281" s="4">
        <v>0.85913194444444441</v>
      </c>
      <c r="D1281" s="23">
        <v>0.85914351851851856</v>
      </c>
      <c r="E1281" s="23">
        <v>0.94839120370370367</v>
      </c>
      <c r="F1281" t="s">
        <v>666</v>
      </c>
      <c r="G1281" t="s">
        <v>634</v>
      </c>
      <c r="H1281">
        <v>2</v>
      </c>
      <c r="I1281" s="24">
        <v>8.9259259259259149E-2</v>
      </c>
      <c r="J1281">
        <f t="shared" si="40"/>
        <v>1</v>
      </c>
      <c r="K1281">
        <f t="shared" si="41"/>
        <v>0</v>
      </c>
    </row>
    <row r="1282" spans="1:11" x14ac:dyDescent="0.25">
      <c r="A1282">
        <v>30</v>
      </c>
      <c r="B1282" t="s">
        <v>156</v>
      </c>
      <c r="C1282" s="4">
        <v>0.85913194444444441</v>
      </c>
      <c r="D1282" s="23">
        <v>0.85914351851851856</v>
      </c>
      <c r="E1282" s="23">
        <v>0.94839120370370367</v>
      </c>
      <c r="F1282" t="s">
        <v>295</v>
      </c>
      <c r="G1282" t="s">
        <v>634</v>
      </c>
      <c r="H1282">
        <v>2</v>
      </c>
      <c r="I1282" s="24">
        <v>8.9259259259259149E-2</v>
      </c>
      <c r="J1282">
        <f t="shared" si="40"/>
        <v>1</v>
      </c>
      <c r="K1282">
        <f t="shared" si="41"/>
        <v>0</v>
      </c>
    </row>
    <row r="1283" spans="1:11" x14ac:dyDescent="0.25">
      <c r="A1283">
        <v>31</v>
      </c>
      <c r="B1283" t="s">
        <v>238</v>
      </c>
      <c r="C1283" s="4">
        <v>0.85913194444444441</v>
      </c>
      <c r="D1283" s="23">
        <v>0.85914351851851856</v>
      </c>
      <c r="E1283" s="23">
        <v>0.94839120370370367</v>
      </c>
      <c r="F1283" t="s">
        <v>295</v>
      </c>
      <c r="G1283" t="s">
        <v>634</v>
      </c>
      <c r="H1283">
        <v>2</v>
      </c>
      <c r="I1283" s="24">
        <v>8.9259259259259149E-2</v>
      </c>
      <c r="J1283">
        <f t="shared" si="40"/>
        <v>1</v>
      </c>
      <c r="K1283">
        <f t="shared" si="41"/>
        <v>0</v>
      </c>
    </row>
    <row r="1284" spans="1:11" x14ac:dyDescent="0.25">
      <c r="A1284">
        <v>32</v>
      </c>
      <c r="B1284" t="s">
        <v>22</v>
      </c>
      <c r="C1284" s="4">
        <v>0.85913194444444441</v>
      </c>
      <c r="D1284" s="23">
        <v>0.85914351851851856</v>
      </c>
      <c r="E1284" s="23">
        <v>0.94839120370370367</v>
      </c>
      <c r="F1284" t="s">
        <v>666</v>
      </c>
      <c r="G1284" t="s">
        <v>634</v>
      </c>
      <c r="H1284">
        <v>2</v>
      </c>
      <c r="I1284" s="24">
        <v>8.9259259259259149E-2</v>
      </c>
      <c r="J1284">
        <f t="shared" si="40"/>
        <v>1</v>
      </c>
      <c r="K1284">
        <f t="shared" si="41"/>
        <v>0</v>
      </c>
    </row>
    <row r="1285" spans="1:11" x14ac:dyDescent="0.25">
      <c r="A1285">
        <v>33</v>
      </c>
      <c r="B1285" t="s">
        <v>61</v>
      </c>
      <c r="C1285" s="4">
        <v>0.85913194444444441</v>
      </c>
      <c r="D1285" s="23">
        <v>0.85914351851851856</v>
      </c>
      <c r="E1285" s="23">
        <v>0.94839120370370367</v>
      </c>
      <c r="F1285" t="s">
        <v>295</v>
      </c>
      <c r="G1285" t="s">
        <v>634</v>
      </c>
      <c r="H1285">
        <v>2</v>
      </c>
      <c r="I1285" s="24">
        <v>8.9259259259259149E-2</v>
      </c>
      <c r="J1285">
        <f t="shared" si="40"/>
        <v>1</v>
      </c>
      <c r="K1285">
        <f t="shared" si="41"/>
        <v>0</v>
      </c>
    </row>
    <row r="1286" spans="1:11" x14ac:dyDescent="0.25">
      <c r="A1286">
        <v>34</v>
      </c>
      <c r="B1286" t="s">
        <v>46</v>
      </c>
      <c r="C1286" s="4">
        <v>0.85913194444444441</v>
      </c>
      <c r="D1286" s="23">
        <v>0.85914351851851856</v>
      </c>
      <c r="E1286" s="23">
        <v>0.94839120370370367</v>
      </c>
      <c r="F1286" t="s">
        <v>664</v>
      </c>
      <c r="G1286" t="s">
        <v>634</v>
      </c>
      <c r="H1286">
        <v>2</v>
      </c>
      <c r="I1286" s="24">
        <v>8.9259259259259149E-2</v>
      </c>
      <c r="J1286">
        <f t="shared" si="40"/>
        <v>1</v>
      </c>
      <c r="K1286">
        <f t="shared" si="41"/>
        <v>0</v>
      </c>
    </row>
    <row r="1287" spans="1:11" x14ac:dyDescent="0.25">
      <c r="A1287">
        <v>35</v>
      </c>
      <c r="B1287" t="s">
        <v>23</v>
      </c>
      <c r="C1287" s="4">
        <v>0.85913194444444441</v>
      </c>
      <c r="D1287" s="23">
        <v>0.85914351851851856</v>
      </c>
      <c r="E1287" s="23">
        <v>0.94839120370370367</v>
      </c>
      <c r="F1287" t="s">
        <v>673</v>
      </c>
      <c r="G1287" t="s">
        <v>634</v>
      </c>
      <c r="H1287">
        <v>2</v>
      </c>
      <c r="I1287" s="24">
        <v>8.9259259259259149E-2</v>
      </c>
      <c r="J1287">
        <f t="shared" si="40"/>
        <v>1</v>
      </c>
      <c r="K1287">
        <f t="shared" si="41"/>
        <v>0</v>
      </c>
    </row>
    <row r="1288" spans="1:11" x14ac:dyDescent="0.25">
      <c r="A1288">
        <v>36</v>
      </c>
      <c r="B1288" t="s">
        <v>511</v>
      </c>
      <c r="C1288" s="4">
        <v>0.85913194444444441</v>
      </c>
      <c r="D1288" s="23">
        <v>0.85914351851851856</v>
      </c>
      <c r="E1288" s="23">
        <v>0.94839120370370367</v>
      </c>
      <c r="F1288" t="s">
        <v>674</v>
      </c>
      <c r="G1288" t="s">
        <v>634</v>
      </c>
      <c r="H1288">
        <v>2</v>
      </c>
      <c r="I1288" s="24">
        <v>8.9259259259259149E-2</v>
      </c>
      <c r="J1288">
        <f t="shared" si="40"/>
        <v>1</v>
      </c>
      <c r="K1288">
        <f t="shared" si="41"/>
        <v>0</v>
      </c>
    </row>
    <row r="1289" spans="1:11" x14ac:dyDescent="0.25">
      <c r="A1289">
        <v>37</v>
      </c>
      <c r="B1289" t="s">
        <v>546</v>
      </c>
      <c r="C1289" s="4">
        <v>0.85913194444444441</v>
      </c>
      <c r="D1289" s="23">
        <v>0.85914351851851856</v>
      </c>
      <c r="E1289" s="23">
        <v>0.94839120370370367</v>
      </c>
      <c r="F1289" t="s">
        <v>295</v>
      </c>
      <c r="G1289" t="s">
        <v>634</v>
      </c>
      <c r="H1289">
        <v>2</v>
      </c>
      <c r="I1289" s="24">
        <v>8.9259259259259149E-2</v>
      </c>
      <c r="J1289">
        <f t="shared" si="40"/>
        <v>1</v>
      </c>
      <c r="K1289">
        <f t="shared" si="41"/>
        <v>0</v>
      </c>
    </row>
    <row r="1290" spans="1:11" x14ac:dyDescent="0.25">
      <c r="A1290">
        <v>38</v>
      </c>
      <c r="B1290" t="s">
        <v>193</v>
      </c>
      <c r="C1290" s="4">
        <v>0.85913194444444441</v>
      </c>
      <c r="D1290" s="23">
        <v>0.85914351851851856</v>
      </c>
      <c r="E1290" s="23">
        <v>0.94839120370370367</v>
      </c>
      <c r="F1290" t="s">
        <v>295</v>
      </c>
      <c r="G1290" t="s">
        <v>634</v>
      </c>
      <c r="H1290">
        <v>2</v>
      </c>
      <c r="I1290" s="24">
        <v>8.9259259259259149E-2</v>
      </c>
      <c r="J1290">
        <f t="shared" si="40"/>
        <v>1</v>
      </c>
      <c r="K1290">
        <f t="shared" si="41"/>
        <v>0</v>
      </c>
    </row>
    <row r="1291" spans="1:11" x14ac:dyDescent="0.25">
      <c r="A1291">
        <v>39</v>
      </c>
      <c r="B1291" t="s">
        <v>213</v>
      </c>
      <c r="C1291" s="4">
        <v>0.85913194444444441</v>
      </c>
      <c r="D1291" s="23">
        <v>0.85914351851851856</v>
      </c>
      <c r="E1291" s="23">
        <v>0.94839120370370367</v>
      </c>
      <c r="F1291" t="s">
        <v>295</v>
      </c>
      <c r="G1291" t="s">
        <v>634</v>
      </c>
      <c r="H1291">
        <v>2</v>
      </c>
      <c r="I1291" s="24">
        <v>8.9259259259259149E-2</v>
      </c>
      <c r="J1291">
        <f t="shared" si="40"/>
        <v>1</v>
      </c>
      <c r="K1291">
        <f t="shared" si="41"/>
        <v>0</v>
      </c>
    </row>
    <row r="1292" spans="1:11" x14ac:dyDescent="0.25">
      <c r="A1292">
        <v>40</v>
      </c>
      <c r="B1292" t="s">
        <v>50</v>
      </c>
      <c r="C1292" s="4">
        <v>0.85913194444444441</v>
      </c>
      <c r="D1292" s="23">
        <v>0.85914351851851856</v>
      </c>
      <c r="E1292" s="23">
        <v>0.94839120370370367</v>
      </c>
      <c r="F1292" t="s">
        <v>295</v>
      </c>
      <c r="G1292" t="s">
        <v>634</v>
      </c>
      <c r="H1292">
        <v>2</v>
      </c>
      <c r="I1292" s="24">
        <v>8.9259259259259149E-2</v>
      </c>
      <c r="J1292">
        <f t="shared" si="40"/>
        <v>1</v>
      </c>
      <c r="K1292">
        <f t="shared" si="41"/>
        <v>0</v>
      </c>
    </row>
    <row r="1293" spans="1:11" x14ac:dyDescent="0.25">
      <c r="A1293">
        <v>41</v>
      </c>
      <c r="B1293" t="s">
        <v>570</v>
      </c>
      <c r="C1293" s="4">
        <v>0.85913194444444441</v>
      </c>
      <c r="D1293" s="23">
        <v>0.85914351851851856</v>
      </c>
      <c r="E1293" s="23">
        <v>0.94839120370370367</v>
      </c>
      <c r="F1293" t="s">
        <v>666</v>
      </c>
      <c r="G1293" t="s">
        <v>634</v>
      </c>
      <c r="H1293">
        <v>2</v>
      </c>
      <c r="I1293" s="24">
        <v>8.9259259259259149E-2</v>
      </c>
      <c r="J1293">
        <f t="shared" si="40"/>
        <v>1</v>
      </c>
      <c r="K1293">
        <f t="shared" si="41"/>
        <v>0</v>
      </c>
    </row>
    <row r="1294" spans="1:11" x14ac:dyDescent="0.25">
      <c r="A1294">
        <v>42</v>
      </c>
      <c r="B1294" t="s">
        <v>62</v>
      </c>
      <c r="C1294" s="4">
        <v>0.85913194444444441</v>
      </c>
      <c r="D1294" s="23">
        <v>0.85914351851851856</v>
      </c>
      <c r="E1294" s="23">
        <v>0.94839120370370367</v>
      </c>
      <c r="F1294" t="s">
        <v>295</v>
      </c>
      <c r="G1294" t="s">
        <v>634</v>
      </c>
      <c r="H1294">
        <v>2</v>
      </c>
      <c r="I1294" s="24">
        <v>8.9259259259259149E-2</v>
      </c>
      <c r="J1294">
        <f t="shared" si="40"/>
        <v>1</v>
      </c>
      <c r="K1294">
        <f t="shared" si="41"/>
        <v>0</v>
      </c>
    </row>
    <row r="1295" spans="1:11" x14ac:dyDescent="0.25">
      <c r="A1295">
        <v>43</v>
      </c>
      <c r="B1295" t="s">
        <v>516</v>
      </c>
      <c r="C1295" s="4">
        <v>0.85913194444444441</v>
      </c>
      <c r="D1295" s="23">
        <v>0.85914351851851856</v>
      </c>
      <c r="E1295" s="23">
        <v>0.94839120370370367</v>
      </c>
      <c r="F1295" t="s">
        <v>295</v>
      </c>
      <c r="G1295" t="s">
        <v>634</v>
      </c>
      <c r="H1295">
        <v>2</v>
      </c>
      <c r="I1295" s="24">
        <v>8.9259259259259149E-2</v>
      </c>
      <c r="J1295">
        <f t="shared" si="40"/>
        <v>1</v>
      </c>
      <c r="K1295">
        <f t="shared" si="41"/>
        <v>0</v>
      </c>
    </row>
    <row r="1296" spans="1:11" x14ac:dyDescent="0.25">
      <c r="A1296">
        <v>44</v>
      </c>
      <c r="B1296" t="s">
        <v>51</v>
      </c>
      <c r="C1296" s="4">
        <v>0.85913194444444441</v>
      </c>
      <c r="D1296" s="23">
        <v>0.85914351851851856</v>
      </c>
      <c r="E1296" s="23">
        <v>0.94839120370370367</v>
      </c>
      <c r="F1296" t="s">
        <v>295</v>
      </c>
      <c r="G1296" t="s">
        <v>634</v>
      </c>
      <c r="H1296">
        <v>2</v>
      </c>
      <c r="I1296" s="24">
        <v>8.9259259259259149E-2</v>
      </c>
      <c r="J1296">
        <f t="shared" si="40"/>
        <v>1</v>
      </c>
      <c r="K1296">
        <f t="shared" si="41"/>
        <v>0</v>
      </c>
    </row>
    <row r="1297" spans="1:11" x14ac:dyDescent="0.25">
      <c r="A1297">
        <v>45</v>
      </c>
      <c r="B1297" t="s">
        <v>83</v>
      </c>
      <c r="C1297" s="4">
        <v>0.85913194444444441</v>
      </c>
      <c r="D1297" s="23">
        <v>0.85914351851851856</v>
      </c>
      <c r="E1297" s="23">
        <v>0.94839120370370367</v>
      </c>
      <c r="F1297" t="s">
        <v>295</v>
      </c>
      <c r="G1297" t="s">
        <v>634</v>
      </c>
      <c r="H1297">
        <v>2</v>
      </c>
      <c r="I1297" s="24">
        <v>8.9259259259259149E-2</v>
      </c>
      <c r="J1297">
        <f t="shared" si="40"/>
        <v>1</v>
      </c>
      <c r="K1297">
        <f t="shared" si="41"/>
        <v>0</v>
      </c>
    </row>
    <row r="1298" spans="1:11" x14ac:dyDescent="0.25">
      <c r="A1298">
        <v>46</v>
      </c>
      <c r="B1298" t="s">
        <v>85</v>
      </c>
      <c r="C1298" s="4">
        <v>0.85913194444444441</v>
      </c>
      <c r="D1298" s="23">
        <v>0.85914351851851856</v>
      </c>
      <c r="E1298" s="23">
        <v>0.94839120370370367</v>
      </c>
      <c r="F1298" t="s">
        <v>295</v>
      </c>
      <c r="G1298" t="s">
        <v>634</v>
      </c>
      <c r="H1298">
        <v>2</v>
      </c>
      <c r="I1298" s="24">
        <v>8.9259259259259149E-2</v>
      </c>
      <c r="J1298">
        <f t="shared" si="40"/>
        <v>1</v>
      </c>
      <c r="K1298">
        <f t="shared" si="41"/>
        <v>0</v>
      </c>
    </row>
    <row r="1299" spans="1:11" x14ac:dyDescent="0.25">
      <c r="A1299">
        <v>47</v>
      </c>
      <c r="B1299" t="s">
        <v>53</v>
      </c>
      <c r="C1299" s="4">
        <v>0.85913194444444441</v>
      </c>
      <c r="D1299" s="23">
        <v>0.85914351851851856</v>
      </c>
      <c r="E1299" s="23">
        <v>0.94839120370370367</v>
      </c>
      <c r="F1299" t="s">
        <v>664</v>
      </c>
      <c r="G1299" t="s">
        <v>634</v>
      </c>
      <c r="H1299">
        <v>2</v>
      </c>
      <c r="I1299" s="24">
        <v>8.9259259259259149E-2</v>
      </c>
      <c r="J1299">
        <f t="shared" si="40"/>
        <v>1</v>
      </c>
      <c r="K1299">
        <f t="shared" si="41"/>
        <v>0</v>
      </c>
    </row>
    <row r="1300" spans="1:11" x14ac:dyDescent="0.25">
      <c r="A1300">
        <v>48</v>
      </c>
      <c r="B1300" t="s">
        <v>54</v>
      </c>
      <c r="C1300" s="4">
        <v>0.85913194444444441</v>
      </c>
      <c r="D1300" s="23">
        <v>0.85914351851851856</v>
      </c>
      <c r="E1300" s="23">
        <v>0.94839120370370367</v>
      </c>
      <c r="F1300" t="s">
        <v>295</v>
      </c>
      <c r="G1300" t="s">
        <v>634</v>
      </c>
      <c r="H1300">
        <v>2</v>
      </c>
      <c r="I1300" s="24">
        <v>8.9259259259259149E-2</v>
      </c>
      <c r="J1300">
        <f t="shared" si="40"/>
        <v>1</v>
      </c>
      <c r="K1300">
        <f t="shared" si="41"/>
        <v>0</v>
      </c>
    </row>
    <row r="1301" spans="1:11" x14ac:dyDescent="0.25">
      <c r="A1301">
        <v>49</v>
      </c>
      <c r="B1301" t="s">
        <v>470</v>
      </c>
      <c r="C1301" s="4">
        <v>0.85913194444444441</v>
      </c>
      <c r="D1301" s="23">
        <v>0.85914351851851856</v>
      </c>
      <c r="E1301" s="23">
        <v>0.94839120370370367</v>
      </c>
      <c r="F1301" t="s">
        <v>295</v>
      </c>
      <c r="G1301" t="s">
        <v>634</v>
      </c>
      <c r="H1301">
        <v>2</v>
      </c>
      <c r="I1301" s="24">
        <v>8.9259259259259149E-2</v>
      </c>
      <c r="J1301">
        <f t="shared" si="40"/>
        <v>1</v>
      </c>
      <c r="K1301">
        <f t="shared" si="41"/>
        <v>0</v>
      </c>
    </row>
    <row r="1302" spans="1:11" x14ac:dyDescent="0.25">
      <c r="A1302">
        <v>50</v>
      </c>
      <c r="B1302" t="s">
        <v>397</v>
      </c>
      <c r="C1302" s="4">
        <v>0.85913194444444441</v>
      </c>
      <c r="D1302" s="23">
        <v>0.85914351851851856</v>
      </c>
      <c r="E1302" s="23">
        <v>0.94839120370370367</v>
      </c>
      <c r="F1302" t="s">
        <v>295</v>
      </c>
      <c r="G1302" t="s">
        <v>634</v>
      </c>
      <c r="H1302">
        <v>2</v>
      </c>
      <c r="I1302" s="24">
        <v>8.9259259259259149E-2</v>
      </c>
      <c r="J1302">
        <f t="shared" si="40"/>
        <v>1</v>
      </c>
      <c r="K1302">
        <f t="shared" si="41"/>
        <v>0</v>
      </c>
    </row>
    <row r="1303" spans="1:11" x14ac:dyDescent="0.25">
      <c r="A1303">
        <v>51</v>
      </c>
      <c r="B1303" t="s">
        <v>89</v>
      </c>
      <c r="C1303" s="4">
        <v>0.85913194444444441</v>
      </c>
      <c r="D1303" s="23">
        <v>0.85914351851851856</v>
      </c>
      <c r="E1303" s="23">
        <v>0.94839120370370367</v>
      </c>
      <c r="F1303" t="s">
        <v>664</v>
      </c>
      <c r="G1303" t="s">
        <v>634</v>
      </c>
      <c r="H1303">
        <v>2</v>
      </c>
      <c r="I1303" s="24">
        <v>8.9259259259259149E-2</v>
      </c>
      <c r="J1303">
        <f t="shared" si="40"/>
        <v>1</v>
      </c>
      <c r="K1303">
        <f t="shared" si="41"/>
        <v>0</v>
      </c>
    </row>
    <row r="1304" spans="1:11" x14ac:dyDescent="0.25">
      <c r="A1304">
        <v>52</v>
      </c>
      <c r="B1304" t="s">
        <v>321</v>
      </c>
      <c r="C1304" s="4">
        <v>0.85913194444444441</v>
      </c>
      <c r="D1304" s="23">
        <v>0.85914351851851856</v>
      </c>
      <c r="E1304" s="23">
        <v>0.94839120370370367</v>
      </c>
      <c r="F1304" t="s">
        <v>295</v>
      </c>
      <c r="G1304" t="s">
        <v>634</v>
      </c>
      <c r="H1304">
        <v>2</v>
      </c>
      <c r="I1304" s="24">
        <v>8.9259259259259149E-2</v>
      </c>
      <c r="J1304">
        <f t="shared" si="40"/>
        <v>1</v>
      </c>
      <c r="K1304">
        <f t="shared" si="41"/>
        <v>0</v>
      </c>
    </row>
    <row r="1305" spans="1:11" x14ac:dyDescent="0.25">
      <c r="A1305">
        <v>53</v>
      </c>
      <c r="B1305" t="s">
        <v>55</v>
      </c>
      <c r="C1305" s="4">
        <v>0.85913194444444441</v>
      </c>
      <c r="D1305" s="23">
        <v>0.85914351851851856</v>
      </c>
      <c r="E1305" s="23">
        <v>0.94839120370370367</v>
      </c>
      <c r="F1305" t="s">
        <v>295</v>
      </c>
      <c r="G1305" t="s">
        <v>634</v>
      </c>
      <c r="H1305">
        <v>2</v>
      </c>
      <c r="I1305" s="24">
        <v>8.9259259259259149E-2</v>
      </c>
      <c r="J1305">
        <f t="shared" si="40"/>
        <v>1</v>
      </c>
      <c r="K1305">
        <f t="shared" si="41"/>
        <v>0</v>
      </c>
    </row>
    <row r="1306" spans="1:11" x14ac:dyDescent="0.25">
      <c r="A1306">
        <v>1</v>
      </c>
      <c r="B1306" t="s">
        <v>29</v>
      </c>
      <c r="C1306" s="4">
        <v>0.8538310185185185</v>
      </c>
      <c r="D1306" s="23">
        <v>0.85576388888888888</v>
      </c>
      <c r="E1306" s="23">
        <v>0.93270833333333336</v>
      </c>
      <c r="F1306" t="s">
        <v>675</v>
      </c>
      <c r="G1306" t="s">
        <v>634</v>
      </c>
      <c r="H1306">
        <v>1</v>
      </c>
      <c r="I1306" s="24">
        <v>7.8877314814814747E-2</v>
      </c>
      <c r="J1306">
        <f t="shared" si="40"/>
        <v>1</v>
      </c>
      <c r="K1306">
        <f t="shared" si="41"/>
        <v>0</v>
      </c>
    </row>
    <row r="1307" spans="1:11" x14ac:dyDescent="0.25">
      <c r="A1307">
        <v>2</v>
      </c>
      <c r="B1307" t="s">
        <v>5</v>
      </c>
      <c r="C1307" s="4">
        <v>0.8538310185185185</v>
      </c>
      <c r="D1307" s="23">
        <v>0.93206018518518519</v>
      </c>
      <c r="E1307" s="23">
        <v>0.93270833333333336</v>
      </c>
      <c r="F1307" t="s">
        <v>677</v>
      </c>
      <c r="G1307" t="s">
        <v>634</v>
      </c>
      <c r="H1307">
        <v>1</v>
      </c>
      <c r="I1307" s="24">
        <v>0.93270833333333325</v>
      </c>
      <c r="J1307">
        <f t="shared" si="40"/>
        <v>1</v>
      </c>
      <c r="K1307">
        <f t="shared" si="41"/>
        <v>0</v>
      </c>
    </row>
    <row r="1308" spans="1:11" x14ac:dyDescent="0.25">
      <c r="A1308">
        <v>3</v>
      </c>
      <c r="B1308" t="s">
        <v>11</v>
      </c>
      <c r="C1308" s="4">
        <v>0.8538310185185185</v>
      </c>
      <c r="D1308" s="23">
        <v>0.87412037037037038</v>
      </c>
      <c r="E1308" s="23">
        <v>0.93270833333333336</v>
      </c>
      <c r="F1308" t="s">
        <v>678</v>
      </c>
      <c r="G1308" t="s">
        <v>634</v>
      </c>
      <c r="H1308">
        <v>1</v>
      </c>
      <c r="I1308" s="24">
        <v>7.8877314814814747E-2</v>
      </c>
      <c r="J1308">
        <f t="shared" si="40"/>
        <v>1</v>
      </c>
      <c r="K1308">
        <f t="shared" si="41"/>
        <v>0</v>
      </c>
    </row>
    <row r="1309" spans="1:11" x14ac:dyDescent="0.25">
      <c r="A1309">
        <v>4</v>
      </c>
      <c r="B1309" t="s">
        <v>296</v>
      </c>
      <c r="C1309" s="4">
        <v>0.8538310185185185</v>
      </c>
      <c r="D1309" s="23">
        <v>0.85386574074074073</v>
      </c>
      <c r="E1309" s="23">
        <v>0.93270833333333336</v>
      </c>
      <c r="F1309" t="s">
        <v>679</v>
      </c>
      <c r="G1309" t="s">
        <v>634</v>
      </c>
      <c r="H1309">
        <v>1</v>
      </c>
      <c r="I1309" s="24">
        <v>7.8877314814814747E-2</v>
      </c>
      <c r="J1309">
        <f t="shared" si="40"/>
        <v>1</v>
      </c>
      <c r="K1309">
        <f t="shared" si="41"/>
        <v>0</v>
      </c>
    </row>
    <row r="1310" spans="1:11" x14ac:dyDescent="0.25">
      <c r="A1310">
        <v>5</v>
      </c>
      <c r="B1310" t="s">
        <v>35</v>
      </c>
      <c r="C1310" s="4">
        <v>0.8538310185185185</v>
      </c>
      <c r="D1310" s="23">
        <v>0.85386574074074073</v>
      </c>
      <c r="E1310" s="23">
        <v>0.93270833333333336</v>
      </c>
      <c r="F1310" t="s">
        <v>679</v>
      </c>
      <c r="G1310" t="s">
        <v>634</v>
      </c>
      <c r="H1310">
        <v>1</v>
      </c>
      <c r="I1310" s="24">
        <v>7.8877314814814747E-2</v>
      </c>
      <c r="J1310">
        <f t="shared" si="40"/>
        <v>1</v>
      </c>
      <c r="K1310">
        <f t="shared" si="41"/>
        <v>0</v>
      </c>
    </row>
    <row r="1311" spans="1:11" x14ac:dyDescent="0.25">
      <c r="A1311">
        <v>7</v>
      </c>
      <c r="B1311" t="s">
        <v>70</v>
      </c>
      <c r="C1311" s="4">
        <v>0.8538310185185185</v>
      </c>
      <c r="D1311" s="23">
        <v>0.85386574074074073</v>
      </c>
      <c r="E1311" s="23">
        <v>0.93270833333333336</v>
      </c>
      <c r="F1311" t="s">
        <v>679</v>
      </c>
      <c r="G1311" t="s">
        <v>634</v>
      </c>
      <c r="H1311">
        <v>1</v>
      </c>
      <c r="I1311" s="24">
        <v>7.8877314814814747E-2</v>
      </c>
      <c r="J1311">
        <f t="shared" si="40"/>
        <v>1</v>
      </c>
      <c r="K1311">
        <f t="shared" si="41"/>
        <v>0</v>
      </c>
    </row>
    <row r="1312" spans="1:11" x14ac:dyDescent="0.25">
      <c r="A1312">
        <v>8</v>
      </c>
      <c r="B1312" t="s">
        <v>59</v>
      </c>
      <c r="C1312" s="4">
        <v>0.8538310185185185</v>
      </c>
      <c r="D1312" s="23">
        <v>0.85386574074074073</v>
      </c>
      <c r="E1312" s="23">
        <v>0.93270833333333336</v>
      </c>
      <c r="F1312" t="s">
        <v>681</v>
      </c>
      <c r="G1312" t="s">
        <v>634</v>
      </c>
      <c r="H1312">
        <v>1</v>
      </c>
      <c r="I1312" s="24">
        <v>7.8877314814814747E-2</v>
      </c>
      <c r="J1312">
        <f t="shared" si="40"/>
        <v>1</v>
      </c>
      <c r="K1312">
        <f t="shared" si="41"/>
        <v>0</v>
      </c>
    </row>
    <row r="1313" spans="1:11" x14ac:dyDescent="0.25">
      <c r="A1313">
        <v>9</v>
      </c>
      <c r="B1313" t="s">
        <v>380</v>
      </c>
      <c r="C1313" s="4">
        <v>0.8538310185185185</v>
      </c>
      <c r="D1313" s="23">
        <v>0.85386574074074073</v>
      </c>
      <c r="E1313" s="23">
        <v>0.93270833333333336</v>
      </c>
      <c r="F1313" t="s">
        <v>682</v>
      </c>
      <c r="G1313" t="s">
        <v>634</v>
      </c>
      <c r="H1313">
        <v>1</v>
      </c>
      <c r="I1313" s="24">
        <v>7.8877314814814747E-2</v>
      </c>
      <c r="J1313">
        <f t="shared" si="40"/>
        <v>1</v>
      </c>
      <c r="K1313">
        <f t="shared" si="41"/>
        <v>0</v>
      </c>
    </row>
    <row r="1314" spans="1:11" x14ac:dyDescent="0.25">
      <c r="A1314">
        <v>10</v>
      </c>
      <c r="B1314" t="s">
        <v>181</v>
      </c>
      <c r="C1314" s="4">
        <v>0.8538310185185185</v>
      </c>
      <c r="D1314" s="23">
        <v>0.85386574074074073</v>
      </c>
      <c r="E1314" s="23">
        <v>0.93270833333333336</v>
      </c>
      <c r="F1314" t="s">
        <v>679</v>
      </c>
      <c r="G1314" t="s">
        <v>634</v>
      </c>
      <c r="H1314">
        <v>1</v>
      </c>
      <c r="I1314" s="24">
        <v>7.8877314814814747E-2</v>
      </c>
      <c r="J1314">
        <f t="shared" si="40"/>
        <v>1</v>
      </c>
      <c r="K1314">
        <f t="shared" si="41"/>
        <v>0</v>
      </c>
    </row>
    <row r="1315" spans="1:11" x14ac:dyDescent="0.25">
      <c r="A1315">
        <v>11</v>
      </c>
      <c r="B1315" t="s">
        <v>36</v>
      </c>
      <c r="C1315" s="4">
        <v>0.8538310185185185</v>
      </c>
      <c r="D1315" s="23">
        <v>0.85465277777777782</v>
      </c>
      <c r="E1315" s="23">
        <v>0.93270833333333336</v>
      </c>
      <c r="F1315" t="s">
        <v>683</v>
      </c>
      <c r="G1315" t="s">
        <v>634</v>
      </c>
      <c r="H1315">
        <v>1</v>
      </c>
      <c r="I1315" s="24">
        <v>7.8877314814814747E-2</v>
      </c>
      <c r="J1315">
        <f t="shared" si="40"/>
        <v>1</v>
      </c>
      <c r="K1315">
        <f t="shared" si="41"/>
        <v>0</v>
      </c>
    </row>
    <row r="1316" spans="1:11" x14ac:dyDescent="0.25">
      <c r="A1316">
        <v>12</v>
      </c>
      <c r="B1316" t="s">
        <v>530</v>
      </c>
      <c r="C1316" s="4">
        <v>0.8538310185185185</v>
      </c>
      <c r="D1316" s="23">
        <v>0.85386574074074073</v>
      </c>
      <c r="E1316" s="23">
        <v>0.93270833333333336</v>
      </c>
      <c r="F1316" t="s">
        <v>684</v>
      </c>
      <c r="G1316" t="s">
        <v>634</v>
      </c>
      <c r="H1316">
        <v>1</v>
      </c>
      <c r="I1316" s="24">
        <v>7.8877314814814747E-2</v>
      </c>
      <c r="J1316">
        <f t="shared" ref="J1316:J1364" si="42">IF(AND(H1316&gt;=1,H1316&lt;=7),1,0)</f>
        <v>1</v>
      </c>
      <c r="K1316">
        <f t="shared" ref="K1316:K1364" si="43">IF(AND(H1316&gt;=30,H1316&lt;=36),1,0)</f>
        <v>0</v>
      </c>
    </row>
    <row r="1317" spans="1:11" x14ac:dyDescent="0.25">
      <c r="A1317">
        <v>13</v>
      </c>
      <c r="B1317" t="s">
        <v>208</v>
      </c>
      <c r="C1317" s="4">
        <v>0.8538310185185185</v>
      </c>
      <c r="D1317" s="23">
        <v>0.85386574074074073</v>
      </c>
      <c r="E1317" s="23">
        <v>0.93270833333333336</v>
      </c>
      <c r="F1317" t="s">
        <v>685</v>
      </c>
      <c r="G1317" t="s">
        <v>634</v>
      </c>
      <c r="H1317">
        <v>1</v>
      </c>
      <c r="I1317" s="24">
        <v>7.8877314814814747E-2</v>
      </c>
      <c r="J1317">
        <f t="shared" si="42"/>
        <v>1</v>
      </c>
      <c r="K1317">
        <f t="shared" si="43"/>
        <v>0</v>
      </c>
    </row>
    <row r="1318" spans="1:11" x14ac:dyDescent="0.25">
      <c r="A1318">
        <v>14</v>
      </c>
      <c r="B1318" t="s">
        <v>222</v>
      </c>
      <c r="C1318" s="4">
        <v>0.8538310185185185</v>
      </c>
      <c r="D1318" s="23">
        <v>0.85386574074074073</v>
      </c>
      <c r="E1318" s="23">
        <v>0.93270833333333336</v>
      </c>
      <c r="F1318" t="s">
        <v>679</v>
      </c>
      <c r="G1318" t="s">
        <v>634</v>
      </c>
      <c r="H1318">
        <v>1</v>
      </c>
      <c r="I1318" s="24">
        <v>7.8877314814814747E-2</v>
      </c>
      <c r="J1318">
        <f t="shared" si="42"/>
        <v>1</v>
      </c>
      <c r="K1318">
        <f t="shared" si="43"/>
        <v>0</v>
      </c>
    </row>
    <row r="1319" spans="1:11" x14ac:dyDescent="0.25">
      <c r="A1319">
        <v>15</v>
      </c>
      <c r="B1319" t="s">
        <v>16</v>
      </c>
      <c r="C1319" s="4">
        <v>0.8538310185185185</v>
      </c>
      <c r="D1319" s="23">
        <v>0.85386574074074073</v>
      </c>
      <c r="E1319" s="23">
        <v>0.93270833333333336</v>
      </c>
      <c r="F1319" t="s">
        <v>680</v>
      </c>
      <c r="G1319" t="s">
        <v>634</v>
      </c>
      <c r="H1319">
        <v>1</v>
      </c>
      <c r="I1319" s="24">
        <v>7.8877314814814747E-2</v>
      </c>
      <c r="J1319">
        <f t="shared" si="42"/>
        <v>1</v>
      </c>
      <c r="K1319">
        <f t="shared" si="43"/>
        <v>0</v>
      </c>
    </row>
    <row r="1320" spans="1:11" x14ac:dyDescent="0.25">
      <c r="A1320">
        <v>16</v>
      </c>
      <c r="B1320" t="s">
        <v>686</v>
      </c>
      <c r="C1320" s="4">
        <v>0.8538310185185185</v>
      </c>
      <c r="D1320" s="23">
        <v>0.85640046296296302</v>
      </c>
      <c r="E1320" s="23">
        <v>0.93270833333333336</v>
      </c>
      <c r="F1320" t="s">
        <v>687</v>
      </c>
      <c r="G1320" t="s">
        <v>634</v>
      </c>
      <c r="H1320">
        <v>1</v>
      </c>
      <c r="I1320" s="24">
        <v>7.8877314814814747E-2</v>
      </c>
      <c r="J1320">
        <f t="shared" si="42"/>
        <v>1</v>
      </c>
      <c r="K1320">
        <f t="shared" si="43"/>
        <v>0</v>
      </c>
    </row>
    <row r="1321" spans="1:11" x14ac:dyDescent="0.25">
      <c r="A1321">
        <v>17</v>
      </c>
      <c r="B1321" t="s">
        <v>184</v>
      </c>
      <c r="C1321" s="4">
        <v>0.8538310185185185</v>
      </c>
      <c r="D1321" s="23">
        <v>0.8552777777777778</v>
      </c>
      <c r="E1321" s="23">
        <v>0.93270833333333336</v>
      </c>
      <c r="F1321" t="s">
        <v>688</v>
      </c>
      <c r="G1321" t="s">
        <v>634</v>
      </c>
      <c r="H1321">
        <v>1</v>
      </c>
      <c r="I1321" s="24">
        <v>7.8877314814814747E-2</v>
      </c>
      <c r="J1321">
        <f t="shared" si="42"/>
        <v>1</v>
      </c>
      <c r="K1321">
        <f t="shared" si="43"/>
        <v>0</v>
      </c>
    </row>
    <row r="1322" spans="1:11" x14ac:dyDescent="0.25">
      <c r="A1322">
        <v>18</v>
      </c>
      <c r="B1322" t="s">
        <v>534</v>
      </c>
      <c r="C1322" s="4">
        <v>0.8538310185185185</v>
      </c>
      <c r="D1322" s="23">
        <v>0.85519675925925931</v>
      </c>
      <c r="E1322" s="23">
        <v>0.93270833333333336</v>
      </c>
      <c r="F1322" t="s">
        <v>212</v>
      </c>
      <c r="G1322" t="s">
        <v>634</v>
      </c>
      <c r="H1322">
        <v>1</v>
      </c>
      <c r="I1322" s="24">
        <v>7.8877314814814747E-2</v>
      </c>
      <c r="J1322">
        <f t="shared" si="42"/>
        <v>1</v>
      </c>
      <c r="K1322">
        <f t="shared" si="43"/>
        <v>0</v>
      </c>
    </row>
    <row r="1323" spans="1:11" x14ac:dyDescent="0.25">
      <c r="A1323">
        <v>19</v>
      </c>
      <c r="B1323" t="s">
        <v>186</v>
      </c>
      <c r="C1323" s="4">
        <v>0.8538310185185185</v>
      </c>
      <c r="D1323" s="23">
        <v>0.87412037037037038</v>
      </c>
      <c r="E1323" s="23">
        <v>0.93270833333333336</v>
      </c>
      <c r="F1323" t="s">
        <v>678</v>
      </c>
      <c r="G1323" t="s">
        <v>634</v>
      </c>
      <c r="H1323">
        <v>1</v>
      </c>
      <c r="I1323" s="24">
        <v>7.8877314814814747E-2</v>
      </c>
      <c r="J1323">
        <f t="shared" si="42"/>
        <v>1</v>
      </c>
      <c r="K1323">
        <f t="shared" si="43"/>
        <v>0</v>
      </c>
    </row>
    <row r="1324" spans="1:11" x14ac:dyDescent="0.25">
      <c r="A1324">
        <v>20</v>
      </c>
      <c r="B1324" t="s">
        <v>689</v>
      </c>
      <c r="C1324" s="4">
        <v>0.8538310185185185</v>
      </c>
      <c r="D1324" s="23">
        <v>0.87412037037037038</v>
      </c>
      <c r="E1324" s="23">
        <v>0.93270833333333336</v>
      </c>
      <c r="F1324" t="s">
        <v>690</v>
      </c>
      <c r="G1324" t="s">
        <v>634</v>
      </c>
      <c r="H1324">
        <v>1</v>
      </c>
      <c r="I1324" s="24">
        <v>7.8877314814814747E-2</v>
      </c>
      <c r="J1324">
        <f t="shared" si="42"/>
        <v>1</v>
      </c>
      <c r="K1324">
        <f t="shared" si="43"/>
        <v>0</v>
      </c>
    </row>
    <row r="1325" spans="1:11" x14ac:dyDescent="0.25">
      <c r="A1325">
        <v>21</v>
      </c>
      <c r="B1325" t="s">
        <v>409</v>
      </c>
      <c r="C1325" s="4">
        <v>0.8538310185185185</v>
      </c>
      <c r="D1325" s="23">
        <v>0.85600694444444447</v>
      </c>
      <c r="E1325" s="23">
        <v>0.93270833333333336</v>
      </c>
      <c r="F1325" t="s">
        <v>691</v>
      </c>
      <c r="G1325" t="s">
        <v>634</v>
      </c>
      <c r="H1325">
        <v>1</v>
      </c>
      <c r="I1325" s="24">
        <v>7.8877314814814747E-2</v>
      </c>
      <c r="J1325">
        <f t="shared" si="42"/>
        <v>1</v>
      </c>
      <c r="K1325">
        <f t="shared" si="43"/>
        <v>0</v>
      </c>
    </row>
    <row r="1326" spans="1:11" x14ac:dyDescent="0.25">
      <c r="A1326">
        <v>22</v>
      </c>
      <c r="B1326" t="s">
        <v>538</v>
      </c>
      <c r="C1326" s="4">
        <v>0.8538310185185185</v>
      </c>
      <c r="D1326" s="23">
        <v>0.85386574074074073</v>
      </c>
      <c r="E1326" s="23">
        <v>0.93270833333333336</v>
      </c>
      <c r="F1326" t="s">
        <v>679</v>
      </c>
      <c r="G1326" t="s">
        <v>634</v>
      </c>
      <c r="H1326">
        <v>1</v>
      </c>
      <c r="I1326" s="24">
        <v>7.8877314814814747E-2</v>
      </c>
      <c r="J1326">
        <f t="shared" si="42"/>
        <v>1</v>
      </c>
      <c r="K1326">
        <f t="shared" si="43"/>
        <v>0</v>
      </c>
    </row>
    <row r="1327" spans="1:11" x14ac:dyDescent="0.25">
      <c r="A1327">
        <v>23</v>
      </c>
      <c r="B1327" t="s">
        <v>114</v>
      </c>
      <c r="C1327" s="4">
        <v>0.8538310185185185</v>
      </c>
      <c r="D1327" s="23">
        <v>0.85430555555555554</v>
      </c>
      <c r="E1327" s="23">
        <v>0.93270833333333336</v>
      </c>
      <c r="F1327" t="s">
        <v>692</v>
      </c>
      <c r="G1327" t="s">
        <v>634</v>
      </c>
      <c r="H1327">
        <v>1</v>
      </c>
      <c r="I1327" s="24">
        <v>7.8877314814814747E-2</v>
      </c>
      <c r="J1327">
        <f t="shared" si="42"/>
        <v>1</v>
      </c>
      <c r="K1327">
        <f t="shared" si="43"/>
        <v>0</v>
      </c>
    </row>
    <row r="1328" spans="1:11" x14ac:dyDescent="0.25">
      <c r="A1328">
        <v>24</v>
      </c>
      <c r="B1328" t="s">
        <v>410</v>
      </c>
      <c r="C1328" s="4">
        <v>0.8538310185185185</v>
      </c>
      <c r="D1328" s="23">
        <v>0.85386574074074073</v>
      </c>
      <c r="E1328" s="23">
        <v>0.93270833333333336</v>
      </c>
      <c r="F1328" t="s">
        <v>679</v>
      </c>
      <c r="G1328" t="s">
        <v>634</v>
      </c>
      <c r="H1328">
        <v>1</v>
      </c>
      <c r="I1328" s="24">
        <v>7.8877314814814747E-2</v>
      </c>
      <c r="J1328">
        <f t="shared" si="42"/>
        <v>1</v>
      </c>
      <c r="K1328">
        <f t="shared" si="43"/>
        <v>0</v>
      </c>
    </row>
    <row r="1329" spans="1:11" x14ac:dyDescent="0.25">
      <c r="A1329">
        <v>25</v>
      </c>
      <c r="B1329" t="s">
        <v>18</v>
      </c>
      <c r="C1329" s="4">
        <v>0.8538310185185185</v>
      </c>
      <c r="D1329" s="23">
        <v>0.85386574074074073</v>
      </c>
      <c r="E1329" s="23">
        <v>0.93270833333333336</v>
      </c>
      <c r="F1329" t="s">
        <v>693</v>
      </c>
      <c r="G1329" t="s">
        <v>634</v>
      </c>
      <c r="H1329">
        <v>1</v>
      </c>
      <c r="I1329" s="24">
        <v>7.8877314814814747E-2</v>
      </c>
      <c r="J1329">
        <f t="shared" si="42"/>
        <v>1</v>
      </c>
      <c r="K1329">
        <f t="shared" si="43"/>
        <v>0</v>
      </c>
    </row>
    <row r="1330" spans="1:11" x14ac:dyDescent="0.25">
      <c r="A1330">
        <v>26</v>
      </c>
      <c r="B1330" t="s">
        <v>41</v>
      </c>
      <c r="C1330" s="4">
        <v>0.8538310185185185</v>
      </c>
      <c r="D1330" s="23">
        <v>0.85386574074074073</v>
      </c>
      <c r="E1330" s="23">
        <v>0.93270833333333336</v>
      </c>
      <c r="F1330" t="s">
        <v>680</v>
      </c>
      <c r="G1330" t="s">
        <v>634</v>
      </c>
      <c r="H1330">
        <v>1</v>
      </c>
      <c r="I1330" s="24">
        <v>7.8877314814814747E-2</v>
      </c>
      <c r="J1330">
        <f t="shared" si="42"/>
        <v>1</v>
      </c>
      <c r="K1330">
        <f t="shared" si="43"/>
        <v>0</v>
      </c>
    </row>
    <row r="1331" spans="1:11" x14ac:dyDescent="0.25">
      <c r="A1331">
        <v>27</v>
      </c>
      <c r="B1331" t="s">
        <v>506</v>
      </c>
      <c r="C1331" s="4">
        <v>0.8538310185185185</v>
      </c>
      <c r="D1331" s="23">
        <v>0.8560416666666667</v>
      </c>
      <c r="E1331" s="23">
        <v>0.93270833333333336</v>
      </c>
      <c r="F1331" t="s">
        <v>694</v>
      </c>
      <c r="G1331" t="s">
        <v>634</v>
      </c>
      <c r="H1331">
        <v>1</v>
      </c>
      <c r="I1331" s="24">
        <v>7.8877314814814747E-2</v>
      </c>
      <c r="J1331">
        <f t="shared" si="42"/>
        <v>1</v>
      </c>
      <c r="K1331">
        <f t="shared" si="43"/>
        <v>0</v>
      </c>
    </row>
    <row r="1332" spans="1:11" x14ac:dyDescent="0.25">
      <c r="A1332">
        <v>28</v>
      </c>
      <c r="B1332" t="s">
        <v>118</v>
      </c>
      <c r="C1332" s="4">
        <v>0.8538310185185185</v>
      </c>
      <c r="D1332" s="23">
        <v>0.8565625</v>
      </c>
      <c r="E1332" s="23">
        <v>0.93270833333333336</v>
      </c>
      <c r="F1332" t="s">
        <v>695</v>
      </c>
      <c r="G1332" t="s">
        <v>634</v>
      </c>
      <c r="H1332">
        <v>1</v>
      </c>
      <c r="I1332" s="24">
        <v>7.8877314814814747E-2</v>
      </c>
      <c r="J1332">
        <f t="shared" si="42"/>
        <v>1</v>
      </c>
      <c r="K1332">
        <f t="shared" si="43"/>
        <v>0</v>
      </c>
    </row>
    <row r="1333" spans="1:11" x14ac:dyDescent="0.25">
      <c r="A1333">
        <v>29</v>
      </c>
      <c r="B1333" t="s">
        <v>592</v>
      </c>
      <c r="C1333" s="4">
        <v>0.8538310185185185</v>
      </c>
      <c r="D1333" s="23">
        <v>0.85386574074074073</v>
      </c>
      <c r="E1333" s="23">
        <v>0.93270833333333336</v>
      </c>
      <c r="F1333" t="s">
        <v>679</v>
      </c>
      <c r="G1333" t="s">
        <v>634</v>
      </c>
      <c r="H1333">
        <v>1</v>
      </c>
      <c r="I1333" s="24">
        <v>7.8877314814814747E-2</v>
      </c>
      <c r="J1333">
        <f t="shared" si="42"/>
        <v>1</v>
      </c>
      <c r="K1333">
        <f t="shared" si="43"/>
        <v>0</v>
      </c>
    </row>
    <row r="1334" spans="1:11" x14ac:dyDescent="0.25">
      <c r="A1334">
        <v>30</v>
      </c>
      <c r="B1334" t="s">
        <v>20</v>
      </c>
      <c r="C1334" s="4">
        <v>0.8538310185185185</v>
      </c>
      <c r="D1334" s="23">
        <v>0.85667824074074073</v>
      </c>
      <c r="E1334" s="23">
        <v>0.93270833333333336</v>
      </c>
      <c r="F1334" t="s">
        <v>696</v>
      </c>
      <c r="G1334" t="s">
        <v>634</v>
      </c>
      <c r="H1334">
        <v>1</v>
      </c>
      <c r="I1334" s="24">
        <v>7.8877314814814747E-2</v>
      </c>
      <c r="J1334">
        <f t="shared" si="42"/>
        <v>1</v>
      </c>
      <c r="K1334">
        <f t="shared" si="43"/>
        <v>0</v>
      </c>
    </row>
    <row r="1335" spans="1:11" x14ac:dyDescent="0.25">
      <c r="A1335">
        <v>31</v>
      </c>
      <c r="B1335" t="s">
        <v>43</v>
      </c>
      <c r="C1335" s="4">
        <v>0.8538310185185185</v>
      </c>
      <c r="D1335" s="23">
        <v>0.85386574074074073</v>
      </c>
      <c r="E1335" s="23">
        <v>0.93270833333333336</v>
      </c>
      <c r="F1335" t="s">
        <v>679</v>
      </c>
      <c r="G1335" t="s">
        <v>634</v>
      </c>
      <c r="H1335">
        <v>1</v>
      </c>
      <c r="I1335" s="24">
        <v>7.8877314814814747E-2</v>
      </c>
      <c r="J1335">
        <f t="shared" si="42"/>
        <v>1</v>
      </c>
      <c r="K1335">
        <f t="shared" si="43"/>
        <v>0</v>
      </c>
    </row>
    <row r="1336" spans="1:11" x14ac:dyDescent="0.25">
      <c r="A1336">
        <v>32</v>
      </c>
      <c r="B1336" t="s">
        <v>156</v>
      </c>
      <c r="C1336" s="4">
        <v>0.8538310185185185</v>
      </c>
      <c r="D1336" s="23">
        <v>0.85386574074074073</v>
      </c>
      <c r="E1336" s="23">
        <v>0.93270833333333336</v>
      </c>
      <c r="F1336" t="s">
        <v>679</v>
      </c>
      <c r="G1336" t="s">
        <v>634</v>
      </c>
      <c r="H1336">
        <v>1</v>
      </c>
      <c r="I1336" s="24">
        <v>7.8877314814814747E-2</v>
      </c>
      <c r="J1336">
        <f t="shared" si="42"/>
        <v>1</v>
      </c>
      <c r="K1336">
        <f t="shared" si="43"/>
        <v>0</v>
      </c>
    </row>
    <row r="1337" spans="1:11" x14ac:dyDescent="0.25">
      <c r="A1337">
        <v>33</v>
      </c>
      <c r="B1337" t="s">
        <v>384</v>
      </c>
      <c r="C1337" s="4">
        <v>0.8538310185185185</v>
      </c>
      <c r="D1337" s="23">
        <v>0.87412037037037038</v>
      </c>
      <c r="E1337" s="23">
        <v>0.93270833333333336</v>
      </c>
      <c r="F1337" t="s">
        <v>697</v>
      </c>
      <c r="G1337" t="s">
        <v>634</v>
      </c>
      <c r="H1337">
        <v>1</v>
      </c>
      <c r="I1337" s="24">
        <v>7.8877314814814747E-2</v>
      </c>
      <c r="J1337">
        <f t="shared" si="42"/>
        <v>1</v>
      </c>
      <c r="K1337">
        <f t="shared" si="43"/>
        <v>0</v>
      </c>
    </row>
    <row r="1338" spans="1:11" x14ac:dyDescent="0.25">
      <c r="A1338">
        <v>34</v>
      </c>
      <c r="B1338" t="s">
        <v>238</v>
      </c>
      <c r="C1338" s="4">
        <v>0.8538310185185185</v>
      </c>
      <c r="D1338" s="23">
        <v>0.85386574074074073</v>
      </c>
      <c r="E1338" s="23">
        <v>0.93270833333333336</v>
      </c>
      <c r="F1338" t="s">
        <v>679</v>
      </c>
      <c r="G1338" t="s">
        <v>634</v>
      </c>
      <c r="H1338">
        <v>1</v>
      </c>
      <c r="I1338" s="24">
        <v>7.8877314814814747E-2</v>
      </c>
      <c r="J1338">
        <f t="shared" si="42"/>
        <v>1</v>
      </c>
      <c r="K1338">
        <f t="shared" si="43"/>
        <v>0</v>
      </c>
    </row>
    <row r="1339" spans="1:11" x14ac:dyDescent="0.25">
      <c r="A1339">
        <v>35</v>
      </c>
      <c r="B1339" t="s">
        <v>22</v>
      </c>
      <c r="C1339" s="4">
        <v>0.8538310185185185</v>
      </c>
      <c r="D1339" s="23">
        <v>0.85640046296296302</v>
      </c>
      <c r="E1339" s="23">
        <v>0.93270833333333336</v>
      </c>
      <c r="F1339" t="s">
        <v>698</v>
      </c>
      <c r="G1339" t="s">
        <v>634</v>
      </c>
      <c r="H1339">
        <v>1</v>
      </c>
      <c r="I1339" s="24">
        <v>7.8877314814814747E-2</v>
      </c>
      <c r="J1339">
        <f t="shared" si="42"/>
        <v>1</v>
      </c>
      <c r="K1339">
        <f t="shared" si="43"/>
        <v>0</v>
      </c>
    </row>
    <row r="1340" spans="1:11" x14ac:dyDescent="0.25">
      <c r="A1340">
        <v>36</v>
      </c>
      <c r="B1340" t="s">
        <v>61</v>
      </c>
      <c r="C1340" s="4">
        <v>0.8538310185185185</v>
      </c>
      <c r="D1340" s="23">
        <v>0.85386574074074073</v>
      </c>
      <c r="E1340" s="23">
        <v>0.93270833333333336</v>
      </c>
      <c r="F1340" t="s">
        <v>679</v>
      </c>
      <c r="G1340" t="s">
        <v>634</v>
      </c>
      <c r="H1340">
        <v>1</v>
      </c>
      <c r="I1340" s="24">
        <v>7.8877314814814747E-2</v>
      </c>
      <c r="J1340">
        <f t="shared" si="42"/>
        <v>1</v>
      </c>
      <c r="K1340">
        <f t="shared" si="43"/>
        <v>0</v>
      </c>
    </row>
    <row r="1341" spans="1:11" x14ac:dyDescent="0.25">
      <c r="A1341">
        <v>37</v>
      </c>
      <c r="B1341" t="s">
        <v>46</v>
      </c>
      <c r="C1341" s="4">
        <v>0.8538310185185185</v>
      </c>
      <c r="D1341" s="23">
        <v>0.85386574074074073</v>
      </c>
      <c r="E1341" s="23">
        <v>0.93270833333333336</v>
      </c>
      <c r="F1341" t="s">
        <v>699</v>
      </c>
      <c r="G1341" t="s">
        <v>634</v>
      </c>
      <c r="H1341">
        <v>1</v>
      </c>
      <c r="I1341" s="24">
        <v>7.8877314814814747E-2</v>
      </c>
      <c r="J1341">
        <f t="shared" si="42"/>
        <v>1</v>
      </c>
      <c r="K1341">
        <f t="shared" si="43"/>
        <v>0</v>
      </c>
    </row>
    <row r="1342" spans="1:11" x14ac:dyDescent="0.25">
      <c r="A1342">
        <v>38</v>
      </c>
      <c r="B1342" t="s">
        <v>100</v>
      </c>
      <c r="C1342" s="4">
        <v>0.8538310185185185</v>
      </c>
      <c r="D1342" s="23">
        <v>0.85386574074074073</v>
      </c>
      <c r="E1342" s="23">
        <v>0.93270833333333336</v>
      </c>
      <c r="F1342" t="s">
        <v>680</v>
      </c>
      <c r="G1342" t="s">
        <v>634</v>
      </c>
      <c r="H1342">
        <v>1</v>
      </c>
      <c r="I1342" s="24">
        <v>7.8877314814814747E-2</v>
      </c>
      <c r="J1342">
        <f t="shared" si="42"/>
        <v>1</v>
      </c>
      <c r="K1342">
        <f t="shared" si="43"/>
        <v>0</v>
      </c>
    </row>
    <row r="1343" spans="1:11" x14ac:dyDescent="0.25">
      <c r="A1343">
        <v>39</v>
      </c>
      <c r="B1343" t="s">
        <v>23</v>
      </c>
      <c r="C1343" s="4">
        <v>0.8538310185185185</v>
      </c>
      <c r="D1343" s="23">
        <v>0.93206018518518519</v>
      </c>
      <c r="E1343" s="23">
        <v>0.93270833333333336</v>
      </c>
      <c r="F1343" t="s">
        <v>700</v>
      </c>
      <c r="G1343" t="s">
        <v>634</v>
      </c>
      <c r="H1343">
        <v>1</v>
      </c>
      <c r="I1343" s="24">
        <v>7.8877314814814747E-2</v>
      </c>
      <c r="J1343">
        <f t="shared" si="42"/>
        <v>1</v>
      </c>
      <c r="K1343">
        <f t="shared" si="43"/>
        <v>0</v>
      </c>
    </row>
    <row r="1344" spans="1:11" x14ac:dyDescent="0.25">
      <c r="A1344">
        <v>40</v>
      </c>
      <c r="B1344" t="s">
        <v>268</v>
      </c>
      <c r="C1344" s="4">
        <v>0.8538310185185185</v>
      </c>
      <c r="D1344" s="23">
        <v>0.87412037037037038</v>
      </c>
      <c r="E1344" s="23">
        <v>0.93270833333333336</v>
      </c>
      <c r="F1344" t="s">
        <v>697</v>
      </c>
      <c r="G1344" t="s">
        <v>634</v>
      </c>
      <c r="H1344">
        <v>1</v>
      </c>
      <c r="I1344" s="24">
        <v>7.8877314814814747E-2</v>
      </c>
      <c r="J1344">
        <f t="shared" si="42"/>
        <v>1</v>
      </c>
      <c r="K1344">
        <f t="shared" si="43"/>
        <v>0</v>
      </c>
    </row>
    <row r="1345" spans="1:11" x14ac:dyDescent="0.25">
      <c r="A1345">
        <v>41</v>
      </c>
      <c r="B1345" t="s">
        <v>243</v>
      </c>
      <c r="C1345" s="4">
        <v>0.8538310185185185</v>
      </c>
      <c r="D1345" s="23">
        <v>0.93206018518518519</v>
      </c>
      <c r="E1345" s="23">
        <v>0.93270833333333336</v>
      </c>
      <c r="F1345" t="s">
        <v>94</v>
      </c>
      <c r="G1345" t="s">
        <v>634</v>
      </c>
      <c r="H1345">
        <v>1</v>
      </c>
      <c r="I1345" s="24">
        <v>7.8877314814814747E-2</v>
      </c>
      <c r="J1345">
        <f t="shared" si="42"/>
        <v>1</v>
      </c>
      <c r="K1345">
        <f t="shared" si="43"/>
        <v>0</v>
      </c>
    </row>
    <row r="1346" spans="1:11" x14ac:dyDescent="0.25">
      <c r="A1346">
        <v>42</v>
      </c>
      <c r="B1346" t="s">
        <v>546</v>
      </c>
      <c r="C1346" s="4">
        <v>0.8538310185185185</v>
      </c>
      <c r="D1346" s="23">
        <v>0.85386574074074073</v>
      </c>
      <c r="E1346" s="23">
        <v>0.93270833333333336</v>
      </c>
      <c r="F1346" t="s">
        <v>679</v>
      </c>
      <c r="G1346" t="s">
        <v>634</v>
      </c>
      <c r="H1346">
        <v>1</v>
      </c>
      <c r="I1346" s="24">
        <v>7.8877314814814747E-2</v>
      </c>
      <c r="J1346">
        <f t="shared" si="42"/>
        <v>1</v>
      </c>
      <c r="K1346">
        <f t="shared" si="43"/>
        <v>0</v>
      </c>
    </row>
    <row r="1347" spans="1:11" x14ac:dyDescent="0.25">
      <c r="A1347">
        <v>43</v>
      </c>
      <c r="B1347" t="s">
        <v>193</v>
      </c>
      <c r="C1347" s="4">
        <v>0.8538310185185185</v>
      </c>
      <c r="D1347" s="23">
        <v>0.85752314814814812</v>
      </c>
      <c r="E1347" s="23">
        <v>0.93270833333333336</v>
      </c>
      <c r="F1347" t="s">
        <v>701</v>
      </c>
      <c r="G1347" t="s">
        <v>634</v>
      </c>
      <c r="H1347">
        <v>1</v>
      </c>
      <c r="I1347" s="24">
        <v>7.8877314814814747E-2</v>
      </c>
      <c r="J1347">
        <f t="shared" si="42"/>
        <v>1</v>
      </c>
      <c r="K1347">
        <f t="shared" si="43"/>
        <v>0</v>
      </c>
    </row>
    <row r="1348" spans="1:11" x14ac:dyDescent="0.25">
      <c r="A1348">
        <v>44</v>
      </c>
      <c r="B1348" t="s">
        <v>50</v>
      </c>
      <c r="C1348" s="4">
        <v>0.8538310185185185</v>
      </c>
      <c r="D1348" s="23">
        <v>0.85386574074074073</v>
      </c>
      <c r="E1348" s="23">
        <v>0.93270833333333336</v>
      </c>
      <c r="F1348" t="s">
        <v>702</v>
      </c>
      <c r="G1348" t="s">
        <v>634</v>
      </c>
      <c r="H1348">
        <v>1</v>
      </c>
      <c r="I1348" s="24">
        <v>7.8877314814814747E-2</v>
      </c>
      <c r="J1348">
        <f t="shared" si="42"/>
        <v>1</v>
      </c>
      <c r="K1348">
        <f t="shared" si="43"/>
        <v>0</v>
      </c>
    </row>
    <row r="1349" spans="1:11" x14ac:dyDescent="0.25">
      <c r="A1349">
        <v>45</v>
      </c>
      <c r="B1349" t="s">
        <v>570</v>
      </c>
      <c r="C1349" s="4">
        <v>0.8538310185185185</v>
      </c>
      <c r="D1349" s="23">
        <v>0.85386574074074073</v>
      </c>
      <c r="E1349" s="23">
        <v>0.93270833333333336</v>
      </c>
      <c r="F1349" t="s">
        <v>679</v>
      </c>
      <c r="G1349" t="s">
        <v>634</v>
      </c>
      <c r="H1349">
        <v>1</v>
      </c>
      <c r="I1349" s="24">
        <v>7.8877314814814747E-2</v>
      </c>
      <c r="J1349">
        <f t="shared" si="42"/>
        <v>1</v>
      </c>
      <c r="K1349">
        <f t="shared" si="43"/>
        <v>0</v>
      </c>
    </row>
    <row r="1350" spans="1:11" x14ac:dyDescent="0.25">
      <c r="A1350">
        <v>46</v>
      </c>
      <c r="B1350" t="s">
        <v>62</v>
      </c>
      <c r="C1350" s="4">
        <v>0.8538310185185185</v>
      </c>
      <c r="D1350" s="23">
        <v>0.85386574074074073</v>
      </c>
      <c r="E1350" s="23">
        <v>0.93270833333333336</v>
      </c>
      <c r="F1350" t="s">
        <v>703</v>
      </c>
      <c r="G1350" t="s">
        <v>634</v>
      </c>
      <c r="H1350">
        <v>1</v>
      </c>
      <c r="I1350" s="24">
        <v>7.8877314814814747E-2</v>
      </c>
      <c r="J1350">
        <f t="shared" si="42"/>
        <v>1</v>
      </c>
      <c r="K1350">
        <f t="shared" si="43"/>
        <v>0</v>
      </c>
    </row>
    <row r="1351" spans="1:11" x14ac:dyDescent="0.25">
      <c r="A1351">
        <v>47</v>
      </c>
      <c r="B1351" t="s">
        <v>516</v>
      </c>
      <c r="C1351" s="4">
        <v>0.8538310185185185</v>
      </c>
      <c r="D1351" s="23">
        <v>0.85752314814814812</v>
      </c>
      <c r="E1351" s="23">
        <v>0.93270833333333336</v>
      </c>
      <c r="F1351" t="s">
        <v>704</v>
      </c>
      <c r="G1351" t="s">
        <v>634</v>
      </c>
      <c r="H1351">
        <v>1</v>
      </c>
      <c r="I1351" s="24">
        <v>7.8877314814814747E-2</v>
      </c>
      <c r="J1351">
        <f t="shared" si="42"/>
        <v>1</v>
      </c>
      <c r="K1351">
        <f t="shared" si="43"/>
        <v>0</v>
      </c>
    </row>
    <row r="1352" spans="1:11" x14ac:dyDescent="0.25">
      <c r="A1352">
        <v>48</v>
      </c>
      <c r="B1352" t="s">
        <v>51</v>
      </c>
      <c r="C1352" s="4">
        <v>0.8538310185185185</v>
      </c>
      <c r="D1352" s="23">
        <v>0.85386574074074073</v>
      </c>
      <c r="E1352" s="23">
        <v>0.93270833333333336</v>
      </c>
      <c r="F1352" t="s">
        <v>679</v>
      </c>
      <c r="G1352" t="s">
        <v>634</v>
      </c>
      <c r="H1352">
        <v>1</v>
      </c>
      <c r="I1352" s="24">
        <v>7.8877314814814747E-2</v>
      </c>
      <c r="J1352">
        <f t="shared" si="42"/>
        <v>1</v>
      </c>
      <c r="K1352">
        <f t="shared" si="43"/>
        <v>0</v>
      </c>
    </row>
    <row r="1353" spans="1:11" x14ac:dyDescent="0.25">
      <c r="A1353">
        <v>49</v>
      </c>
      <c r="B1353" t="s">
        <v>83</v>
      </c>
      <c r="C1353" s="4">
        <v>0.8538310185185185</v>
      </c>
      <c r="D1353" s="23">
        <v>0.85642361111111109</v>
      </c>
      <c r="E1353" s="23">
        <v>0.93270833333333336</v>
      </c>
      <c r="F1353" t="s">
        <v>705</v>
      </c>
      <c r="G1353" t="s">
        <v>634</v>
      </c>
      <c r="H1353">
        <v>1</v>
      </c>
      <c r="I1353" s="24">
        <v>7.8877314814814747E-2</v>
      </c>
      <c r="J1353">
        <f t="shared" si="42"/>
        <v>1</v>
      </c>
      <c r="K1353">
        <f t="shared" si="43"/>
        <v>0</v>
      </c>
    </row>
    <row r="1354" spans="1:11" x14ac:dyDescent="0.25">
      <c r="A1354">
        <v>50</v>
      </c>
      <c r="B1354" t="s">
        <v>706</v>
      </c>
      <c r="C1354" s="4">
        <v>0.8538310185185185</v>
      </c>
      <c r="D1354" s="23">
        <v>0.85417824074074078</v>
      </c>
      <c r="E1354" s="23">
        <v>0.93270833333333336</v>
      </c>
      <c r="F1354" t="s">
        <v>707</v>
      </c>
      <c r="G1354" t="s">
        <v>634</v>
      </c>
      <c r="H1354">
        <v>1</v>
      </c>
      <c r="I1354" s="24">
        <v>7.8877314814814747E-2</v>
      </c>
      <c r="J1354">
        <f t="shared" si="42"/>
        <v>1</v>
      </c>
      <c r="K1354">
        <f t="shared" si="43"/>
        <v>0</v>
      </c>
    </row>
    <row r="1355" spans="1:11" x14ac:dyDescent="0.25">
      <c r="A1355">
        <v>51</v>
      </c>
      <c r="B1355" t="s">
        <v>85</v>
      </c>
      <c r="C1355" s="4">
        <v>0.8538310185185185</v>
      </c>
      <c r="D1355" s="23">
        <v>0.85386574074074073</v>
      </c>
      <c r="E1355" s="23">
        <v>0.93270833333333336</v>
      </c>
      <c r="F1355" t="s">
        <v>680</v>
      </c>
      <c r="G1355" t="s">
        <v>634</v>
      </c>
      <c r="H1355">
        <v>1</v>
      </c>
      <c r="I1355" s="24">
        <v>7.8877314814814747E-2</v>
      </c>
      <c r="J1355">
        <f t="shared" si="42"/>
        <v>1</v>
      </c>
      <c r="K1355">
        <f t="shared" si="43"/>
        <v>0</v>
      </c>
    </row>
    <row r="1356" spans="1:11" x14ac:dyDescent="0.25">
      <c r="A1356">
        <v>52</v>
      </c>
      <c r="B1356" t="s">
        <v>53</v>
      </c>
      <c r="C1356" s="4">
        <v>0.8538310185185185</v>
      </c>
      <c r="D1356" s="23">
        <v>0.85386574074074073</v>
      </c>
      <c r="E1356" s="23">
        <v>0.93270833333333336</v>
      </c>
      <c r="F1356" t="s">
        <v>679</v>
      </c>
      <c r="G1356" t="s">
        <v>634</v>
      </c>
      <c r="H1356">
        <v>1</v>
      </c>
      <c r="I1356" s="24">
        <v>7.8877314814814747E-2</v>
      </c>
      <c r="J1356">
        <f t="shared" si="42"/>
        <v>1</v>
      </c>
      <c r="K1356">
        <f t="shared" si="43"/>
        <v>0</v>
      </c>
    </row>
    <row r="1357" spans="1:11" x14ac:dyDescent="0.25">
      <c r="A1357">
        <v>53</v>
      </c>
      <c r="B1357" t="s">
        <v>262</v>
      </c>
      <c r="C1357" s="4">
        <v>0.8538310185185185</v>
      </c>
      <c r="D1357" s="23">
        <v>0.85395833333333337</v>
      </c>
      <c r="E1357" s="23">
        <v>0.93270833333333336</v>
      </c>
      <c r="F1357" t="s">
        <v>708</v>
      </c>
      <c r="G1357" t="s">
        <v>634</v>
      </c>
      <c r="H1357">
        <v>1</v>
      </c>
      <c r="I1357" s="24">
        <v>7.8877314814814747E-2</v>
      </c>
      <c r="J1357">
        <f t="shared" si="42"/>
        <v>1</v>
      </c>
      <c r="K1357">
        <f t="shared" si="43"/>
        <v>0</v>
      </c>
    </row>
    <row r="1358" spans="1:11" x14ac:dyDescent="0.25">
      <c r="A1358">
        <v>54</v>
      </c>
      <c r="B1358" t="s">
        <v>54</v>
      </c>
      <c r="C1358" s="4">
        <v>0.8538310185185185</v>
      </c>
      <c r="D1358" s="23">
        <v>0.85442129629629626</v>
      </c>
      <c r="E1358" s="23">
        <v>0.93270833333333336</v>
      </c>
      <c r="F1358" t="s">
        <v>709</v>
      </c>
      <c r="G1358" t="s">
        <v>634</v>
      </c>
      <c r="H1358">
        <v>1</v>
      </c>
      <c r="I1358" s="24">
        <v>7.8877314814814747E-2</v>
      </c>
      <c r="J1358">
        <f t="shared" si="42"/>
        <v>1</v>
      </c>
      <c r="K1358">
        <f t="shared" si="43"/>
        <v>0</v>
      </c>
    </row>
    <row r="1359" spans="1:11" x14ac:dyDescent="0.25">
      <c r="A1359">
        <v>55</v>
      </c>
      <c r="B1359" t="s">
        <v>470</v>
      </c>
      <c r="C1359" s="4">
        <v>0.8538310185185185</v>
      </c>
      <c r="D1359" s="23">
        <v>0.85755787037037035</v>
      </c>
      <c r="E1359" s="23">
        <v>0.93270833333333336</v>
      </c>
      <c r="F1359" t="s">
        <v>710</v>
      </c>
      <c r="G1359" t="s">
        <v>634</v>
      </c>
      <c r="H1359">
        <v>1</v>
      </c>
      <c r="I1359" s="24">
        <v>7.8877314814814747E-2</v>
      </c>
      <c r="J1359">
        <f t="shared" si="42"/>
        <v>1</v>
      </c>
      <c r="K1359">
        <f t="shared" si="43"/>
        <v>0</v>
      </c>
    </row>
    <row r="1360" spans="1:11" x14ac:dyDescent="0.25">
      <c r="A1360">
        <v>56</v>
      </c>
      <c r="B1360" t="s">
        <v>397</v>
      </c>
      <c r="C1360" s="4">
        <v>0.8538310185185185</v>
      </c>
      <c r="D1360" s="23">
        <v>0.87412037037037038</v>
      </c>
      <c r="E1360" s="23">
        <v>0.93270833333333336</v>
      </c>
      <c r="F1360" t="s">
        <v>678</v>
      </c>
      <c r="G1360" t="s">
        <v>634</v>
      </c>
      <c r="H1360">
        <v>1</v>
      </c>
      <c r="I1360" s="24">
        <v>7.8877314814814747E-2</v>
      </c>
      <c r="J1360">
        <f t="shared" si="42"/>
        <v>1</v>
      </c>
      <c r="K1360">
        <f t="shared" si="43"/>
        <v>0</v>
      </c>
    </row>
    <row r="1361" spans="1:11" x14ac:dyDescent="0.25">
      <c r="A1361">
        <v>57</v>
      </c>
      <c r="B1361" t="s">
        <v>89</v>
      </c>
      <c r="C1361" s="4">
        <v>0.8538310185185185</v>
      </c>
      <c r="D1361" s="23">
        <v>0.87412037037037038</v>
      </c>
      <c r="E1361" s="23">
        <v>0.93270833333333336</v>
      </c>
      <c r="F1361" t="s">
        <v>711</v>
      </c>
      <c r="G1361" t="s">
        <v>634</v>
      </c>
      <c r="H1361">
        <v>1</v>
      </c>
      <c r="I1361" s="24">
        <v>7.8877314814814747E-2</v>
      </c>
      <c r="J1361">
        <f t="shared" si="42"/>
        <v>1</v>
      </c>
      <c r="K1361">
        <f t="shared" si="43"/>
        <v>0</v>
      </c>
    </row>
    <row r="1362" spans="1:11" x14ac:dyDescent="0.25">
      <c r="A1362">
        <v>58</v>
      </c>
      <c r="B1362" t="s">
        <v>348</v>
      </c>
      <c r="C1362" s="4">
        <v>0.8538310185185185</v>
      </c>
      <c r="D1362" s="23">
        <v>0.93206018518518519</v>
      </c>
      <c r="E1362" s="23">
        <v>0.93270833333333336</v>
      </c>
      <c r="F1362" t="s">
        <v>712</v>
      </c>
      <c r="G1362" t="s">
        <v>634</v>
      </c>
      <c r="H1362">
        <v>1</v>
      </c>
      <c r="I1362" s="24">
        <v>7.8877314814814747E-2</v>
      </c>
      <c r="J1362">
        <f t="shared" si="42"/>
        <v>1</v>
      </c>
      <c r="K1362">
        <f t="shared" si="43"/>
        <v>0</v>
      </c>
    </row>
    <row r="1363" spans="1:11" x14ac:dyDescent="0.25">
      <c r="A1363">
        <v>59</v>
      </c>
      <c r="B1363" t="s">
        <v>321</v>
      </c>
      <c r="C1363" s="4">
        <v>0.8538310185185185</v>
      </c>
      <c r="D1363" s="23">
        <v>0.8566435185185185</v>
      </c>
      <c r="E1363" s="23">
        <v>0.93270833333333336</v>
      </c>
      <c r="F1363" t="s">
        <v>713</v>
      </c>
      <c r="G1363" t="s">
        <v>634</v>
      </c>
      <c r="H1363">
        <v>1</v>
      </c>
      <c r="I1363" s="24">
        <v>7.8877314814814747E-2</v>
      </c>
      <c r="J1363">
        <f t="shared" si="42"/>
        <v>1</v>
      </c>
      <c r="K1363">
        <f t="shared" si="43"/>
        <v>0</v>
      </c>
    </row>
    <row r="1364" spans="1:11" x14ac:dyDescent="0.25">
      <c r="A1364">
        <v>60</v>
      </c>
      <c r="B1364" t="s">
        <v>55</v>
      </c>
      <c r="C1364" s="4">
        <v>0.8538310185185185</v>
      </c>
      <c r="D1364" s="23">
        <v>0.85386574074074073</v>
      </c>
      <c r="E1364" s="23">
        <v>0.93270833333333336</v>
      </c>
      <c r="F1364" t="s">
        <v>679</v>
      </c>
      <c r="G1364" t="s">
        <v>634</v>
      </c>
      <c r="H1364">
        <v>1</v>
      </c>
      <c r="I1364" s="24">
        <v>7.8877314814814747E-2</v>
      </c>
      <c r="J1364">
        <f t="shared" si="42"/>
        <v>1</v>
      </c>
      <c r="K1364">
        <f t="shared" si="43"/>
        <v>0</v>
      </c>
    </row>
    <row r="1366" spans="1:11" x14ac:dyDescent="0.25">
      <c r="B1366" s="7"/>
    </row>
    <row r="1367" spans="1:11" x14ac:dyDescent="0.25">
      <c r="I1367" s="24">
        <f>SUM(I2:I1364)</f>
        <v>116.57457175926041</v>
      </c>
    </row>
  </sheetData>
  <conditionalFormatting sqref="B1:B1048576">
    <cfRule type="containsText" dxfId="2" priority="1" operator="containsText" text="CHERUU JUL">
      <formula>NOT(ISERROR(SEARCH("CHERUU JUL",B1)))</formula>
    </cfRule>
  </conditionalFormatting>
  <conditionalFormatting sqref="B1197">
    <cfRule type="containsText" dxfId="1" priority="2" operator="containsText" text="CHERUU">
      <formula>NOT(ISERROR(SEARCH("CHERUU",B1197)))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4"/>
  <sheetViews>
    <sheetView workbookViewId="0">
      <selection activeCell="F1" sqref="F1:F1048576"/>
    </sheetView>
  </sheetViews>
  <sheetFormatPr defaultRowHeight="15" x14ac:dyDescent="0.25"/>
  <cols>
    <col min="1" max="1" width="24.42578125" customWidth="1"/>
    <col min="2" max="2" width="16.5703125" customWidth="1"/>
    <col min="4" max="4" width="12.28515625" customWidth="1"/>
    <col min="5" max="5" width="19.140625" customWidth="1"/>
    <col min="6" max="11" width="17.7109375" customWidth="1"/>
  </cols>
  <sheetData>
    <row r="1" spans="1:6" s="25" customFormat="1" x14ac:dyDescent="0.25">
      <c r="A1" s="26" t="s">
        <v>736</v>
      </c>
      <c r="B1" s="27" t="s">
        <v>737</v>
      </c>
      <c r="C1" s="25" t="s">
        <v>739</v>
      </c>
      <c r="D1" s="25" t="s">
        <v>740</v>
      </c>
      <c r="E1" s="25" t="s">
        <v>738</v>
      </c>
      <c r="F1" s="25" t="s">
        <v>797</v>
      </c>
    </row>
    <row r="2" spans="1:6" x14ac:dyDescent="0.25">
      <c r="A2" s="2" t="s">
        <v>16</v>
      </c>
      <c r="B2">
        <v>36</v>
      </c>
      <c r="C2">
        <v>36</v>
      </c>
      <c r="D2" s="14">
        <f t="shared" ref="D2:D33" si="0">B2/C2</f>
        <v>1</v>
      </c>
      <c r="E2">
        <v>3.0720949074074078</v>
      </c>
      <c r="F2">
        <f t="shared" ref="F2:F33" si="1">_xlfn.RANK.EQ(D2,D:D,)</f>
        <v>1</v>
      </c>
    </row>
    <row r="3" spans="1:6" x14ac:dyDescent="0.25">
      <c r="A3" s="2" t="s">
        <v>11</v>
      </c>
      <c r="B3">
        <v>35</v>
      </c>
      <c r="C3">
        <v>36</v>
      </c>
      <c r="D3" s="14">
        <f t="shared" si="0"/>
        <v>0.97222222222222221</v>
      </c>
      <c r="E3">
        <v>2.9238773148148152</v>
      </c>
      <c r="F3">
        <f t="shared" si="1"/>
        <v>2</v>
      </c>
    </row>
    <row r="4" spans="1:6" x14ac:dyDescent="0.25">
      <c r="A4" s="2" t="s">
        <v>22</v>
      </c>
      <c r="B4">
        <v>35</v>
      </c>
      <c r="C4">
        <v>36</v>
      </c>
      <c r="D4" s="14">
        <f t="shared" si="0"/>
        <v>0.97222222222222221</v>
      </c>
      <c r="E4">
        <v>3.0000462962962966</v>
      </c>
      <c r="F4">
        <f t="shared" si="1"/>
        <v>2</v>
      </c>
    </row>
    <row r="5" spans="1:6" x14ac:dyDescent="0.25">
      <c r="A5" s="2" t="s">
        <v>53</v>
      </c>
      <c r="B5">
        <v>34</v>
      </c>
      <c r="C5">
        <v>36</v>
      </c>
      <c r="D5" s="14">
        <f t="shared" si="0"/>
        <v>0.94444444444444442</v>
      </c>
      <c r="E5">
        <v>2.9219097222222223</v>
      </c>
      <c r="F5">
        <f t="shared" si="1"/>
        <v>4</v>
      </c>
    </row>
    <row r="6" spans="1:6" x14ac:dyDescent="0.25">
      <c r="A6" s="2" t="s">
        <v>18</v>
      </c>
      <c r="B6">
        <v>33</v>
      </c>
      <c r="C6">
        <v>36</v>
      </c>
      <c r="D6" s="14">
        <f t="shared" si="0"/>
        <v>0.91666666666666663</v>
      </c>
      <c r="E6">
        <v>2.8203587962962962</v>
      </c>
      <c r="F6">
        <f t="shared" si="1"/>
        <v>5</v>
      </c>
    </row>
    <row r="7" spans="1:6" x14ac:dyDescent="0.25">
      <c r="A7" s="2" t="s">
        <v>20</v>
      </c>
      <c r="B7">
        <v>33</v>
      </c>
      <c r="C7">
        <v>36</v>
      </c>
      <c r="D7" s="14">
        <f t="shared" si="0"/>
        <v>0.91666666666666663</v>
      </c>
      <c r="E7">
        <v>2.783159722222222</v>
      </c>
      <c r="F7">
        <f t="shared" si="1"/>
        <v>5</v>
      </c>
    </row>
    <row r="8" spans="1:6" x14ac:dyDescent="0.25">
      <c r="A8" s="2" t="s">
        <v>46</v>
      </c>
      <c r="B8">
        <v>33</v>
      </c>
      <c r="C8">
        <v>36</v>
      </c>
      <c r="D8" s="14">
        <f t="shared" si="0"/>
        <v>0.91666666666666663</v>
      </c>
      <c r="E8">
        <v>2.7944212962962962</v>
      </c>
      <c r="F8">
        <f t="shared" si="1"/>
        <v>5</v>
      </c>
    </row>
    <row r="9" spans="1:6" x14ac:dyDescent="0.25">
      <c r="A9" s="2" t="s">
        <v>41</v>
      </c>
      <c r="B9">
        <v>31</v>
      </c>
      <c r="C9">
        <v>36</v>
      </c>
      <c r="D9" s="14">
        <f t="shared" si="0"/>
        <v>0.86111111111111116</v>
      </c>
      <c r="E9">
        <v>2.6125578703703707</v>
      </c>
      <c r="F9">
        <f t="shared" si="1"/>
        <v>8</v>
      </c>
    </row>
    <row r="10" spans="1:6" x14ac:dyDescent="0.25">
      <c r="A10" s="2" t="s">
        <v>36</v>
      </c>
      <c r="B10">
        <v>30</v>
      </c>
      <c r="C10">
        <v>36</v>
      </c>
      <c r="D10" s="14">
        <f t="shared" si="0"/>
        <v>0.83333333333333337</v>
      </c>
      <c r="E10">
        <v>2.5660879629629627</v>
      </c>
      <c r="F10">
        <f t="shared" si="1"/>
        <v>9</v>
      </c>
    </row>
    <row r="11" spans="1:6" x14ac:dyDescent="0.25">
      <c r="A11" s="2" t="s">
        <v>50</v>
      </c>
      <c r="B11">
        <v>30</v>
      </c>
      <c r="C11">
        <v>36</v>
      </c>
      <c r="D11" s="14">
        <f t="shared" si="0"/>
        <v>0.83333333333333337</v>
      </c>
      <c r="E11">
        <v>2.5218981481481482</v>
      </c>
      <c r="F11">
        <f t="shared" si="1"/>
        <v>9</v>
      </c>
    </row>
    <row r="12" spans="1:6" x14ac:dyDescent="0.25">
      <c r="A12" s="2" t="s">
        <v>35</v>
      </c>
      <c r="B12">
        <v>29</v>
      </c>
      <c r="C12">
        <v>36</v>
      </c>
      <c r="D12" s="14">
        <f t="shared" si="0"/>
        <v>0.80555555555555558</v>
      </c>
      <c r="E12">
        <v>2.4394675925925928</v>
      </c>
      <c r="F12">
        <f t="shared" si="1"/>
        <v>11</v>
      </c>
    </row>
    <row r="13" spans="1:6" x14ac:dyDescent="0.25">
      <c r="A13" s="2" t="s">
        <v>70</v>
      </c>
      <c r="B13">
        <v>29</v>
      </c>
      <c r="C13">
        <v>36</v>
      </c>
      <c r="D13" s="14">
        <f t="shared" si="0"/>
        <v>0.80555555555555558</v>
      </c>
      <c r="E13">
        <v>2.4302314814814814</v>
      </c>
      <c r="F13">
        <f t="shared" si="1"/>
        <v>11</v>
      </c>
    </row>
    <row r="14" spans="1:6" x14ac:dyDescent="0.25">
      <c r="A14" s="2" t="s">
        <v>23</v>
      </c>
      <c r="B14">
        <v>29</v>
      </c>
      <c r="C14">
        <v>36</v>
      </c>
      <c r="D14" s="14">
        <f t="shared" si="0"/>
        <v>0.80555555555555558</v>
      </c>
      <c r="E14">
        <v>2.4989004629629634</v>
      </c>
      <c r="F14">
        <f t="shared" si="1"/>
        <v>11</v>
      </c>
    </row>
    <row r="15" spans="1:6" x14ac:dyDescent="0.25">
      <c r="A15" s="2" t="s">
        <v>83</v>
      </c>
      <c r="B15">
        <v>29</v>
      </c>
      <c r="C15">
        <v>36</v>
      </c>
      <c r="D15" s="14">
        <f t="shared" si="0"/>
        <v>0.80555555555555558</v>
      </c>
      <c r="E15">
        <v>2.4191087962962965</v>
      </c>
      <c r="F15">
        <f t="shared" si="1"/>
        <v>11</v>
      </c>
    </row>
    <row r="16" spans="1:6" x14ac:dyDescent="0.25">
      <c r="A16" s="2" t="s">
        <v>9</v>
      </c>
      <c r="B16">
        <v>27</v>
      </c>
      <c r="C16">
        <v>36</v>
      </c>
      <c r="D16" s="14">
        <f t="shared" si="0"/>
        <v>0.75</v>
      </c>
      <c r="E16">
        <v>2.2767708333333325</v>
      </c>
      <c r="F16">
        <f t="shared" si="1"/>
        <v>15</v>
      </c>
    </row>
    <row r="17" spans="1:6" x14ac:dyDescent="0.25">
      <c r="A17" s="2" t="s">
        <v>25</v>
      </c>
      <c r="B17">
        <v>26</v>
      </c>
      <c r="C17">
        <v>36</v>
      </c>
      <c r="D17" s="14">
        <f t="shared" si="0"/>
        <v>0.72222222222222221</v>
      </c>
      <c r="E17">
        <v>2.198425925925926</v>
      </c>
      <c r="F17">
        <f t="shared" si="1"/>
        <v>16</v>
      </c>
    </row>
    <row r="18" spans="1:6" x14ac:dyDescent="0.25">
      <c r="A18" s="2" t="s">
        <v>62</v>
      </c>
      <c r="B18">
        <v>26</v>
      </c>
      <c r="C18">
        <v>36</v>
      </c>
      <c r="D18" s="14">
        <f t="shared" si="0"/>
        <v>0.72222222222222221</v>
      </c>
      <c r="E18">
        <v>2.1651388888888889</v>
      </c>
      <c r="F18">
        <f t="shared" si="1"/>
        <v>16</v>
      </c>
    </row>
    <row r="19" spans="1:6" x14ac:dyDescent="0.25">
      <c r="A19" s="2" t="s">
        <v>5</v>
      </c>
      <c r="B19">
        <v>25</v>
      </c>
      <c r="C19">
        <v>36</v>
      </c>
      <c r="D19" s="14">
        <f t="shared" si="0"/>
        <v>0.69444444444444442</v>
      </c>
      <c r="E19">
        <v>2.940405092592592</v>
      </c>
      <c r="F19">
        <f t="shared" si="1"/>
        <v>18</v>
      </c>
    </row>
    <row r="20" spans="1:6" x14ac:dyDescent="0.25">
      <c r="A20" s="2" t="s">
        <v>181</v>
      </c>
      <c r="B20">
        <v>25</v>
      </c>
      <c r="C20">
        <v>36</v>
      </c>
      <c r="D20" s="14">
        <f t="shared" si="0"/>
        <v>0.69444444444444442</v>
      </c>
      <c r="E20">
        <v>2.1640162037037038</v>
      </c>
      <c r="F20">
        <f t="shared" si="1"/>
        <v>18</v>
      </c>
    </row>
    <row r="21" spans="1:6" x14ac:dyDescent="0.25">
      <c r="A21" s="2" t="s">
        <v>186</v>
      </c>
      <c r="B21">
        <v>25</v>
      </c>
      <c r="C21">
        <v>36</v>
      </c>
      <c r="D21" s="14">
        <f t="shared" si="0"/>
        <v>0.69444444444444442</v>
      </c>
      <c r="E21">
        <v>2.1888425925925925</v>
      </c>
      <c r="F21">
        <f t="shared" si="1"/>
        <v>18</v>
      </c>
    </row>
    <row r="22" spans="1:6" x14ac:dyDescent="0.25">
      <c r="A22" s="2" t="s">
        <v>51</v>
      </c>
      <c r="B22">
        <v>25</v>
      </c>
      <c r="C22">
        <v>36</v>
      </c>
      <c r="D22" s="14">
        <f t="shared" si="0"/>
        <v>0.69444444444444442</v>
      </c>
      <c r="E22">
        <v>2.1013194444444445</v>
      </c>
      <c r="F22">
        <f t="shared" si="1"/>
        <v>18</v>
      </c>
    </row>
    <row r="23" spans="1:6" x14ac:dyDescent="0.25">
      <c r="A23" s="2" t="s">
        <v>59</v>
      </c>
      <c r="B23">
        <v>22</v>
      </c>
      <c r="C23">
        <v>36</v>
      </c>
      <c r="D23" s="14">
        <f t="shared" si="0"/>
        <v>0.61111111111111116</v>
      </c>
      <c r="E23">
        <v>1.8999999999999997</v>
      </c>
      <c r="F23">
        <f t="shared" si="1"/>
        <v>22</v>
      </c>
    </row>
    <row r="24" spans="1:6" x14ac:dyDescent="0.25">
      <c r="A24" s="2" t="s">
        <v>89</v>
      </c>
      <c r="B24">
        <v>22</v>
      </c>
      <c r="C24">
        <v>36</v>
      </c>
      <c r="D24" s="14">
        <f t="shared" si="0"/>
        <v>0.61111111111111116</v>
      </c>
      <c r="E24">
        <v>1.9474305555555553</v>
      </c>
      <c r="F24">
        <f t="shared" si="1"/>
        <v>22</v>
      </c>
    </row>
    <row r="25" spans="1:6" x14ac:dyDescent="0.25">
      <c r="A25" s="2" t="s">
        <v>238</v>
      </c>
      <c r="B25">
        <v>21</v>
      </c>
      <c r="C25">
        <v>36</v>
      </c>
      <c r="D25" s="14">
        <f t="shared" si="0"/>
        <v>0.58333333333333337</v>
      </c>
      <c r="E25">
        <v>1.7564814814814811</v>
      </c>
      <c r="F25">
        <f t="shared" si="1"/>
        <v>24</v>
      </c>
    </row>
    <row r="26" spans="1:6" x14ac:dyDescent="0.25">
      <c r="A26" s="2" t="s">
        <v>60</v>
      </c>
      <c r="B26">
        <v>20</v>
      </c>
      <c r="C26">
        <v>36</v>
      </c>
      <c r="D26" s="14">
        <f t="shared" si="0"/>
        <v>0.55555555555555558</v>
      </c>
      <c r="E26">
        <v>1.6124652777777781</v>
      </c>
      <c r="F26">
        <f t="shared" si="1"/>
        <v>25</v>
      </c>
    </row>
    <row r="27" spans="1:6" x14ac:dyDescent="0.25">
      <c r="A27" s="2" t="s">
        <v>85</v>
      </c>
      <c r="B27">
        <v>20</v>
      </c>
      <c r="C27">
        <v>36</v>
      </c>
      <c r="D27" s="14">
        <f t="shared" si="0"/>
        <v>0.55555555555555558</v>
      </c>
      <c r="E27">
        <v>1.6359027777777777</v>
      </c>
      <c r="F27">
        <f t="shared" si="1"/>
        <v>25</v>
      </c>
    </row>
    <row r="28" spans="1:6" x14ac:dyDescent="0.25">
      <c r="A28" s="2" t="s">
        <v>37</v>
      </c>
      <c r="B28">
        <v>19</v>
      </c>
      <c r="C28">
        <v>36</v>
      </c>
      <c r="D28" s="14">
        <f t="shared" si="0"/>
        <v>0.52777777777777779</v>
      </c>
      <c r="E28">
        <v>1.5403356481481483</v>
      </c>
      <c r="F28">
        <f t="shared" si="1"/>
        <v>27</v>
      </c>
    </row>
    <row r="29" spans="1:6" x14ac:dyDescent="0.25">
      <c r="A29" s="2" t="s">
        <v>118</v>
      </c>
      <c r="B29">
        <v>19</v>
      </c>
      <c r="C29">
        <v>36</v>
      </c>
      <c r="D29" s="14">
        <f t="shared" si="0"/>
        <v>0.52777777777777779</v>
      </c>
      <c r="E29">
        <v>1.6681712962962962</v>
      </c>
      <c r="F29">
        <f t="shared" si="1"/>
        <v>27</v>
      </c>
    </row>
    <row r="30" spans="1:6" x14ac:dyDescent="0.25">
      <c r="A30" s="2" t="s">
        <v>44</v>
      </c>
      <c r="B30">
        <v>19</v>
      </c>
      <c r="C30">
        <v>36</v>
      </c>
      <c r="D30" s="14">
        <f t="shared" si="0"/>
        <v>0.52777777777777779</v>
      </c>
      <c r="E30">
        <v>1.5634259259259258</v>
      </c>
      <c r="F30">
        <f t="shared" si="1"/>
        <v>27</v>
      </c>
    </row>
    <row r="31" spans="1:6" x14ac:dyDescent="0.25">
      <c r="A31" s="2" t="s">
        <v>156</v>
      </c>
      <c r="B31">
        <v>19</v>
      </c>
      <c r="C31">
        <v>36</v>
      </c>
      <c r="D31" s="14">
        <f t="shared" si="0"/>
        <v>0.52777777777777779</v>
      </c>
      <c r="E31">
        <v>1.5553819444444443</v>
      </c>
      <c r="F31">
        <f t="shared" si="1"/>
        <v>27</v>
      </c>
    </row>
    <row r="32" spans="1:6" x14ac:dyDescent="0.25">
      <c r="A32" s="2" t="s">
        <v>99</v>
      </c>
      <c r="B32">
        <v>18</v>
      </c>
      <c r="C32">
        <v>36</v>
      </c>
      <c r="D32" s="14">
        <f t="shared" si="0"/>
        <v>0.5</v>
      </c>
      <c r="E32">
        <v>1.5325347222222221</v>
      </c>
      <c r="F32">
        <f t="shared" si="1"/>
        <v>31</v>
      </c>
    </row>
    <row r="33" spans="1:6" x14ac:dyDescent="0.25">
      <c r="A33" s="2" t="s">
        <v>43</v>
      </c>
      <c r="B33">
        <v>17</v>
      </c>
      <c r="C33">
        <v>36</v>
      </c>
      <c r="D33" s="14">
        <f t="shared" si="0"/>
        <v>0.47222222222222221</v>
      </c>
      <c r="E33">
        <v>1.3990740740740739</v>
      </c>
      <c r="F33">
        <f t="shared" si="1"/>
        <v>32</v>
      </c>
    </row>
    <row r="34" spans="1:6" x14ac:dyDescent="0.25">
      <c r="A34" s="2" t="s">
        <v>49</v>
      </c>
      <c r="B34">
        <v>17</v>
      </c>
      <c r="C34">
        <v>36</v>
      </c>
      <c r="D34" s="14">
        <f t="shared" ref="D34:D65" si="2">B34/C34</f>
        <v>0.47222222222222221</v>
      </c>
      <c r="E34">
        <v>1.3987037037037033</v>
      </c>
      <c r="F34">
        <f t="shared" ref="F34:F65" si="3">_xlfn.RANK.EQ(D34,D:D,)</f>
        <v>32</v>
      </c>
    </row>
    <row r="35" spans="1:6" x14ac:dyDescent="0.25">
      <c r="A35" s="2" t="s">
        <v>61</v>
      </c>
      <c r="B35">
        <v>16</v>
      </c>
      <c r="C35">
        <v>36</v>
      </c>
      <c r="D35" s="14">
        <f t="shared" si="2"/>
        <v>0.44444444444444442</v>
      </c>
      <c r="E35">
        <v>1.2942013888888886</v>
      </c>
      <c r="F35">
        <f t="shared" si="3"/>
        <v>34</v>
      </c>
    </row>
    <row r="36" spans="1:6" x14ac:dyDescent="0.25">
      <c r="A36" s="2" t="s">
        <v>321</v>
      </c>
      <c r="B36">
        <v>16</v>
      </c>
      <c r="C36">
        <v>36</v>
      </c>
      <c r="D36" s="14">
        <f t="shared" si="2"/>
        <v>0.44444444444444442</v>
      </c>
      <c r="E36">
        <v>1.3511689814814811</v>
      </c>
      <c r="F36">
        <f t="shared" si="3"/>
        <v>34</v>
      </c>
    </row>
    <row r="37" spans="1:6" x14ac:dyDescent="0.25">
      <c r="A37" s="2" t="s">
        <v>100</v>
      </c>
      <c r="B37">
        <v>15</v>
      </c>
      <c r="C37">
        <v>36</v>
      </c>
      <c r="D37" s="14">
        <f t="shared" si="2"/>
        <v>0.41666666666666669</v>
      </c>
      <c r="E37">
        <v>1.3441550925925922</v>
      </c>
      <c r="F37">
        <f t="shared" si="3"/>
        <v>36</v>
      </c>
    </row>
    <row r="38" spans="1:6" x14ac:dyDescent="0.25">
      <c r="A38" s="2" t="s">
        <v>193</v>
      </c>
      <c r="B38">
        <v>15</v>
      </c>
      <c r="C38">
        <v>36</v>
      </c>
      <c r="D38" s="14">
        <f t="shared" si="2"/>
        <v>0.41666666666666669</v>
      </c>
      <c r="E38">
        <v>1.2954629629629626</v>
      </c>
      <c r="F38">
        <f t="shared" si="3"/>
        <v>36</v>
      </c>
    </row>
    <row r="39" spans="1:6" x14ac:dyDescent="0.25">
      <c r="A39" s="2" t="s">
        <v>296</v>
      </c>
      <c r="B39">
        <v>14</v>
      </c>
      <c r="C39">
        <v>36</v>
      </c>
      <c r="D39" s="14">
        <f t="shared" si="2"/>
        <v>0.3888888888888889</v>
      </c>
      <c r="E39">
        <v>1.2578124999999998</v>
      </c>
      <c r="F39">
        <f t="shared" si="3"/>
        <v>38</v>
      </c>
    </row>
    <row r="40" spans="1:6" x14ac:dyDescent="0.25">
      <c r="A40" s="2" t="s">
        <v>97</v>
      </c>
      <c r="B40">
        <v>14</v>
      </c>
      <c r="C40">
        <v>36</v>
      </c>
      <c r="D40" s="14">
        <f t="shared" si="2"/>
        <v>0.3888888888888889</v>
      </c>
      <c r="E40">
        <v>1.1971180555555556</v>
      </c>
      <c r="F40">
        <f t="shared" si="3"/>
        <v>38</v>
      </c>
    </row>
    <row r="41" spans="1:6" x14ac:dyDescent="0.25">
      <c r="A41" s="2" t="s">
        <v>184</v>
      </c>
      <c r="B41">
        <v>14</v>
      </c>
      <c r="C41">
        <v>36</v>
      </c>
      <c r="D41" s="14">
        <f t="shared" si="2"/>
        <v>0.3888888888888889</v>
      </c>
      <c r="E41">
        <v>1.1954398148148149</v>
      </c>
      <c r="F41">
        <f t="shared" si="3"/>
        <v>38</v>
      </c>
    </row>
    <row r="42" spans="1:6" x14ac:dyDescent="0.25">
      <c r="A42" s="2" t="s">
        <v>114</v>
      </c>
      <c r="B42">
        <v>14</v>
      </c>
      <c r="C42">
        <v>36</v>
      </c>
      <c r="D42" s="14">
        <f t="shared" si="2"/>
        <v>0.3888888888888889</v>
      </c>
      <c r="E42">
        <v>1.2168749999999997</v>
      </c>
      <c r="F42">
        <f t="shared" si="3"/>
        <v>38</v>
      </c>
    </row>
    <row r="43" spans="1:6" x14ac:dyDescent="0.25">
      <c r="A43" s="2" t="s">
        <v>397</v>
      </c>
      <c r="B43">
        <v>14</v>
      </c>
      <c r="C43">
        <v>36</v>
      </c>
      <c r="D43" s="14">
        <f t="shared" si="2"/>
        <v>0.3888888888888889</v>
      </c>
      <c r="E43">
        <v>1.1992361111111112</v>
      </c>
      <c r="F43">
        <f t="shared" si="3"/>
        <v>38</v>
      </c>
    </row>
    <row r="44" spans="1:6" x14ac:dyDescent="0.25">
      <c r="A44" s="2" t="s">
        <v>348</v>
      </c>
      <c r="B44">
        <v>14</v>
      </c>
      <c r="C44">
        <v>36</v>
      </c>
      <c r="D44" s="14">
        <f t="shared" si="2"/>
        <v>0.3888888888888889</v>
      </c>
      <c r="E44">
        <v>1.2692476851851848</v>
      </c>
      <c r="F44">
        <f t="shared" si="3"/>
        <v>38</v>
      </c>
    </row>
    <row r="45" spans="1:6" x14ac:dyDescent="0.25">
      <c r="A45" s="2" t="s">
        <v>29</v>
      </c>
      <c r="B45">
        <v>13</v>
      </c>
      <c r="C45">
        <v>36</v>
      </c>
      <c r="D45" s="14">
        <f t="shared" si="2"/>
        <v>0.3611111111111111</v>
      </c>
      <c r="E45">
        <v>1.0768055555555556</v>
      </c>
      <c r="F45">
        <f t="shared" si="3"/>
        <v>44</v>
      </c>
    </row>
    <row r="46" spans="1:6" x14ac:dyDescent="0.25">
      <c r="A46" s="2" t="s">
        <v>268</v>
      </c>
      <c r="B46">
        <v>13</v>
      </c>
      <c r="C46">
        <v>36</v>
      </c>
      <c r="D46" s="14">
        <f t="shared" si="2"/>
        <v>0.3611111111111111</v>
      </c>
      <c r="E46">
        <v>1.0640393518518518</v>
      </c>
      <c r="F46">
        <f t="shared" si="3"/>
        <v>44</v>
      </c>
    </row>
    <row r="47" spans="1:6" x14ac:dyDescent="0.25">
      <c r="A47" s="2" t="s">
        <v>54</v>
      </c>
      <c r="B47">
        <v>13</v>
      </c>
      <c r="C47">
        <v>36</v>
      </c>
      <c r="D47" s="14">
        <f t="shared" si="2"/>
        <v>0.3611111111111111</v>
      </c>
      <c r="E47">
        <v>1.1254629629629631</v>
      </c>
      <c r="F47">
        <f t="shared" si="3"/>
        <v>44</v>
      </c>
    </row>
    <row r="48" spans="1:6" x14ac:dyDescent="0.25">
      <c r="A48" s="2" t="s">
        <v>470</v>
      </c>
      <c r="B48">
        <v>13</v>
      </c>
      <c r="C48">
        <v>36</v>
      </c>
      <c r="D48" s="14">
        <f t="shared" si="2"/>
        <v>0.3611111111111111</v>
      </c>
      <c r="E48">
        <v>1.1271875</v>
      </c>
      <c r="F48">
        <f t="shared" si="3"/>
        <v>44</v>
      </c>
    </row>
    <row r="49" spans="1:6" x14ac:dyDescent="0.25">
      <c r="A49" s="2" t="s">
        <v>27</v>
      </c>
      <c r="B49">
        <v>13</v>
      </c>
      <c r="C49">
        <v>36</v>
      </c>
      <c r="D49" s="14">
        <f t="shared" si="2"/>
        <v>0.3611111111111111</v>
      </c>
      <c r="E49">
        <v>1.1150578703703704</v>
      </c>
      <c r="F49">
        <f t="shared" si="3"/>
        <v>44</v>
      </c>
    </row>
    <row r="50" spans="1:6" x14ac:dyDescent="0.25">
      <c r="A50" s="2" t="s">
        <v>380</v>
      </c>
      <c r="B50">
        <v>12</v>
      </c>
      <c r="C50">
        <v>36</v>
      </c>
      <c r="D50" s="14">
        <f t="shared" si="2"/>
        <v>0.33333333333333331</v>
      </c>
      <c r="E50">
        <v>1.0416319444444444</v>
      </c>
      <c r="F50">
        <f t="shared" si="3"/>
        <v>49</v>
      </c>
    </row>
    <row r="51" spans="1:6" x14ac:dyDescent="0.25">
      <c r="A51" s="2" t="s">
        <v>208</v>
      </c>
      <c r="B51">
        <v>12</v>
      </c>
      <c r="C51">
        <v>36</v>
      </c>
      <c r="D51" s="14">
        <f t="shared" si="2"/>
        <v>0.33333333333333331</v>
      </c>
      <c r="E51">
        <v>1.0592361111111113</v>
      </c>
      <c r="F51">
        <f t="shared" si="3"/>
        <v>49</v>
      </c>
    </row>
    <row r="52" spans="1:6" x14ac:dyDescent="0.25">
      <c r="A52" s="2" t="s">
        <v>409</v>
      </c>
      <c r="B52">
        <v>12</v>
      </c>
      <c r="C52">
        <v>36</v>
      </c>
      <c r="D52" s="14">
        <f t="shared" si="2"/>
        <v>0.33333333333333331</v>
      </c>
      <c r="E52">
        <v>1.0458796296296295</v>
      </c>
      <c r="F52">
        <f t="shared" si="3"/>
        <v>49</v>
      </c>
    </row>
    <row r="53" spans="1:6" x14ac:dyDescent="0.25">
      <c r="A53" s="2" t="s">
        <v>383</v>
      </c>
      <c r="B53">
        <v>12</v>
      </c>
      <c r="C53">
        <v>36</v>
      </c>
      <c r="D53" s="14">
        <f t="shared" si="2"/>
        <v>0.33333333333333331</v>
      </c>
      <c r="E53">
        <v>1.0903240740740741</v>
      </c>
      <c r="F53">
        <f t="shared" si="3"/>
        <v>49</v>
      </c>
    </row>
    <row r="54" spans="1:6" x14ac:dyDescent="0.25">
      <c r="A54" s="2" t="s">
        <v>262</v>
      </c>
      <c r="B54">
        <v>11</v>
      </c>
      <c r="C54">
        <v>36</v>
      </c>
      <c r="D54" s="14">
        <f t="shared" si="2"/>
        <v>0.30555555555555558</v>
      </c>
      <c r="E54">
        <v>0.92449074074074078</v>
      </c>
      <c r="F54">
        <f t="shared" si="3"/>
        <v>53</v>
      </c>
    </row>
    <row r="55" spans="1:6" x14ac:dyDescent="0.25">
      <c r="A55" s="2" t="s">
        <v>222</v>
      </c>
      <c r="B55">
        <v>10</v>
      </c>
      <c r="C55">
        <v>36</v>
      </c>
      <c r="D55" s="14">
        <f t="shared" si="2"/>
        <v>0.27777777777777779</v>
      </c>
      <c r="E55">
        <v>0.82620370370370377</v>
      </c>
      <c r="F55">
        <f t="shared" si="3"/>
        <v>54</v>
      </c>
    </row>
    <row r="56" spans="1:6" x14ac:dyDescent="0.25">
      <c r="A56" s="2" t="s">
        <v>267</v>
      </c>
      <c r="B56">
        <v>10</v>
      </c>
      <c r="C56">
        <v>36</v>
      </c>
      <c r="D56" s="14">
        <f t="shared" si="2"/>
        <v>0.27777777777777779</v>
      </c>
      <c r="E56">
        <v>0.84255787037037044</v>
      </c>
      <c r="F56">
        <f t="shared" si="3"/>
        <v>54</v>
      </c>
    </row>
    <row r="57" spans="1:6" x14ac:dyDescent="0.25">
      <c r="A57" s="2" t="s">
        <v>570</v>
      </c>
      <c r="B57">
        <v>10</v>
      </c>
      <c r="C57">
        <v>36</v>
      </c>
      <c r="D57" s="14">
        <f t="shared" si="2"/>
        <v>0.27777777777777779</v>
      </c>
      <c r="E57">
        <v>0.88497685185185193</v>
      </c>
      <c r="F57">
        <f t="shared" si="3"/>
        <v>54</v>
      </c>
    </row>
    <row r="58" spans="1:6" x14ac:dyDescent="0.25">
      <c r="A58" s="2" t="s">
        <v>506</v>
      </c>
      <c r="B58">
        <v>9</v>
      </c>
      <c r="C58">
        <v>36</v>
      </c>
      <c r="D58" s="14">
        <f t="shared" si="2"/>
        <v>0.25</v>
      </c>
      <c r="E58">
        <v>0.82265046296296296</v>
      </c>
      <c r="F58">
        <f t="shared" si="3"/>
        <v>57</v>
      </c>
    </row>
    <row r="59" spans="1:6" x14ac:dyDescent="0.25">
      <c r="A59" s="2" t="s">
        <v>511</v>
      </c>
      <c r="B59">
        <v>9</v>
      </c>
      <c r="C59">
        <v>36</v>
      </c>
      <c r="D59" s="14">
        <f t="shared" si="2"/>
        <v>0.25</v>
      </c>
      <c r="E59">
        <v>0.78350694444444446</v>
      </c>
      <c r="F59">
        <f t="shared" si="3"/>
        <v>57</v>
      </c>
    </row>
    <row r="60" spans="1:6" x14ac:dyDescent="0.25">
      <c r="A60" s="2" t="s">
        <v>213</v>
      </c>
      <c r="B60">
        <v>9</v>
      </c>
      <c r="C60">
        <v>36</v>
      </c>
      <c r="D60" s="14">
        <f t="shared" si="2"/>
        <v>0.25</v>
      </c>
      <c r="E60">
        <v>0.78620370370370363</v>
      </c>
      <c r="F60">
        <f t="shared" si="3"/>
        <v>57</v>
      </c>
    </row>
    <row r="61" spans="1:6" x14ac:dyDescent="0.25">
      <c r="A61" s="2" t="s">
        <v>134</v>
      </c>
      <c r="B61">
        <v>9</v>
      </c>
      <c r="C61">
        <v>36</v>
      </c>
      <c r="D61" s="14">
        <f t="shared" si="2"/>
        <v>0.25</v>
      </c>
      <c r="E61">
        <v>0.69800925925925927</v>
      </c>
      <c r="F61">
        <f t="shared" si="3"/>
        <v>57</v>
      </c>
    </row>
    <row r="62" spans="1:6" x14ac:dyDescent="0.25">
      <c r="A62" s="2" t="s">
        <v>138</v>
      </c>
      <c r="B62">
        <v>9</v>
      </c>
      <c r="C62">
        <v>36</v>
      </c>
      <c r="D62" s="14">
        <f t="shared" si="2"/>
        <v>0.25</v>
      </c>
      <c r="E62">
        <v>0.79221064814814812</v>
      </c>
      <c r="F62">
        <f t="shared" si="3"/>
        <v>57</v>
      </c>
    </row>
    <row r="63" spans="1:6" x14ac:dyDescent="0.25">
      <c r="A63" s="2" t="s">
        <v>538</v>
      </c>
      <c r="B63">
        <v>8</v>
      </c>
      <c r="C63">
        <v>36</v>
      </c>
      <c r="D63" s="14">
        <f t="shared" si="2"/>
        <v>0.22222222222222221</v>
      </c>
      <c r="E63">
        <v>0.69039351851851849</v>
      </c>
      <c r="F63">
        <f t="shared" si="3"/>
        <v>62</v>
      </c>
    </row>
    <row r="64" spans="1:6" x14ac:dyDescent="0.25">
      <c r="A64" s="2" t="s">
        <v>549</v>
      </c>
      <c r="B64">
        <v>8</v>
      </c>
      <c r="C64">
        <v>36</v>
      </c>
      <c r="D64" s="14">
        <f t="shared" si="2"/>
        <v>0.22222222222222221</v>
      </c>
      <c r="E64">
        <v>0.65927083333333336</v>
      </c>
      <c r="F64">
        <f t="shared" si="3"/>
        <v>62</v>
      </c>
    </row>
    <row r="65" spans="1:6" x14ac:dyDescent="0.25">
      <c r="A65" s="2" t="s">
        <v>55</v>
      </c>
      <c r="B65">
        <v>8</v>
      </c>
      <c r="C65">
        <v>36</v>
      </c>
      <c r="D65" s="14">
        <f t="shared" si="2"/>
        <v>0.22222222222222221</v>
      </c>
      <c r="E65">
        <v>0.72842592592592592</v>
      </c>
      <c r="F65">
        <f t="shared" si="3"/>
        <v>62</v>
      </c>
    </row>
    <row r="66" spans="1:6" x14ac:dyDescent="0.25">
      <c r="A66" s="2" t="s">
        <v>13</v>
      </c>
      <c r="B66">
        <v>7</v>
      </c>
      <c r="C66">
        <v>36</v>
      </c>
      <c r="D66" s="14">
        <f t="shared" ref="D66:D97" si="4">B66/C66</f>
        <v>0.19444444444444445</v>
      </c>
      <c r="E66">
        <v>0.5827430555555555</v>
      </c>
      <c r="F66">
        <f t="shared" ref="F66:F97" si="5">_xlfn.RANK.EQ(D66,D:D,)</f>
        <v>65</v>
      </c>
    </row>
    <row r="67" spans="1:6" x14ac:dyDescent="0.25">
      <c r="A67" s="2" t="s">
        <v>530</v>
      </c>
      <c r="B67">
        <v>7</v>
      </c>
      <c r="C67">
        <v>36</v>
      </c>
      <c r="D67" s="14">
        <f t="shared" si="4"/>
        <v>0.19444444444444445</v>
      </c>
      <c r="E67">
        <v>0.58204861111111117</v>
      </c>
      <c r="F67">
        <f t="shared" si="5"/>
        <v>65</v>
      </c>
    </row>
    <row r="68" spans="1:6" x14ac:dyDescent="0.25">
      <c r="A68" s="2" t="s">
        <v>410</v>
      </c>
      <c r="B68">
        <v>7</v>
      </c>
      <c r="C68">
        <v>36</v>
      </c>
      <c r="D68" s="14">
        <f t="shared" si="4"/>
        <v>0.19444444444444445</v>
      </c>
      <c r="E68">
        <v>0.64781250000000001</v>
      </c>
      <c r="F68">
        <f t="shared" si="5"/>
        <v>65</v>
      </c>
    </row>
    <row r="69" spans="1:6" x14ac:dyDescent="0.25">
      <c r="A69" s="2" t="s">
        <v>335</v>
      </c>
      <c r="B69">
        <v>7</v>
      </c>
      <c r="C69">
        <v>36</v>
      </c>
      <c r="D69" s="14">
        <f t="shared" si="4"/>
        <v>0.19444444444444445</v>
      </c>
      <c r="E69">
        <v>0.59949074074074071</v>
      </c>
      <c r="F69">
        <f t="shared" si="5"/>
        <v>65</v>
      </c>
    </row>
    <row r="70" spans="1:6" x14ac:dyDescent="0.25">
      <c r="A70" s="2" t="s">
        <v>384</v>
      </c>
      <c r="B70">
        <v>7</v>
      </c>
      <c r="C70">
        <v>36</v>
      </c>
      <c r="D70" s="14">
        <f t="shared" si="4"/>
        <v>0.19444444444444445</v>
      </c>
      <c r="E70">
        <v>0.58012731481481483</v>
      </c>
      <c r="F70">
        <f t="shared" si="5"/>
        <v>65</v>
      </c>
    </row>
    <row r="71" spans="1:6" x14ac:dyDescent="0.25">
      <c r="A71" s="2" t="s">
        <v>261</v>
      </c>
      <c r="B71">
        <v>7</v>
      </c>
      <c r="C71">
        <v>36</v>
      </c>
      <c r="D71" s="14">
        <f t="shared" si="4"/>
        <v>0.19444444444444445</v>
      </c>
      <c r="E71">
        <v>0.53628472222222223</v>
      </c>
      <c r="F71">
        <f t="shared" si="5"/>
        <v>65</v>
      </c>
    </row>
    <row r="72" spans="1:6" x14ac:dyDescent="0.25">
      <c r="A72" s="2" t="s">
        <v>101</v>
      </c>
      <c r="B72">
        <v>7</v>
      </c>
      <c r="C72">
        <v>36</v>
      </c>
      <c r="D72" s="14">
        <f t="shared" si="4"/>
        <v>0.19444444444444445</v>
      </c>
      <c r="E72">
        <v>0.59924768518518523</v>
      </c>
      <c r="F72">
        <f t="shared" si="5"/>
        <v>65</v>
      </c>
    </row>
    <row r="73" spans="1:6" x14ac:dyDescent="0.25">
      <c r="A73" s="2" t="s">
        <v>200</v>
      </c>
      <c r="B73">
        <v>6</v>
      </c>
      <c r="C73">
        <v>36</v>
      </c>
      <c r="D73" s="14">
        <f t="shared" si="4"/>
        <v>0.16666666666666666</v>
      </c>
      <c r="E73">
        <v>0.46819444444444447</v>
      </c>
      <c r="F73">
        <f t="shared" si="5"/>
        <v>72</v>
      </c>
    </row>
    <row r="74" spans="1:6" x14ac:dyDescent="0.25">
      <c r="A74" s="2" t="s">
        <v>546</v>
      </c>
      <c r="B74">
        <v>6</v>
      </c>
      <c r="C74">
        <v>36</v>
      </c>
      <c r="D74" s="14">
        <f t="shared" si="4"/>
        <v>0.16666666666666666</v>
      </c>
      <c r="E74">
        <v>0.50312500000000004</v>
      </c>
      <c r="F74">
        <f t="shared" si="5"/>
        <v>72</v>
      </c>
    </row>
    <row r="75" spans="1:6" x14ac:dyDescent="0.25">
      <c r="A75" s="2" t="s">
        <v>585</v>
      </c>
      <c r="B75">
        <v>5</v>
      </c>
      <c r="C75">
        <v>36</v>
      </c>
      <c r="D75" s="14">
        <f t="shared" si="4"/>
        <v>0.1388888888888889</v>
      </c>
      <c r="E75">
        <v>0.46737268518518521</v>
      </c>
      <c r="F75">
        <f t="shared" si="5"/>
        <v>74</v>
      </c>
    </row>
    <row r="76" spans="1:6" x14ac:dyDescent="0.25">
      <c r="A76" s="2" t="s">
        <v>534</v>
      </c>
      <c r="B76">
        <v>5</v>
      </c>
      <c r="C76">
        <v>36</v>
      </c>
      <c r="D76" s="14">
        <f t="shared" si="4"/>
        <v>0.1388888888888889</v>
      </c>
      <c r="E76">
        <v>0.42208333333333331</v>
      </c>
      <c r="F76">
        <f t="shared" si="5"/>
        <v>74</v>
      </c>
    </row>
    <row r="77" spans="1:6" x14ac:dyDescent="0.25">
      <c r="A77" s="2" t="s">
        <v>236</v>
      </c>
      <c r="B77">
        <v>5</v>
      </c>
      <c r="C77">
        <v>36</v>
      </c>
      <c r="D77" s="14">
        <f t="shared" si="4"/>
        <v>0.1388888888888889</v>
      </c>
      <c r="E77">
        <v>0.49251157407407409</v>
      </c>
      <c r="F77">
        <f t="shared" si="5"/>
        <v>74</v>
      </c>
    </row>
    <row r="78" spans="1:6" x14ac:dyDescent="0.25">
      <c r="A78" s="2" t="s">
        <v>540</v>
      </c>
      <c r="B78">
        <v>5</v>
      </c>
      <c r="C78">
        <v>36</v>
      </c>
      <c r="D78" s="14">
        <f t="shared" si="4"/>
        <v>0.1388888888888889</v>
      </c>
      <c r="E78">
        <v>0.40134259259259258</v>
      </c>
      <c r="F78">
        <f t="shared" si="5"/>
        <v>74</v>
      </c>
    </row>
    <row r="79" spans="1:6" x14ac:dyDescent="0.25">
      <c r="A79" s="2" t="s">
        <v>78</v>
      </c>
      <c r="B79">
        <v>5</v>
      </c>
      <c r="C79">
        <v>36</v>
      </c>
      <c r="D79" s="14">
        <f t="shared" si="4"/>
        <v>0.1388888888888889</v>
      </c>
      <c r="E79">
        <v>0.41204861111111113</v>
      </c>
      <c r="F79">
        <f t="shared" si="5"/>
        <v>74</v>
      </c>
    </row>
    <row r="80" spans="1:6" x14ac:dyDescent="0.25">
      <c r="A80" s="2" t="s">
        <v>516</v>
      </c>
      <c r="B80">
        <v>5</v>
      </c>
      <c r="C80">
        <v>36</v>
      </c>
      <c r="D80" s="14">
        <f t="shared" si="4"/>
        <v>0.1388888888888889</v>
      </c>
      <c r="E80">
        <v>0.44266203703703705</v>
      </c>
      <c r="F80">
        <f t="shared" si="5"/>
        <v>74</v>
      </c>
    </row>
    <row r="81" spans="1:6" x14ac:dyDescent="0.25">
      <c r="A81" s="2" t="s">
        <v>82</v>
      </c>
      <c r="B81">
        <v>5</v>
      </c>
      <c r="C81">
        <v>36</v>
      </c>
      <c r="D81" s="14">
        <f t="shared" si="4"/>
        <v>0.1388888888888889</v>
      </c>
      <c r="E81">
        <v>0.40115740740740735</v>
      </c>
      <c r="F81">
        <f t="shared" si="5"/>
        <v>74</v>
      </c>
    </row>
    <row r="82" spans="1:6" x14ac:dyDescent="0.25">
      <c r="A82" s="2" t="s">
        <v>636</v>
      </c>
      <c r="B82">
        <v>4</v>
      </c>
      <c r="C82">
        <v>36</v>
      </c>
      <c r="D82" s="14">
        <f t="shared" si="4"/>
        <v>0.1111111111111111</v>
      </c>
      <c r="E82">
        <v>0.40590277777777778</v>
      </c>
      <c r="F82">
        <f t="shared" si="5"/>
        <v>81</v>
      </c>
    </row>
    <row r="83" spans="1:6" x14ac:dyDescent="0.25">
      <c r="A83" s="2" t="s">
        <v>112</v>
      </c>
      <c r="B83">
        <v>4</v>
      </c>
      <c r="C83">
        <v>36</v>
      </c>
      <c r="D83" s="14">
        <f t="shared" si="4"/>
        <v>0.1111111111111111</v>
      </c>
      <c r="E83">
        <v>0.27579861111111115</v>
      </c>
      <c r="F83">
        <f t="shared" si="5"/>
        <v>81</v>
      </c>
    </row>
    <row r="84" spans="1:6" x14ac:dyDescent="0.25">
      <c r="A84" s="2" t="s">
        <v>39</v>
      </c>
      <c r="B84">
        <v>4</v>
      </c>
      <c r="C84">
        <v>36</v>
      </c>
      <c r="D84" s="14">
        <f t="shared" si="4"/>
        <v>0.1111111111111111</v>
      </c>
      <c r="E84">
        <v>0.34006944444444448</v>
      </c>
      <c r="F84">
        <f t="shared" si="5"/>
        <v>81</v>
      </c>
    </row>
    <row r="85" spans="1:6" x14ac:dyDescent="0.25">
      <c r="A85" s="2" t="s">
        <v>407</v>
      </c>
      <c r="B85">
        <v>2</v>
      </c>
      <c r="C85">
        <v>36</v>
      </c>
      <c r="D85" s="14">
        <f t="shared" si="4"/>
        <v>5.5555555555555552E-2</v>
      </c>
      <c r="E85">
        <v>0.17310185185185184</v>
      </c>
      <c r="F85">
        <f t="shared" si="5"/>
        <v>84</v>
      </c>
    </row>
    <row r="86" spans="1:6" x14ac:dyDescent="0.25">
      <c r="A86" s="2" t="s">
        <v>625</v>
      </c>
      <c r="B86">
        <v>2</v>
      </c>
      <c r="C86">
        <v>36</v>
      </c>
      <c r="D86" s="14">
        <f t="shared" si="4"/>
        <v>5.5555555555555552E-2</v>
      </c>
      <c r="E86">
        <v>0.16621527777777778</v>
      </c>
      <c r="F86">
        <f t="shared" si="5"/>
        <v>84</v>
      </c>
    </row>
    <row r="87" spans="1:6" x14ac:dyDescent="0.25">
      <c r="A87" s="2" t="s">
        <v>503</v>
      </c>
      <c r="B87">
        <v>2</v>
      </c>
      <c r="C87">
        <v>36</v>
      </c>
      <c r="D87" s="14">
        <f t="shared" si="4"/>
        <v>5.5555555555555552E-2</v>
      </c>
      <c r="E87">
        <v>0.19674768518518518</v>
      </c>
      <c r="F87">
        <f t="shared" si="5"/>
        <v>84</v>
      </c>
    </row>
    <row r="88" spans="1:6" x14ac:dyDescent="0.25">
      <c r="A88" s="2" t="s">
        <v>592</v>
      </c>
      <c r="B88">
        <v>2</v>
      </c>
      <c r="C88">
        <v>36</v>
      </c>
      <c r="D88" s="14">
        <f t="shared" si="4"/>
        <v>5.5555555555555552E-2</v>
      </c>
      <c r="E88">
        <v>0.14476851851851852</v>
      </c>
      <c r="F88">
        <f t="shared" si="5"/>
        <v>84</v>
      </c>
    </row>
    <row r="89" spans="1:6" x14ac:dyDescent="0.25">
      <c r="A89" s="2" t="s">
        <v>412</v>
      </c>
      <c r="B89">
        <v>2</v>
      </c>
      <c r="C89">
        <v>36</v>
      </c>
      <c r="D89" s="14">
        <f t="shared" si="4"/>
        <v>5.5555555555555552E-2</v>
      </c>
      <c r="E89">
        <v>0.14520833333333333</v>
      </c>
      <c r="F89">
        <f t="shared" si="5"/>
        <v>84</v>
      </c>
    </row>
    <row r="90" spans="1:6" x14ac:dyDescent="0.25">
      <c r="A90" s="2" t="s">
        <v>243</v>
      </c>
      <c r="B90">
        <v>2</v>
      </c>
      <c r="C90">
        <v>36</v>
      </c>
      <c r="D90" s="14">
        <f t="shared" si="4"/>
        <v>5.5555555555555552E-2</v>
      </c>
      <c r="E90">
        <v>0.15128472222222222</v>
      </c>
      <c r="F90">
        <f t="shared" si="5"/>
        <v>84</v>
      </c>
    </row>
    <row r="91" spans="1:6" x14ac:dyDescent="0.25">
      <c r="A91" s="2" t="s">
        <v>129</v>
      </c>
      <c r="B91">
        <v>2</v>
      </c>
      <c r="C91">
        <v>36</v>
      </c>
      <c r="D91" s="14">
        <f t="shared" si="4"/>
        <v>5.5555555555555552E-2</v>
      </c>
      <c r="E91">
        <v>0.15494212962962961</v>
      </c>
      <c r="F91">
        <f t="shared" si="5"/>
        <v>84</v>
      </c>
    </row>
    <row r="92" spans="1:6" x14ac:dyDescent="0.25">
      <c r="A92" s="2" t="s">
        <v>486</v>
      </c>
      <c r="B92">
        <v>2</v>
      </c>
      <c r="C92">
        <v>36</v>
      </c>
      <c r="D92" s="14">
        <f t="shared" si="4"/>
        <v>5.5555555555555552E-2</v>
      </c>
      <c r="E92">
        <v>0.20599537037037036</v>
      </c>
      <c r="F92">
        <f t="shared" si="5"/>
        <v>84</v>
      </c>
    </row>
    <row r="93" spans="1:6" x14ac:dyDescent="0.25">
      <c r="A93" s="2" t="s">
        <v>379</v>
      </c>
      <c r="B93">
        <v>1</v>
      </c>
      <c r="C93">
        <v>36</v>
      </c>
      <c r="D93" s="14">
        <f t="shared" si="4"/>
        <v>2.7777777777777776E-2</v>
      </c>
      <c r="E93">
        <v>6.895833333333333E-2</v>
      </c>
      <c r="F93">
        <f t="shared" si="5"/>
        <v>92</v>
      </c>
    </row>
    <row r="94" spans="1:6" x14ac:dyDescent="0.25">
      <c r="A94" s="2" t="s">
        <v>394</v>
      </c>
      <c r="B94">
        <v>1</v>
      </c>
      <c r="C94">
        <v>36</v>
      </c>
      <c r="D94" s="14">
        <f t="shared" si="4"/>
        <v>2.7777777777777776E-2</v>
      </c>
      <c r="E94">
        <v>7.2048611111111105E-2</v>
      </c>
      <c r="F94">
        <f t="shared" si="5"/>
        <v>92</v>
      </c>
    </row>
    <row r="95" spans="1:6" x14ac:dyDescent="0.25">
      <c r="A95" s="2" t="s">
        <v>587</v>
      </c>
      <c r="B95">
        <v>1</v>
      </c>
      <c r="C95">
        <v>36</v>
      </c>
      <c r="D95" s="14">
        <f t="shared" si="4"/>
        <v>2.7777777777777776E-2</v>
      </c>
      <c r="E95">
        <v>6.5891203703703702E-2</v>
      </c>
      <c r="F95">
        <f t="shared" si="5"/>
        <v>92</v>
      </c>
    </row>
    <row r="96" spans="1:6" x14ac:dyDescent="0.25">
      <c r="A96" s="2" t="s">
        <v>686</v>
      </c>
      <c r="B96">
        <v>1</v>
      </c>
      <c r="C96">
        <v>36</v>
      </c>
      <c r="D96" s="14">
        <f t="shared" si="4"/>
        <v>2.7777777777777776E-2</v>
      </c>
      <c r="E96">
        <v>7.8877314814814817E-2</v>
      </c>
      <c r="F96">
        <f t="shared" si="5"/>
        <v>92</v>
      </c>
    </row>
    <row r="97" spans="1:6" x14ac:dyDescent="0.25">
      <c r="A97" s="2" t="s">
        <v>689</v>
      </c>
      <c r="B97">
        <v>1</v>
      </c>
      <c r="C97">
        <v>36</v>
      </c>
      <c r="D97" s="14">
        <f t="shared" si="4"/>
        <v>2.7777777777777776E-2</v>
      </c>
      <c r="E97">
        <v>7.8877314814814817E-2</v>
      </c>
      <c r="F97">
        <f t="shared" si="5"/>
        <v>92</v>
      </c>
    </row>
    <row r="98" spans="1:6" x14ac:dyDescent="0.25">
      <c r="A98" s="2" t="s">
        <v>668</v>
      </c>
      <c r="B98">
        <v>1</v>
      </c>
      <c r="C98">
        <v>36</v>
      </c>
      <c r="D98" s="14">
        <f t="shared" ref="D98:D129" si="6">B98/C98</f>
        <v>2.7777777777777776E-2</v>
      </c>
      <c r="E98">
        <v>8.925925925925926E-2</v>
      </c>
      <c r="F98">
        <f t="shared" ref="F98:F107" si="7">_xlfn.RANK.EQ(D98,D:D,)</f>
        <v>92</v>
      </c>
    </row>
    <row r="99" spans="1:6" x14ac:dyDescent="0.25">
      <c r="A99" s="2" t="s">
        <v>223</v>
      </c>
      <c r="B99">
        <v>1</v>
      </c>
      <c r="C99">
        <v>36</v>
      </c>
      <c r="D99" s="14">
        <f t="shared" si="6"/>
        <v>2.7777777777777776E-2</v>
      </c>
      <c r="E99">
        <v>9.6956018518518525E-2</v>
      </c>
      <c r="F99">
        <f t="shared" si="7"/>
        <v>92</v>
      </c>
    </row>
    <row r="100" spans="1:6" x14ac:dyDescent="0.25">
      <c r="A100" s="2" t="s">
        <v>122</v>
      </c>
      <c r="B100">
        <v>1</v>
      </c>
      <c r="C100">
        <v>36</v>
      </c>
      <c r="D100" s="14">
        <f t="shared" si="6"/>
        <v>2.7777777777777776E-2</v>
      </c>
      <c r="E100">
        <v>6.5439814814814812E-2</v>
      </c>
      <c r="F100">
        <f t="shared" si="7"/>
        <v>92</v>
      </c>
    </row>
    <row r="101" spans="1:6" x14ac:dyDescent="0.25">
      <c r="A101" s="2" t="s">
        <v>671</v>
      </c>
      <c r="B101">
        <v>1</v>
      </c>
      <c r="C101">
        <v>36</v>
      </c>
      <c r="D101" s="14">
        <f t="shared" si="6"/>
        <v>2.7777777777777776E-2</v>
      </c>
      <c r="E101">
        <v>8.925925925925926E-2</v>
      </c>
      <c r="F101">
        <f t="shared" si="7"/>
        <v>92</v>
      </c>
    </row>
    <row r="102" spans="1:6" x14ac:dyDescent="0.25">
      <c r="A102" s="2" t="s">
        <v>596</v>
      </c>
      <c r="B102">
        <v>1</v>
      </c>
      <c r="C102">
        <v>36</v>
      </c>
      <c r="D102" s="14">
        <f t="shared" si="6"/>
        <v>2.7777777777777776E-2</v>
      </c>
      <c r="E102">
        <v>6.5891203703703702E-2</v>
      </c>
      <c r="F102">
        <f t="shared" si="7"/>
        <v>92</v>
      </c>
    </row>
    <row r="103" spans="1:6" x14ac:dyDescent="0.25">
      <c r="A103" s="2" t="s">
        <v>483</v>
      </c>
      <c r="B103">
        <v>1</v>
      </c>
      <c r="C103">
        <v>36</v>
      </c>
      <c r="D103" s="14">
        <f t="shared" si="6"/>
        <v>2.7777777777777776E-2</v>
      </c>
      <c r="E103">
        <v>9.9895833333333336E-2</v>
      </c>
      <c r="F103">
        <f t="shared" si="7"/>
        <v>92</v>
      </c>
    </row>
    <row r="104" spans="1:6" x14ac:dyDescent="0.25">
      <c r="A104" s="2" t="s">
        <v>315</v>
      </c>
      <c r="B104">
        <v>1</v>
      </c>
      <c r="C104">
        <v>36</v>
      </c>
      <c r="D104" s="14">
        <f t="shared" si="6"/>
        <v>2.7777777777777776E-2</v>
      </c>
      <c r="E104">
        <v>7.604166666666666E-2</v>
      </c>
      <c r="F104">
        <f t="shared" si="7"/>
        <v>92</v>
      </c>
    </row>
    <row r="105" spans="1:6" x14ac:dyDescent="0.25">
      <c r="A105" s="2" t="s">
        <v>706</v>
      </c>
      <c r="B105">
        <v>1</v>
      </c>
      <c r="C105">
        <v>36</v>
      </c>
      <c r="D105" s="14">
        <f t="shared" si="6"/>
        <v>2.7777777777777776E-2</v>
      </c>
      <c r="E105">
        <v>7.8877314814814817E-2</v>
      </c>
      <c r="F105">
        <f t="shared" si="7"/>
        <v>92</v>
      </c>
    </row>
    <row r="106" spans="1:6" x14ac:dyDescent="0.25">
      <c r="A106" s="2" t="s">
        <v>651</v>
      </c>
      <c r="B106">
        <v>1</v>
      </c>
      <c r="C106">
        <v>36</v>
      </c>
      <c r="D106" s="14">
        <f t="shared" si="6"/>
        <v>2.7777777777777776E-2</v>
      </c>
      <c r="E106">
        <v>7.6249999999999998E-2</v>
      </c>
      <c r="F106">
        <f t="shared" si="7"/>
        <v>92</v>
      </c>
    </row>
    <row r="107" spans="1:6" x14ac:dyDescent="0.25">
      <c r="A107" s="2" t="s">
        <v>575</v>
      </c>
      <c r="B107">
        <v>1</v>
      </c>
      <c r="C107">
        <v>36</v>
      </c>
      <c r="D107" s="14">
        <f t="shared" si="6"/>
        <v>2.7777777777777776E-2</v>
      </c>
      <c r="E107">
        <v>8.3715277777777777E-2</v>
      </c>
      <c r="F107">
        <f t="shared" si="7"/>
        <v>92</v>
      </c>
    </row>
    <row r="108" spans="1:6" x14ac:dyDescent="0.25">
      <c r="A108" s="5"/>
      <c r="E108" s="3"/>
    </row>
    <row r="109" spans="1:6" x14ac:dyDescent="0.25">
      <c r="A109" s="6"/>
      <c r="E109" s="3"/>
    </row>
    <row r="110" spans="1:6" x14ac:dyDescent="0.25">
      <c r="A110" s="5"/>
      <c r="E110" s="3"/>
    </row>
    <row r="111" spans="1:6" x14ac:dyDescent="0.25">
      <c r="A111" s="6"/>
      <c r="B111" t="s">
        <v>751</v>
      </c>
      <c r="E111" s="3"/>
    </row>
    <row r="112" spans="1:6" x14ac:dyDescent="0.25">
      <c r="A112" s="5"/>
      <c r="B112" t="s">
        <v>794</v>
      </c>
      <c r="C112">
        <v>15</v>
      </c>
      <c r="E112" s="3"/>
    </row>
    <row r="113" spans="1:5" x14ac:dyDescent="0.25">
      <c r="A113" s="6"/>
      <c r="B113" t="s">
        <v>795</v>
      </c>
      <c r="C113">
        <v>17</v>
      </c>
      <c r="E113" s="3"/>
    </row>
    <row r="114" spans="1:5" x14ac:dyDescent="0.25">
      <c r="A114" s="5"/>
      <c r="B114" t="s">
        <v>796</v>
      </c>
      <c r="C114">
        <v>75</v>
      </c>
      <c r="E114" s="3"/>
    </row>
    <row r="115" spans="1:5" x14ac:dyDescent="0.25">
      <c r="A115" s="6"/>
      <c r="E115" s="3"/>
    </row>
    <row r="116" spans="1:5" x14ac:dyDescent="0.25">
      <c r="A116" s="5"/>
    </row>
    <row r="117" spans="1:5" x14ac:dyDescent="0.25">
      <c r="A117" s="6"/>
    </row>
    <row r="118" spans="1:5" x14ac:dyDescent="0.25">
      <c r="A118" s="5"/>
    </row>
    <row r="119" spans="1:5" x14ac:dyDescent="0.25">
      <c r="A119" s="6"/>
    </row>
    <row r="120" spans="1:5" x14ac:dyDescent="0.25">
      <c r="A120" s="5"/>
    </row>
    <row r="121" spans="1:5" x14ac:dyDescent="0.25">
      <c r="A121" s="6"/>
    </row>
    <row r="122" spans="1:5" x14ac:dyDescent="0.25">
      <c r="A122" s="5"/>
    </row>
    <row r="123" spans="1:5" x14ac:dyDescent="0.25">
      <c r="A123" s="6"/>
    </row>
    <row r="124" spans="1:5" x14ac:dyDescent="0.25">
      <c r="A124" s="5"/>
    </row>
    <row r="125" spans="1:5" x14ac:dyDescent="0.25">
      <c r="A125" s="6"/>
    </row>
    <row r="126" spans="1:5" x14ac:dyDescent="0.25">
      <c r="A126" s="5"/>
    </row>
    <row r="127" spans="1:5" x14ac:dyDescent="0.25">
      <c r="A127" s="6"/>
    </row>
    <row r="128" spans="1:5" x14ac:dyDescent="0.25">
      <c r="A128" s="5"/>
    </row>
    <row r="129" spans="1:1" x14ac:dyDescent="0.25">
      <c r="A129" s="6"/>
    </row>
    <row r="130" spans="1:1" x14ac:dyDescent="0.25">
      <c r="A130" s="5"/>
    </row>
    <row r="131" spans="1:1" x14ac:dyDescent="0.25">
      <c r="A131" s="6"/>
    </row>
    <row r="132" spans="1:1" x14ac:dyDescent="0.25">
      <c r="A132" s="5"/>
    </row>
    <row r="133" spans="1:1" x14ac:dyDescent="0.25">
      <c r="A133" s="6"/>
    </row>
    <row r="134" spans="1:1" x14ac:dyDescent="0.25">
      <c r="A134" s="5"/>
    </row>
    <row r="135" spans="1:1" x14ac:dyDescent="0.25">
      <c r="A135" s="6"/>
    </row>
    <row r="136" spans="1:1" x14ac:dyDescent="0.25">
      <c r="A136" s="5"/>
    </row>
    <row r="137" spans="1:1" x14ac:dyDescent="0.25">
      <c r="A137" s="6"/>
    </row>
    <row r="138" spans="1:1" x14ac:dyDescent="0.25">
      <c r="A138" s="5"/>
    </row>
    <row r="139" spans="1:1" x14ac:dyDescent="0.25">
      <c r="A139" s="6"/>
    </row>
    <row r="140" spans="1:1" x14ac:dyDescent="0.25">
      <c r="A140" s="5"/>
    </row>
    <row r="141" spans="1:1" x14ac:dyDescent="0.25">
      <c r="A141" s="6"/>
    </row>
    <row r="142" spans="1:1" x14ac:dyDescent="0.25">
      <c r="A142" s="5"/>
    </row>
    <row r="143" spans="1:1" x14ac:dyDescent="0.25">
      <c r="A143" s="6"/>
    </row>
    <row r="144" spans="1:1" x14ac:dyDescent="0.25">
      <c r="A144" s="5"/>
    </row>
    <row r="145" spans="1:1" x14ac:dyDescent="0.25">
      <c r="A145" s="6"/>
    </row>
    <row r="146" spans="1:1" x14ac:dyDescent="0.25">
      <c r="A146" s="5"/>
    </row>
    <row r="147" spans="1:1" x14ac:dyDescent="0.25">
      <c r="A147" s="6"/>
    </row>
    <row r="148" spans="1:1" x14ac:dyDescent="0.25">
      <c r="A148" s="5"/>
    </row>
    <row r="149" spans="1:1" x14ac:dyDescent="0.25">
      <c r="A149" s="6"/>
    </row>
    <row r="150" spans="1:1" x14ac:dyDescent="0.25">
      <c r="A150" s="5"/>
    </row>
    <row r="151" spans="1:1" x14ac:dyDescent="0.25">
      <c r="A151" s="6"/>
    </row>
    <row r="152" spans="1:1" x14ac:dyDescent="0.25">
      <c r="A152" s="5"/>
    </row>
    <row r="153" spans="1:1" x14ac:dyDescent="0.25">
      <c r="A153" s="6"/>
    </row>
    <row r="154" spans="1:1" x14ac:dyDescent="0.25">
      <c r="A154" s="5"/>
    </row>
    <row r="155" spans="1:1" x14ac:dyDescent="0.25">
      <c r="A155" s="6"/>
    </row>
    <row r="156" spans="1:1" x14ac:dyDescent="0.25">
      <c r="A156" s="5"/>
    </row>
    <row r="157" spans="1:1" x14ac:dyDescent="0.25">
      <c r="A157" s="6"/>
    </row>
    <row r="158" spans="1:1" x14ac:dyDescent="0.25">
      <c r="A158" s="5"/>
    </row>
    <row r="159" spans="1:1" x14ac:dyDescent="0.25">
      <c r="A159" s="6"/>
    </row>
    <row r="160" spans="1:1" x14ac:dyDescent="0.25">
      <c r="A160" s="5"/>
    </row>
    <row r="161" spans="1:1" x14ac:dyDescent="0.25">
      <c r="A161" s="6"/>
    </row>
    <row r="162" spans="1:1" x14ac:dyDescent="0.25">
      <c r="A162" s="5"/>
    </row>
    <row r="163" spans="1:1" x14ac:dyDescent="0.25">
      <c r="A163" s="6"/>
    </row>
    <row r="164" spans="1:1" x14ac:dyDescent="0.25">
      <c r="A164" s="5"/>
    </row>
    <row r="165" spans="1:1" x14ac:dyDescent="0.25">
      <c r="A165" s="6"/>
    </row>
    <row r="166" spans="1:1" x14ac:dyDescent="0.25">
      <c r="A166" s="5"/>
    </row>
    <row r="167" spans="1:1" x14ac:dyDescent="0.25">
      <c r="A167" s="6"/>
    </row>
    <row r="168" spans="1:1" x14ac:dyDescent="0.25">
      <c r="A168" s="5"/>
    </row>
    <row r="169" spans="1:1" x14ac:dyDescent="0.25">
      <c r="A169" s="6"/>
    </row>
    <row r="170" spans="1:1" x14ac:dyDescent="0.25">
      <c r="A170" s="5"/>
    </row>
    <row r="171" spans="1:1" x14ac:dyDescent="0.25">
      <c r="A171" s="6"/>
    </row>
    <row r="172" spans="1:1" x14ac:dyDescent="0.25">
      <c r="A172" s="5"/>
    </row>
    <row r="173" spans="1:1" x14ac:dyDescent="0.25">
      <c r="A173" s="6"/>
    </row>
    <row r="174" spans="1:1" x14ac:dyDescent="0.25">
      <c r="A174" s="5"/>
    </row>
    <row r="175" spans="1:1" x14ac:dyDescent="0.25">
      <c r="A175" s="6"/>
    </row>
    <row r="176" spans="1:1" x14ac:dyDescent="0.25">
      <c r="A176" s="5"/>
    </row>
    <row r="177" spans="1:1" x14ac:dyDescent="0.25">
      <c r="A177" s="6"/>
    </row>
    <row r="178" spans="1:1" x14ac:dyDescent="0.25">
      <c r="A178" s="5"/>
    </row>
    <row r="179" spans="1:1" x14ac:dyDescent="0.25">
      <c r="A179" s="6"/>
    </row>
    <row r="180" spans="1:1" x14ac:dyDescent="0.25">
      <c r="A180" s="5"/>
    </row>
    <row r="181" spans="1:1" x14ac:dyDescent="0.25">
      <c r="A181" s="6"/>
    </row>
    <row r="182" spans="1:1" x14ac:dyDescent="0.25">
      <c r="A182" s="5"/>
    </row>
    <row r="183" spans="1:1" x14ac:dyDescent="0.25">
      <c r="A183" s="6"/>
    </row>
    <row r="184" spans="1:1" x14ac:dyDescent="0.25">
      <c r="A184" s="5"/>
    </row>
    <row r="185" spans="1:1" x14ac:dyDescent="0.25">
      <c r="A185" s="6"/>
    </row>
    <row r="186" spans="1:1" x14ac:dyDescent="0.25">
      <c r="A186" s="5"/>
    </row>
    <row r="187" spans="1:1" x14ac:dyDescent="0.25">
      <c r="A187" s="6"/>
    </row>
    <row r="188" spans="1:1" x14ac:dyDescent="0.25">
      <c r="A188" s="5"/>
    </row>
    <row r="189" spans="1:1" x14ac:dyDescent="0.25">
      <c r="A189" s="6"/>
    </row>
    <row r="190" spans="1:1" x14ac:dyDescent="0.25">
      <c r="A190" s="5"/>
    </row>
    <row r="191" spans="1:1" x14ac:dyDescent="0.25">
      <c r="A191" s="6"/>
    </row>
    <row r="192" spans="1:1" x14ac:dyDescent="0.25">
      <c r="A192" s="5"/>
    </row>
    <row r="193" spans="1:1" x14ac:dyDescent="0.25">
      <c r="A193" s="6"/>
    </row>
    <row r="194" spans="1:1" x14ac:dyDescent="0.25">
      <c r="A194" s="5"/>
    </row>
    <row r="195" spans="1:1" x14ac:dyDescent="0.25">
      <c r="A195" s="6"/>
    </row>
    <row r="196" spans="1:1" x14ac:dyDescent="0.25">
      <c r="A196" s="5"/>
    </row>
    <row r="197" spans="1:1" x14ac:dyDescent="0.25">
      <c r="A197" s="6"/>
    </row>
    <row r="198" spans="1:1" x14ac:dyDescent="0.25">
      <c r="A198" s="5"/>
    </row>
    <row r="199" spans="1:1" x14ac:dyDescent="0.25">
      <c r="A199" s="6"/>
    </row>
    <row r="200" spans="1:1" x14ac:dyDescent="0.25">
      <c r="A200" s="5"/>
    </row>
    <row r="201" spans="1:1" x14ac:dyDescent="0.25">
      <c r="A201" s="6"/>
    </row>
    <row r="202" spans="1:1" x14ac:dyDescent="0.25">
      <c r="A202" s="5"/>
    </row>
    <row r="203" spans="1:1" x14ac:dyDescent="0.25">
      <c r="A203" s="6"/>
    </row>
    <row r="204" spans="1:1" x14ac:dyDescent="0.25">
      <c r="A204" s="5"/>
    </row>
    <row r="205" spans="1:1" x14ac:dyDescent="0.25">
      <c r="A205" s="6"/>
    </row>
    <row r="206" spans="1:1" x14ac:dyDescent="0.25">
      <c r="A206" s="5"/>
    </row>
    <row r="207" spans="1:1" x14ac:dyDescent="0.25">
      <c r="A207" s="6"/>
    </row>
    <row r="208" spans="1:1" x14ac:dyDescent="0.25">
      <c r="A208" s="5"/>
    </row>
    <row r="209" spans="1:1" x14ac:dyDescent="0.25">
      <c r="A209" s="6"/>
    </row>
    <row r="210" spans="1:1" x14ac:dyDescent="0.25">
      <c r="A210" s="5"/>
    </row>
    <row r="211" spans="1:1" x14ac:dyDescent="0.25">
      <c r="A211" s="6"/>
    </row>
    <row r="212" spans="1:1" x14ac:dyDescent="0.25">
      <c r="A212" s="5"/>
    </row>
    <row r="213" spans="1:1" x14ac:dyDescent="0.25">
      <c r="A213" s="6"/>
    </row>
    <row r="214" spans="1:1" x14ac:dyDescent="0.25">
      <c r="A214" s="5"/>
    </row>
    <row r="215" spans="1:1" x14ac:dyDescent="0.25">
      <c r="A215" s="6"/>
    </row>
    <row r="216" spans="1:1" x14ac:dyDescent="0.25">
      <c r="A216" s="5"/>
    </row>
    <row r="217" spans="1:1" x14ac:dyDescent="0.25">
      <c r="A217" s="6"/>
    </row>
    <row r="218" spans="1:1" x14ac:dyDescent="0.25">
      <c r="A218" s="5"/>
    </row>
    <row r="219" spans="1:1" x14ac:dyDescent="0.25">
      <c r="A219" s="6"/>
    </row>
    <row r="220" spans="1:1" x14ac:dyDescent="0.25">
      <c r="A220" s="5"/>
    </row>
    <row r="221" spans="1:1" x14ac:dyDescent="0.25">
      <c r="A221" s="6"/>
    </row>
    <row r="222" spans="1:1" x14ac:dyDescent="0.25">
      <c r="A222" s="5"/>
    </row>
    <row r="223" spans="1:1" x14ac:dyDescent="0.25">
      <c r="A223" s="6"/>
    </row>
    <row r="224" spans="1:1" x14ac:dyDescent="0.25">
      <c r="A224" s="5"/>
    </row>
    <row r="225" spans="1:1" x14ac:dyDescent="0.25">
      <c r="A225" s="6"/>
    </row>
    <row r="226" spans="1:1" x14ac:dyDescent="0.25">
      <c r="A226" s="5"/>
    </row>
    <row r="227" spans="1:1" x14ac:dyDescent="0.25">
      <c r="A227" s="6"/>
    </row>
    <row r="228" spans="1:1" x14ac:dyDescent="0.25">
      <c r="A228" s="5"/>
    </row>
    <row r="229" spans="1:1" x14ac:dyDescent="0.25">
      <c r="A229" s="6"/>
    </row>
    <row r="230" spans="1:1" x14ac:dyDescent="0.25">
      <c r="A230" s="5"/>
    </row>
    <row r="231" spans="1:1" x14ac:dyDescent="0.25">
      <c r="A231" s="6"/>
    </row>
    <row r="232" spans="1:1" x14ac:dyDescent="0.25">
      <c r="A232" s="5"/>
    </row>
    <row r="233" spans="1:1" x14ac:dyDescent="0.25">
      <c r="A233" s="6"/>
    </row>
    <row r="234" spans="1:1" x14ac:dyDescent="0.25">
      <c r="A234" s="5"/>
    </row>
    <row r="235" spans="1:1" x14ac:dyDescent="0.25">
      <c r="A235" s="6"/>
    </row>
    <row r="236" spans="1:1" x14ac:dyDescent="0.25">
      <c r="A236" s="5"/>
    </row>
    <row r="237" spans="1:1" x14ac:dyDescent="0.25">
      <c r="A237" s="6"/>
    </row>
    <row r="238" spans="1:1" x14ac:dyDescent="0.25">
      <c r="A238" s="5"/>
    </row>
    <row r="239" spans="1:1" x14ac:dyDescent="0.25">
      <c r="A239" s="6"/>
    </row>
    <row r="240" spans="1:1" x14ac:dyDescent="0.25">
      <c r="A240" s="5"/>
    </row>
    <row r="241" spans="1:1" x14ac:dyDescent="0.25">
      <c r="A241" s="6"/>
    </row>
    <row r="242" spans="1:1" x14ac:dyDescent="0.25">
      <c r="A242" s="5"/>
    </row>
    <row r="243" spans="1:1" x14ac:dyDescent="0.25">
      <c r="A243" s="6"/>
    </row>
    <row r="244" spans="1:1" x14ac:dyDescent="0.25">
      <c r="A244" s="5"/>
    </row>
    <row r="245" spans="1:1" x14ac:dyDescent="0.25">
      <c r="A245" s="6"/>
    </row>
    <row r="246" spans="1:1" x14ac:dyDescent="0.25">
      <c r="A246" s="5"/>
    </row>
    <row r="247" spans="1:1" x14ac:dyDescent="0.25">
      <c r="A247" s="6"/>
    </row>
    <row r="248" spans="1:1" x14ac:dyDescent="0.25">
      <c r="A248" s="5"/>
    </row>
    <row r="249" spans="1:1" x14ac:dyDescent="0.25">
      <c r="A249" s="6"/>
    </row>
    <row r="250" spans="1:1" x14ac:dyDescent="0.25">
      <c r="A250" s="5"/>
    </row>
    <row r="251" spans="1:1" x14ac:dyDescent="0.25">
      <c r="A251" s="6"/>
    </row>
    <row r="252" spans="1:1" x14ac:dyDescent="0.25">
      <c r="A252" s="5"/>
    </row>
    <row r="253" spans="1:1" x14ac:dyDescent="0.25">
      <c r="A253" s="6"/>
    </row>
    <row r="254" spans="1:1" x14ac:dyDescent="0.25">
      <c r="A254" s="5"/>
    </row>
    <row r="255" spans="1:1" x14ac:dyDescent="0.25">
      <c r="A255" s="6"/>
    </row>
    <row r="256" spans="1:1" x14ac:dyDescent="0.25">
      <c r="A256" s="5"/>
    </row>
    <row r="257" spans="1:1" x14ac:dyDescent="0.25">
      <c r="A257" s="6"/>
    </row>
    <row r="258" spans="1:1" x14ac:dyDescent="0.25">
      <c r="A258" s="5"/>
    </row>
    <row r="259" spans="1:1" x14ac:dyDescent="0.25">
      <c r="A259" s="6"/>
    </row>
    <row r="260" spans="1:1" x14ac:dyDescent="0.25">
      <c r="A260" s="5"/>
    </row>
    <row r="261" spans="1:1" x14ac:dyDescent="0.25">
      <c r="A261" s="6"/>
    </row>
    <row r="262" spans="1:1" x14ac:dyDescent="0.25">
      <c r="A262" s="5"/>
    </row>
    <row r="263" spans="1:1" x14ac:dyDescent="0.25">
      <c r="A263" s="6"/>
    </row>
    <row r="264" spans="1:1" x14ac:dyDescent="0.25">
      <c r="A264" s="5"/>
    </row>
    <row r="265" spans="1:1" x14ac:dyDescent="0.25">
      <c r="A265" s="6"/>
    </row>
    <row r="266" spans="1:1" x14ac:dyDescent="0.25">
      <c r="A266" s="5"/>
    </row>
    <row r="267" spans="1:1" x14ac:dyDescent="0.25">
      <c r="A267" s="6"/>
    </row>
    <row r="268" spans="1:1" x14ac:dyDescent="0.25">
      <c r="A268" s="5"/>
    </row>
    <row r="269" spans="1:1" x14ac:dyDescent="0.25">
      <c r="A269" s="6"/>
    </row>
    <row r="270" spans="1:1" x14ac:dyDescent="0.25">
      <c r="A270" s="5"/>
    </row>
    <row r="271" spans="1:1" x14ac:dyDescent="0.25">
      <c r="A271" s="6"/>
    </row>
    <row r="272" spans="1:1" x14ac:dyDescent="0.25">
      <c r="A272" s="5"/>
    </row>
    <row r="273" spans="1:1" x14ac:dyDescent="0.25">
      <c r="A273" s="6"/>
    </row>
    <row r="274" spans="1:1" x14ac:dyDescent="0.25">
      <c r="A274" s="5"/>
    </row>
    <row r="275" spans="1:1" x14ac:dyDescent="0.25">
      <c r="A275" s="6"/>
    </row>
    <row r="276" spans="1:1" x14ac:dyDescent="0.25">
      <c r="A276" s="5"/>
    </row>
    <row r="277" spans="1:1" x14ac:dyDescent="0.25">
      <c r="A277" s="6"/>
    </row>
    <row r="278" spans="1:1" x14ac:dyDescent="0.25">
      <c r="A278" s="5"/>
    </row>
    <row r="279" spans="1:1" x14ac:dyDescent="0.25">
      <c r="A279" s="6"/>
    </row>
    <row r="280" spans="1:1" x14ac:dyDescent="0.25">
      <c r="A280" s="5"/>
    </row>
    <row r="281" spans="1:1" x14ac:dyDescent="0.25">
      <c r="A281" s="6"/>
    </row>
    <row r="282" spans="1:1" x14ac:dyDescent="0.25">
      <c r="A282" s="5"/>
    </row>
    <row r="283" spans="1:1" x14ac:dyDescent="0.25">
      <c r="A283" s="6"/>
    </row>
    <row r="284" spans="1:1" x14ac:dyDescent="0.25">
      <c r="A284" s="5"/>
    </row>
    <row r="285" spans="1:1" x14ac:dyDescent="0.25">
      <c r="A285" s="6"/>
    </row>
    <row r="286" spans="1:1" x14ac:dyDescent="0.25">
      <c r="A286" s="5"/>
    </row>
    <row r="287" spans="1:1" x14ac:dyDescent="0.25">
      <c r="A287" s="6"/>
    </row>
    <row r="288" spans="1:1" x14ac:dyDescent="0.25">
      <c r="A288" s="5"/>
    </row>
    <row r="289" spans="1:1" x14ac:dyDescent="0.25">
      <c r="A289" s="6"/>
    </row>
    <row r="290" spans="1:1" x14ac:dyDescent="0.25">
      <c r="A290" s="5"/>
    </row>
    <row r="291" spans="1:1" x14ac:dyDescent="0.25">
      <c r="A291" s="6"/>
    </row>
    <row r="292" spans="1:1" x14ac:dyDescent="0.25">
      <c r="A292" s="5"/>
    </row>
    <row r="293" spans="1:1" x14ac:dyDescent="0.25">
      <c r="A293" s="6"/>
    </row>
    <row r="294" spans="1:1" x14ac:dyDescent="0.25">
      <c r="A294" s="5"/>
    </row>
    <row r="295" spans="1:1" x14ac:dyDescent="0.25">
      <c r="A295" s="6"/>
    </row>
    <row r="296" spans="1:1" x14ac:dyDescent="0.25">
      <c r="A296" s="5"/>
    </row>
    <row r="297" spans="1:1" x14ac:dyDescent="0.25">
      <c r="A297" s="6"/>
    </row>
    <row r="298" spans="1:1" x14ac:dyDescent="0.25">
      <c r="A298" s="5"/>
    </row>
    <row r="299" spans="1:1" x14ac:dyDescent="0.25">
      <c r="A299" s="6"/>
    </row>
    <row r="300" spans="1:1" x14ac:dyDescent="0.25">
      <c r="A300" s="5"/>
    </row>
    <row r="301" spans="1:1" x14ac:dyDescent="0.25">
      <c r="A301" s="6"/>
    </row>
    <row r="302" spans="1:1" x14ac:dyDescent="0.25">
      <c r="A302" s="5"/>
    </row>
    <row r="303" spans="1:1" x14ac:dyDescent="0.25">
      <c r="A303" s="6"/>
    </row>
    <row r="304" spans="1:1" x14ac:dyDescent="0.25">
      <c r="A304" s="5"/>
    </row>
    <row r="305" spans="1:1" x14ac:dyDescent="0.25">
      <c r="A305" s="6"/>
    </row>
    <row r="306" spans="1:1" x14ac:dyDescent="0.25">
      <c r="A306" s="5"/>
    </row>
    <row r="307" spans="1:1" x14ac:dyDescent="0.25">
      <c r="A307" s="6"/>
    </row>
    <row r="308" spans="1:1" x14ac:dyDescent="0.25">
      <c r="A308" s="5"/>
    </row>
    <row r="309" spans="1:1" x14ac:dyDescent="0.25">
      <c r="A309" s="6"/>
    </row>
    <row r="310" spans="1:1" x14ac:dyDescent="0.25">
      <c r="A310" s="5"/>
    </row>
    <row r="311" spans="1:1" x14ac:dyDescent="0.25">
      <c r="A311" s="6"/>
    </row>
    <row r="312" spans="1:1" x14ac:dyDescent="0.25">
      <c r="A312" s="5"/>
    </row>
    <row r="313" spans="1:1" x14ac:dyDescent="0.25">
      <c r="A313" s="6"/>
    </row>
    <row r="314" spans="1:1" x14ac:dyDescent="0.25">
      <c r="A314" s="5"/>
    </row>
    <row r="315" spans="1:1" x14ac:dyDescent="0.25">
      <c r="A315" s="6"/>
    </row>
    <row r="316" spans="1:1" x14ac:dyDescent="0.25">
      <c r="A316" s="5"/>
    </row>
    <row r="317" spans="1:1" x14ac:dyDescent="0.25">
      <c r="A317" s="6"/>
    </row>
    <row r="318" spans="1:1" x14ac:dyDescent="0.25">
      <c r="A318" s="5"/>
    </row>
    <row r="319" spans="1:1" x14ac:dyDescent="0.25">
      <c r="A319" s="6"/>
    </row>
    <row r="320" spans="1:1" x14ac:dyDescent="0.25">
      <c r="A320" s="5"/>
    </row>
    <row r="321" spans="1:1" x14ac:dyDescent="0.25">
      <c r="A321" s="6"/>
    </row>
    <row r="322" spans="1:1" x14ac:dyDescent="0.25">
      <c r="A322" s="5"/>
    </row>
    <row r="323" spans="1:1" x14ac:dyDescent="0.25">
      <c r="A323" s="6"/>
    </row>
    <row r="324" spans="1:1" x14ac:dyDescent="0.25">
      <c r="A324" s="5"/>
    </row>
    <row r="325" spans="1:1" x14ac:dyDescent="0.25">
      <c r="A325" s="6"/>
    </row>
    <row r="326" spans="1:1" x14ac:dyDescent="0.25">
      <c r="A326" s="5"/>
    </row>
    <row r="327" spans="1:1" x14ac:dyDescent="0.25">
      <c r="A327" s="6"/>
    </row>
    <row r="328" spans="1:1" x14ac:dyDescent="0.25">
      <c r="A328" s="5"/>
    </row>
    <row r="329" spans="1:1" x14ac:dyDescent="0.25">
      <c r="A329" s="6"/>
    </row>
    <row r="330" spans="1:1" x14ac:dyDescent="0.25">
      <c r="A330" s="5"/>
    </row>
    <row r="331" spans="1:1" x14ac:dyDescent="0.25">
      <c r="A331" s="6"/>
    </row>
    <row r="332" spans="1:1" x14ac:dyDescent="0.25">
      <c r="A332" s="5"/>
    </row>
    <row r="333" spans="1:1" x14ac:dyDescent="0.25">
      <c r="A333" s="6"/>
    </row>
    <row r="334" spans="1:1" x14ac:dyDescent="0.25">
      <c r="A334" s="5"/>
    </row>
    <row r="335" spans="1:1" x14ac:dyDescent="0.25">
      <c r="A335" s="6"/>
    </row>
    <row r="336" spans="1:1" x14ac:dyDescent="0.25">
      <c r="A336" s="5"/>
    </row>
    <row r="337" spans="1:1" x14ac:dyDescent="0.25">
      <c r="A337" s="6"/>
    </row>
    <row r="338" spans="1:1" x14ac:dyDescent="0.25">
      <c r="A338" s="5"/>
    </row>
    <row r="339" spans="1:1" x14ac:dyDescent="0.25">
      <c r="A339" s="6"/>
    </row>
    <row r="340" spans="1:1" x14ac:dyDescent="0.25">
      <c r="A340" s="5"/>
    </row>
    <row r="341" spans="1:1" x14ac:dyDescent="0.25">
      <c r="A341" s="6"/>
    </row>
    <row r="342" spans="1:1" x14ac:dyDescent="0.25">
      <c r="A342" s="5"/>
    </row>
    <row r="343" spans="1:1" x14ac:dyDescent="0.25">
      <c r="A343" s="6"/>
    </row>
    <row r="344" spans="1:1" x14ac:dyDescent="0.25">
      <c r="A344" s="5"/>
    </row>
    <row r="345" spans="1:1" x14ac:dyDescent="0.25">
      <c r="A345" s="6"/>
    </row>
    <row r="346" spans="1:1" x14ac:dyDescent="0.25">
      <c r="A346" s="5"/>
    </row>
    <row r="347" spans="1:1" x14ac:dyDescent="0.25">
      <c r="A347" s="6"/>
    </row>
    <row r="348" spans="1:1" x14ac:dyDescent="0.25">
      <c r="A348" s="5"/>
    </row>
    <row r="349" spans="1:1" x14ac:dyDescent="0.25">
      <c r="A349" s="6"/>
    </row>
    <row r="350" spans="1:1" x14ac:dyDescent="0.25">
      <c r="A350" s="5"/>
    </row>
    <row r="351" spans="1:1" x14ac:dyDescent="0.25">
      <c r="A351" s="6"/>
    </row>
    <row r="352" spans="1:1" x14ac:dyDescent="0.25">
      <c r="A352" s="5"/>
    </row>
    <row r="353" spans="1:1" x14ac:dyDescent="0.25">
      <c r="A353" s="6"/>
    </row>
    <row r="354" spans="1:1" x14ac:dyDescent="0.25">
      <c r="A354" s="5"/>
    </row>
    <row r="355" spans="1:1" x14ac:dyDescent="0.25">
      <c r="A355" s="6"/>
    </row>
    <row r="356" spans="1:1" x14ac:dyDescent="0.25">
      <c r="A356" s="5"/>
    </row>
    <row r="357" spans="1:1" x14ac:dyDescent="0.25">
      <c r="A357" s="6"/>
    </row>
    <row r="358" spans="1:1" x14ac:dyDescent="0.25">
      <c r="A358" s="5"/>
    </row>
    <row r="359" spans="1:1" x14ac:dyDescent="0.25">
      <c r="A359" s="6"/>
    </row>
    <row r="360" spans="1:1" x14ac:dyDescent="0.25">
      <c r="A360" s="5"/>
    </row>
    <row r="361" spans="1:1" x14ac:dyDescent="0.25">
      <c r="A361" s="6"/>
    </row>
    <row r="362" spans="1:1" x14ac:dyDescent="0.25">
      <c r="A362" s="5"/>
    </row>
    <row r="363" spans="1:1" x14ac:dyDescent="0.25">
      <c r="A363" s="6"/>
    </row>
    <row r="364" spans="1:1" x14ac:dyDescent="0.25">
      <c r="A364" s="5"/>
    </row>
    <row r="365" spans="1:1" x14ac:dyDescent="0.25">
      <c r="A365" s="6"/>
    </row>
    <row r="366" spans="1:1" x14ac:dyDescent="0.25">
      <c r="A366" s="5"/>
    </row>
    <row r="367" spans="1:1" x14ac:dyDescent="0.25">
      <c r="A367" s="6"/>
    </row>
    <row r="368" spans="1:1" x14ac:dyDescent="0.25">
      <c r="A368" s="5"/>
    </row>
    <row r="369" spans="1:1" x14ac:dyDescent="0.25">
      <c r="A369" s="6"/>
    </row>
    <row r="370" spans="1:1" x14ac:dyDescent="0.25">
      <c r="A370" s="5"/>
    </row>
    <row r="371" spans="1:1" x14ac:dyDescent="0.25">
      <c r="A371" s="6"/>
    </row>
    <row r="372" spans="1:1" x14ac:dyDescent="0.25">
      <c r="A372" s="5"/>
    </row>
    <row r="373" spans="1:1" x14ac:dyDescent="0.25">
      <c r="A373" s="6"/>
    </row>
    <row r="374" spans="1:1" x14ac:dyDescent="0.25">
      <c r="A374" s="5"/>
    </row>
    <row r="375" spans="1:1" x14ac:dyDescent="0.25">
      <c r="A375" s="6"/>
    </row>
    <row r="376" spans="1:1" x14ac:dyDescent="0.25">
      <c r="A376" s="5"/>
    </row>
    <row r="377" spans="1:1" x14ac:dyDescent="0.25">
      <c r="A377" s="6"/>
    </row>
    <row r="378" spans="1:1" x14ac:dyDescent="0.25">
      <c r="A378" s="5"/>
    </row>
    <row r="379" spans="1:1" x14ac:dyDescent="0.25">
      <c r="A379" s="6"/>
    </row>
    <row r="380" spans="1:1" x14ac:dyDescent="0.25">
      <c r="A380" s="5"/>
    </row>
    <row r="381" spans="1:1" x14ac:dyDescent="0.25">
      <c r="A381" s="6"/>
    </row>
    <row r="382" spans="1:1" x14ac:dyDescent="0.25">
      <c r="A382" s="5"/>
    </row>
    <row r="383" spans="1:1" x14ac:dyDescent="0.25">
      <c r="A383" s="6"/>
    </row>
    <row r="384" spans="1:1" x14ac:dyDescent="0.25">
      <c r="A384" s="5"/>
    </row>
    <row r="385" spans="1:1" x14ac:dyDescent="0.25">
      <c r="A385" s="6"/>
    </row>
    <row r="386" spans="1:1" x14ac:dyDescent="0.25">
      <c r="A386" s="5"/>
    </row>
    <row r="387" spans="1:1" x14ac:dyDescent="0.25">
      <c r="A387" s="6"/>
    </row>
    <row r="388" spans="1:1" x14ac:dyDescent="0.25">
      <c r="A388" s="5"/>
    </row>
    <row r="389" spans="1:1" x14ac:dyDescent="0.25">
      <c r="A389" s="6"/>
    </row>
    <row r="390" spans="1:1" x14ac:dyDescent="0.25">
      <c r="A390" s="5"/>
    </row>
    <row r="391" spans="1:1" x14ac:dyDescent="0.25">
      <c r="A391" s="6"/>
    </row>
    <row r="392" spans="1:1" x14ac:dyDescent="0.25">
      <c r="A392" s="5"/>
    </row>
    <row r="393" spans="1:1" x14ac:dyDescent="0.25">
      <c r="A393" s="6"/>
    </row>
    <row r="394" spans="1:1" x14ac:dyDescent="0.25">
      <c r="A394" s="5"/>
    </row>
    <row r="395" spans="1:1" x14ac:dyDescent="0.25">
      <c r="A395" s="6"/>
    </row>
    <row r="396" spans="1:1" x14ac:dyDescent="0.25">
      <c r="A396" s="5"/>
    </row>
    <row r="397" spans="1:1" x14ac:dyDescent="0.25">
      <c r="A397" s="6"/>
    </row>
    <row r="398" spans="1:1" x14ac:dyDescent="0.25">
      <c r="A398" s="5"/>
    </row>
    <row r="399" spans="1:1" x14ac:dyDescent="0.25">
      <c r="A399" s="6"/>
    </row>
    <row r="400" spans="1:1" x14ac:dyDescent="0.25">
      <c r="A400" s="5"/>
    </row>
    <row r="401" spans="1:1" x14ac:dyDescent="0.25">
      <c r="A401" s="6"/>
    </row>
    <row r="402" spans="1:1" x14ac:dyDescent="0.25">
      <c r="A402" s="5"/>
    </row>
    <row r="403" spans="1:1" x14ac:dyDescent="0.25">
      <c r="A403" s="6"/>
    </row>
    <row r="404" spans="1:1" x14ac:dyDescent="0.25">
      <c r="A404" s="5"/>
    </row>
    <row r="405" spans="1:1" x14ac:dyDescent="0.25">
      <c r="A405" s="6"/>
    </row>
    <row r="406" spans="1:1" x14ac:dyDescent="0.25">
      <c r="A406" s="5"/>
    </row>
    <row r="407" spans="1:1" x14ac:dyDescent="0.25">
      <c r="A407" s="6"/>
    </row>
    <row r="408" spans="1:1" x14ac:dyDescent="0.25">
      <c r="A408" s="5"/>
    </row>
    <row r="409" spans="1:1" x14ac:dyDescent="0.25">
      <c r="A409" s="6"/>
    </row>
    <row r="410" spans="1:1" x14ac:dyDescent="0.25">
      <c r="A410" s="5"/>
    </row>
    <row r="411" spans="1:1" x14ac:dyDescent="0.25">
      <c r="A411" s="6"/>
    </row>
    <row r="412" spans="1:1" x14ac:dyDescent="0.25">
      <c r="A412" s="5"/>
    </row>
    <row r="413" spans="1:1" x14ac:dyDescent="0.25">
      <c r="A413" s="6"/>
    </row>
    <row r="414" spans="1:1" x14ac:dyDescent="0.25">
      <c r="A414" s="5"/>
    </row>
    <row r="415" spans="1:1" x14ac:dyDescent="0.25">
      <c r="A415" s="6"/>
    </row>
    <row r="416" spans="1:1" x14ac:dyDescent="0.25">
      <c r="A416" s="5"/>
    </row>
    <row r="417" spans="1:1" x14ac:dyDescent="0.25">
      <c r="A417" s="6"/>
    </row>
    <row r="418" spans="1:1" x14ac:dyDescent="0.25">
      <c r="A418" s="5"/>
    </row>
    <row r="419" spans="1:1" x14ac:dyDescent="0.25">
      <c r="A419" s="6"/>
    </row>
    <row r="420" spans="1:1" x14ac:dyDescent="0.25">
      <c r="A420" s="5"/>
    </row>
    <row r="421" spans="1:1" x14ac:dyDescent="0.25">
      <c r="A421" s="6"/>
    </row>
    <row r="422" spans="1:1" x14ac:dyDescent="0.25">
      <c r="A422" s="5"/>
    </row>
    <row r="423" spans="1:1" x14ac:dyDescent="0.25">
      <c r="A423" s="6"/>
    </row>
    <row r="424" spans="1:1" x14ac:dyDescent="0.25">
      <c r="A424" s="5"/>
    </row>
    <row r="425" spans="1:1" x14ac:dyDescent="0.25">
      <c r="A425" s="6"/>
    </row>
    <row r="426" spans="1:1" x14ac:dyDescent="0.25">
      <c r="A426" s="5"/>
    </row>
    <row r="427" spans="1:1" x14ac:dyDescent="0.25">
      <c r="A427" s="6"/>
    </row>
    <row r="428" spans="1:1" x14ac:dyDescent="0.25">
      <c r="A428" s="5"/>
    </row>
    <row r="429" spans="1:1" x14ac:dyDescent="0.25">
      <c r="A429" s="6"/>
    </row>
    <row r="430" spans="1:1" x14ac:dyDescent="0.25">
      <c r="A430" s="5"/>
    </row>
    <row r="431" spans="1:1" x14ac:dyDescent="0.25">
      <c r="A431" s="6"/>
    </row>
    <row r="432" spans="1:1" x14ac:dyDescent="0.25">
      <c r="A432" s="5"/>
    </row>
    <row r="433" spans="1:1" x14ac:dyDescent="0.25">
      <c r="A433" s="6"/>
    </row>
    <row r="434" spans="1:1" x14ac:dyDescent="0.25">
      <c r="A434" s="5"/>
    </row>
    <row r="435" spans="1:1" x14ac:dyDescent="0.25">
      <c r="A435" s="6"/>
    </row>
    <row r="436" spans="1:1" x14ac:dyDescent="0.25">
      <c r="A436" s="5"/>
    </row>
    <row r="437" spans="1:1" x14ac:dyDescent="0.25">
      <c r="A437" s="6"/>
    </row>
    <row r="438" spans="1:1" x14ac:dyDescent="0.25">
      <c r="A438" s="5"/>
    </row>
    <row r="439" spans="1:1" x14ac:dyDescent="0.25">
      <c r="A439" s="6"/>
    </row>
    <row r="440" spans="1:1" x14ac:dyDescent="0.25">
      <c r="A440" s="5"/>
    </row>
    <row r="441" spans="1:1" x14ac:dyDescent="0.25">
      <c r="A441" s="6"/>
    </row>
    <row r="442" spans="1:1" x14ac:dyDescent="0.25">
      <c r="A442" s="5"/>
    </row>
    <row r="443" spans="1:1" x14ac:dyDescent="0.25">
      <c r="A443" s="6"/>
    </row>
    <row r="444" spans="1:1" x14ac:dyDescent="0.25">
      <c r="A444" s="5"/>
    </row>
    <row r="445" spans="1:1" x14ac:dyDescent="0.25">
      <c r="A445" s="6"/>
    </row>
    <row r="446" spans="1:1" x14ac:dyDescent="0.25">
      <c r="A446" s="5"/>
    </row>
    <row r="447" spans="1:1" x14ac:dyDescent="0.25">
      <c r="A447" s="6"/>
    </row>
    <row r="448" spans="1:1" x14ac:dyDescent="0.25">
      <c r="A448" s="5"/>
    </row>
    <row r="449" spans="1:1" x14ac:dyDescent="0.25">
      <c r="A449" s="6"/>
    </row>
    <row r="450" spans="1:1" x14ac:dyDescent="0.25">
      <c r="A450" s="5"/>
    </row>
    <row r="451" spans="1:1" x14ac:dyDescent="0.25">
      <c r="A451" s="6"/>
    </row>
    <row r="452" spans="1:1" x14ac:dyDescent="0.25">
      <c r="A452" s="5"/>
    </row>
    <row r="453" spans="1:1" x14ac:dyDescent="0.25">
      <c r="A453" s="6"/>
    </row>
    <row r="454" spans="1:1" x14ac:dyDescent="0.25">
      <c r="A454" s="5"/>
    </row>
    <row r="455" spans="1:1" x14ac:dyDescent="0.25">
      <c r="A455" s="6"/>
    </row>
    <row r="456" spans="1:1" x14ac:dyDescent="0.25">
      <c r="A456" s="5"/>
    </row>
    <row r="457" spans="1:1" x14ac:dyDescent="0.25">
      <c r="A457" s="6"/>
    </row>
    <row r="458" spans="1:1" x14ac:dyDescent="0.25">
      <c r="A458" s="5"/>
    </row>
    <row r="459" spans="1:1" x14ac:dyDescent="0.25">
      <c r="A459" s="6"/>
    </row>
    <row r="460" spans="1:1" x14ac:dyDescent="0.25">
      <c r="A460" s="5"/>
    </row>
    <row r="461" spans="1:1" x14ac:dyDescent="0.25">
      <c r="A461" s="6"/>
    </row>
    <row r="462" spans="1:1" x14ac:dyDescent="0.25">
      <c r="A462" s="5"/>
    </row>
    <row r="463" spans="1:1" x14ac:dyDescent="0.25">
      <c r="A463" s="6"/>
    </row>
    <row r="464" spans="1:1" x14ac:dyDescent="0.25">
      <c r="A464" s="5"/>
    </row>
    <row r="465" spans="1:1" x14ac:dyDescent="0.25">
      <c r="A465" s="6"/>
    </row>
    <row r="466" spans="1:1" x14ac:dyDescent="0.25">
      <c r="A466" s="5"/>
    </row>
    <row r="467" spans="1:1" x14ac:dyDescent="0.25">
      <c r="A467" s="6"/>
    </row>
    <row r="468" spans="1:1" x14ac:dyDescent="0.25">
      <c r="A468" s="5"/>
    </row>
    <row r="469" spans="1:1" x14ac:dyDescent="0.25">
      <c r="A469" s="6"/>
    </row>
    <row r="470" spans="1:1" x14ac:dyDescent="0.25">
      <c r="A470" s="5"/>
    </row>
    <row r="471" spans="1:1" x14ac:dyDescent="0.25">
      <c r="A471" s="6"/>
    </row>
    <row r="472" spans="1:1" x14ac:dyDescent="0.25">
      <c r="A472" s="5"/>
    </row>
    <row r="473" spans="1:1" x14ac:dyDescent="0.25">
      <c r="A473" s="6"/>
    </row>
    <row r="474" spans="1:1" x14ac:dyDescent="0.25">
      <c r="A474" s="5"/>
    </row>
    <row r="475" spans="1:1" x14ac:dyDescent="0.25">
      <c r="A475" s="6"/>
    </row>
    <row r="476" spans="1:1" x14ac:dyDescent="0.25">
      <c r="A476" s="5"/>
    </row>
    <row r="477" spans="1:1" x14ac:dyDescent="0.25">
      <c r="A477" s="6"/>
    </row>
    <row r="478" spans="1:1" x14ac:dyDescent="0.25">
      <c r="A478" s="5"/>
    </row>
    <row r="479" spans="1:1" x14ac:dyDescent="0.25">
      <c r="A479" s="6"/>
    </row>
    <row r="480" spans="1:1" x14ac:dyDescent="0.25">
      <c r="A480" s="5"/>
    </row>
    <row r="481" spans="1:1" x14ac:dyDescent="0.25">
      <c r="A481" s="6"/>
    </row>
    <row r="482" spans="1:1" x14ac:dyDescent="0.25">
      <c r="A482" s="5"/>
    </row>
    <row r="483" spans="1:1" x14ac:dyDescent="0.25">
      <c r="A483" s="6"/>
    </row>
    <row r="484" spans="1:1" x14ac:dyDescent="0.25">
      <c r="A484" s="5"/>
    </row>
    <row r="485" spans="1:1" x14ac:dyDescent="0.25">
      <c r="A485" s="6"/>
    </row>
    <row r="486" spans="1:1" x14ac:dyDescent="0.25">
      <c r="A486" s="5"/>
    </row>
    <row r="487" spans="1:1" x14ac:dyDescent="0.25">
      <c r="A487" s="6"/>
    </row>
    <row r="488" spans="1:1" x14ac:dyDescent="0.25">
      <c r="A488" s="5"/>
    </row>
    <row r="489" spans="1:1" x14ac:dyDescent="0.25">
      <c r="A489" s="6"/>
    </row>
    <row r="490" spans="1:1" x14ac:dyDescent="0.25">
      <c r="A490" s="5"/>
    </row>
    <row r="491" spans="1:1" x14ac:dyDescent="0.25">
      <c r="A491" s="6"/>
    </row>
    <row r="492" spans="1:1" x14ac:dyDescent="0.25">
      <c r="A492" s="5"/>
    </row>
    <row r="493" spans="1:1" x14ac:dyDescent="0.25">
      <c r="A493" s="6"/>
    </row>
    <row r="494" spans="1:1" x14ac:dyDescent="0.25">
      <c r="A494" s="5"/>
    </row>
    <row r="495" spans="1:1" x14ac:dyDescent="0.25">
      <c r="A495" s="6"/>
    </row>
    <row r="496" spans="1:1" x14ac:dyDescent="0.25">
      <c r="A496" s="5"/>
    </row>
    <row r="497" spans="1:1" x14ac:dyDescent="0.25">
      <c r="A497" s="6"/>
    </row>
    <row r="498" spans="1:1" x14ac:dyDescent="0.25">
      <c r="A498" s="5"/>
    </row>
    <row r="499" spans="1:1" x14ac:dyDescent="0.25">
      <c r="A499" s="6"/>
    </row>
    <row r="500" spans="1:1" x14ac:dyDescent="0.25">
      <c r="A500" s="5"/>
    </row>
    <row r="501" spans="1:1" x14ac:dyDescent="0.25">
      <c r="A501" s="6"/>
    </row>
    <row r="502" spans="1:1" x14ac:dyDescent="0.25">
      <c r="A502" s="5"/>
    </row>
    <row r="503" spans="1:1" x14ac:dyDescent="0.25">
      <c r="A503" s="6"/>
    </row>
    <row r="504" spans="1:1" x14ac:dyDescent="0.25">
      <c r="A504" s="5"/>
    </row>
    <row r="505" spans="1:1" x14ac:dyDescent="0.25">
      <c r="A505" s="6"/>
    </row>
    <row r="506" spans="1:1" x14ac:dyDescent="0.25">
      <c r="A506" s="5"/>
    </row>
    <row r="507" spans="1:1" x14ac:dyDescent="0.25">
      <c r="A507" s="6"/>
    </row>
    <row r="508" spans="1:1" x14ac:dyDescent="0.25">
      <c r="A508" s="5"/>
    </row>
    <row r="509" spans="1:1" x14ac:dyDescent="0.25">
      <c r="A509" s="6"/>
    </row>
    <row r="510" spans="1:1" x14ac:dyDescent="0.25">
      <c r="A510" s="5"/>
    </row>
    <row r="511" spans="1:1" x14ac:dyDescent="0.25">
      <c r="A511" s="6"/>
    </row>
    <row r="512" spans="1:1" x14ac:dyDescent="0.25">
      <c r="A512" s="5"/>
    </row>
    <row r="513" spans="1:1" x14ac:dyDescent="0.25">
      <c r="A513" s="6"/>
    </row>
    <row r="514" spans="1:1" x14ac:dyDescent="0.25">
      <c r="A514" s="5"/>
    </row>
    <row r="515" spans="1:1" x14ac:dyDescent="0.25">
      <c r="A515" s="6"/>
    </row>
    <row r="516" spans="1:1" x14ac:dyDescent="0.25">
      <c r="A516" s="5"/>
    </row>
    <row r="517" spans="1:1" x14ac:dyDescent="0.25">
      <c r="A517" s="6"/>
    </row>
    <row r="518" spans="1:1" x14ac:dyDescent="0.25">
      <c r="A518" s="5"/>
    </row>
    <row r="519" spans="1:1" x14ac:dyDescent="0.25">
      <c r="A519" s="6"/>
    </row>
    <row r="520" spans="1:1" x14ac:dyDescent="0.25">
      <c r="A520" s="5"/>
    </row>
    <row r="521" spans="1:1" x14ac:dyDescent="0.25">
      <c r="A521" s="6"/>
    </row>
    <row r="522" spans="1:1" x14ac:dyDescent="0.25">
      <c r="A522" s="5"/>
    </row>
    <row r="523" spans="1:1" x14ac:dyDescent="0.25">
      <c r="A523" s="6"/>
    </row>
    <row r="524" spans="1:1" x14ac:dyDescent="0.25">
      <c r="A524" s="5"/>
    </row>
    <row r="525" spans="1:1" x14ac:dyDescent="0.25">
      <c r="A525" s="6"/>
    </row>
    <row r="526" spans="1:1" x14ac:dyDescent="0.25">
      <c r="A526" s="5"/>
    </row>
    <row r="527" spans="1:1" x14ac:dyDescent="0.25">
      <c r="A527" s="6"/>
    </row>
    <row r="528" spans="1:1" x14ac:dyDescent="0.25">
      <c r="A528" s="5"/>
    </row>
    <row r="529" spans="1:1" x14ac:dyDescent="0.25">
      <c r="A529" s="6"/>
    </row>
    <row r="530" spans="1:1" x14ac:dyDescent="0.25">
      <c r="A530" s="5"/>
    </row>
    <row r="531" spans="1:1" x14ac:dyDescent="0.25">
      <c r="A531" s="6"/>
    </row>
    <row r="532" spans="1:1" x14ac:dyDescent="0.25">
      <c r="A532" s="5"/>
    </row>
    <row r="533" spans="1:1" x14ac:dyDescent="0.25">
      <c r="A533" s="6"/>
    </row>
    <row r="534" spans="1:1" x14ac:dyDescent="0.25">
      <c r="A534" s="5"/>
    </row>
    <row r="535" spans="1:1" x14ac:dyDescent="0.25">
      <c r="A535" s="6"/>
    </row>
    <row r="536" spans="1:1" x14ac:dyDescent="0.25">
      <c r="A536" s="5"/>
    </row>
    <row r="537" spans="1:1" x14ac:dyDescent="0.25">
      <c r="A537" s="6"/>
    </row>
    <row r="538" spans="1:1" x14ac:dyDescent="0.25">
      <c r="A538" s="5"/>
    </row>
    <row r="539" spans="1:1" x14ac:dyDescent="0.25">
      <c r="A539" s="6"/>
    </row>
    <row r="540" spans="1:1" x14ac:dyDescent="0.25">
      <c r="A540" s="5"/>
    </row>
    <row r="541" spans="1:1" x14ac:dyDescent="0.25">
      <c r="A541" s="6"/>
    </row>
    <row r="542" spans="1:1" x14ac:dyDescent="0.25">
      <c r="A542" s="5"/>
    </row>
    <row r="543" spans="1:1" x14ac:dyDescent="0.25">
      <c r="A543" s="6"/>
    </row>
    <row r="544" spans="1:1" x14ac:dyDescent="0.25">
      <c r="A544" s="5"/>
    </row>
    <row r="545" spans="1:1" x14ac:dyDescent="0.25">
      <c r="A545" s="6"/>
    </row>
    <row r="546" spans="1:1" x14ac:dyDescent="0.25">
      <c r="A546" s="5"/>
    </row>
    <row r="547" spans="1:1" x14ac:dyDescent="0.25">
      <c r="A547" s="6"/>
    </row>
    <row r="548" spans="1:1" x14ac:dyDescent="0.25">
      <c r="A548" s="5"/>
    </row>
    <row r="549" spans="1:1" x14ac:dyDescent="0.25">
      <c r="A549" s="6"/>
    </row>
    <row r="550" spans="1:1" x14ac:dyDescent="0.25">
      <c r="A550" s="5"/>
    </row>
    <row r="551" spans="1:1" x14ac:dyDescent="0.25">
      <c r="A551" s="6"/>
    </row>
    <row r="552" spans="1:1" x14ac:dyDescent="0.25">
      <c r="A552" s="5"/>
    </row>
    <row r="553" spans="1:1" x14ac:dyDescent="0.25">
      <c r="A553" s="6"/>
    </row>
    <row r="554" spans="1:1" x14ac:dyDescent="0.25">
      <c r="A554" s="5"/>
    </row>
    <row r="555" spans="1:1" x14ac:dyDescent="0.25">
      <c r="A555" s="6"/>
    </row>
    <row r="556" spans="1:1" x14ac:dyDescent="0.25">
      <c r="A556" s="5"/>
    </row>
    <row r="557" spans="1:1" x14ac:dyDescent="0.25">
      <c r="A557" s="6"/>
    </row>
    <row r="558" spans="1:1" x14ac:dyDescent="0.25">
      <c r="A558" s="5"/>
    </row>
    <row r="559" spans="1:1" x14ac:dyDescent="0.25">
      <c r="A559" s="6"/>
    </row>
    <row r="560" spans="1:1" x14ac:dyDescent="0.25">
      <c r="A560" s="5"/>
    </row>
    <row r="561" spans="1:1" x14ac:dyDescent="0.25">
      <c r="A561" s="6"/>
    </row>
    <row r="562" spans="1:1" x14ac:dyDescent="0.25">
      <c r="A562" s="5"/>
    </row>
    <row r="563" spans="1:1" x14ac:dyDescent="0.25">
      <c r="A563" s="6"/>
    </row>
    <row r="564" spans="1:1" x14ac:dyDescent="0.25">
      <c r="A564" s="5"/>
    </row>
    <row r="565" spans="1:1" x14ac:dyDescent="0.25">
      <c r="A565" s="6"/>
    </row>
    <row r="566" spans="1:1" x14ac:dyDescent="0.25">
      <c r="A566" s="5"/>
    </row>
    <row r="567" spans="1:1" x14ac:dyDescent="0.25">
      <c r="A567" s="6"/>
    </row>
    <row r="568" spans="1:1" x14ac:dyDescent="0.25">
      <c r="A568" s="5"/>
    </row>
    <row r="569" spans="1:1" x14ac:dyDescent="0.25">
      <c r="A569" s="6"/>
    </row>
    <row r="570" spans="1:1" x14ac:dyDescent="0.25">
      <c r="A570" s="5"/>
    </row>
    <row r="571" spans="1:1" x14ac:dyDescent="0.25">
      <c r="A571" s="6"/>
    </row>
    <row r="572" spans="1:1" x14ac:dyDescent="0.25">
      <c r="A572" s="5"/>
    </row>
    <row r="573" spans="1:1" x14ac:dyDescent="0.25">
      <c r="A573" s="6"/>
    </row>
    <row r="574" spans="1:1" x14ac:dyDescent="0.25">
      <c r="A574" s="5"/>
    </row>
    <row r="575" spans="1:1" x14ac:dyDescent="0.25">
      <c r="A575" s="6"/>
    </row>
    <row r="576" spans="1:1" x14ac:dyDescent="0.25">
      <c r="A576" s="5"/>
    </row>
    <row r="577" spans="1:1" x14ac:dyDescent="0.25">
      <c r="A577" s="6"/>
    </row>
    <row r="578" spans="1:1" x14ac:dyDescent="0.25">
      <c r="A578" s="5"/>
    </row>
    <row r="579" spans="1:1" x14ac:dyDescent="0.25">
      <c r="A579" s="6"/>
    </row>
    <row r="580" spans="1:1" x14ac:dyDescent="0.25">
      <c r="A580" s="5"/>
    </row>
    <row r="581" spans="1:1" x14ac:dyDescent="0.25">
      <c r="A581" s="6"/>
    </row>
    <row r="582" spans="1:1" x14ac:dyDescent="0.25">
      <c r="A582" s="5"/>
    </row>
    <row r="583" spans="1:1" x14ac:dyDescent="0.25">
      <c r="A583" s="6"/>
    </row>
    <row r="584" spans="1:1" x14ac:dyDescent="0.25">
      <c r="A584" s="5"/>
    </row>
    <row r="585" spans="1:1" x14ac:dyDescent="0.25">
      <c r="A585" s="6"/>
    </row>
    <row r="586" spans="1:1" x14ac:dyDescent="0.25">
      <c r="A586" s="5"/>
    </row>
    <row r="587" spans="1:1" x14ac:dyDescent="0.25">
      <c r="A587" s="6"/>
    </row>
    <row r="588" spans="1:1" x14ac:dyDescent="0.25">
      <c r="A588" s="5"/>
    </row>
    <row r="589" spans="1:1" x14ac:dyDescent="0.25">
      <c r="A589" s="6"/>
    </row>
    <row r="590" spans="1:1" x14ac:dyDescent="0.25">
      <c r="A590" s="5"/>
    </row>
    <row r="591" spans="1:1" x14ac:dyDescent="0.25">
      <c r="A591" s="6"/>
    </row>
    <row r="592" spans="1:1" x14ac:dyDescent="0.25">
      <c r="A592" s="5"/>
    </row>
    <row r="593" spans="1:1" x14ac:dyDescent="0.25">
      <c r="A593" s="6"/>
    </row>
    <row r="594" spans="1:1" x14ac:dyDescent="0.25">
      <c r="A594" s="5"/>
    </row>
    <row r="595" spans="1:1" x14ac:dyDescent="0.25">
      <c r="A595" s="6"/>
    </row>
    <row r="596" spans="1:1" x14ac:dyDescent="0.25">
      <c r="A596" s="5"/>
    </row>
    <row r="597" spans="1:1" x14ac:dyDescent="0.25">
      <c r="A597" s="6"/>
    </row>
    <row r="598" spans="1:1" x14ac:dyDescent="0.25">
      <c r="A598" s="5"/>
    </row>
    <row r="599" spans="1:1" x14ac:dyDescent="0.25">
      <c r="A599" s="6"/>
    </row>
    <row r="600" spans="1:1" x14ac:dyDescent="0.25">
      <c r="A600" s="5"/>
    </row>
    <row r="601" spans="1:1" x14ac:dyDescent="0.25">
      <c r="A601" s="6"/>
    </row>
    <row r="602" spans="1:1" x14ac:dyDescent="0.25">
      <c r="A602" s="5"/>
    </row>
    <row r="603" spans="1:1" x14ac:dyDescent="0.25">
      <c r="A603" s="6"/>
    </row>
    <row r="604" spans="1:1" x14ac:dyDescent="0.25">
      <c r="A604" s="5"/>
    </row>
    <row r="605" spans="1:1" x14ac:dyDescent="0.25">
      <c r="A605" s="6"/>
    </row>
    <row r="606" spans="1:1" x14ac:dyDescent="0.25">
      <c r="A606" s="5"/>
    </row>
    <row r="607" spans="1:1" x14ac:dyDescent="0.25">
      <c r="A607" s="6"/>
    </row>
    <row r="608" spans="1:1" x14ac:dyDescent="0.25">
      <c r="A608" s="5"/>
    </row>
    <row r="609" spans="1:1" x14ac:dyDescent="0.25">
      <c r="A609" s="6"/>
    </row>
    <row r="610" spans="1:1" x14ac:dyDescent="0.25">
      <c r="A610" s="5"/>
    </row>
    <row r="611" spans="1:1" x14ac:dyDescent="0.25">
      <c r="A611" s="6"/>
    </row>
    <row r="612" spans="1:1" x14ac:dyDescent="0.25">
      <c r="A612" s="5"/>
    </row>
    <row r="613" spans="1:1" x14ac:dyDescent="0.25">
      <c r="A613" s="6"/>
    </row>
    <row r="614" spans="1:1" x14ac:dyDescent="0.25">
      <c r="A614" s="5"/>
    </row>
    <row r="615" spans="1:1" x14ac:dyDescent="0.25">
      <c r="A615" s="6"/>
    </row>
    <row r="616" spans="1:1" x14ac:dyDescent="0.25">
      <c r="A616" s="5"/>
    </row>
    <row r="617" spans="1:1" x14ac:dyDescent="0.25">
      <c r="A617" s="6"/>
    </row>
    <row r="618" spans="1:1" x14ac:dyDescent="0.25">
      <c r="A618" s="5"/>
    </row>
    <row r="619" spans="1:1" x14ac:dyDescent="0.25">
      <c r="A619" s="6"/>
    </row>
    <row r="620" spans="1:1" x14ac:dyDescent="0.25">
      <c r="A620" s="5"/>
    </row>
    <row r="621" spans="1:1" x14ac:dyDescent="0.25">
      <c r="A621" s="6"/>
    </row>
    <row r="622" spans="1:1" x14ac:dyDescent="0.25">
      <c r="A622" s="5"/>
    </row>
    <row r="623" spans="1:1" x14ac:dyDescent="0.25">
      <c r="A623" s="6"/>
    </row>
    <row r="624" spans="1:1" x14ac:dyDescent="0.25">
      <c r="A624" s="5"/>
    </row>
    <row r="625" spans="1:1" x14ac:dyDescent="0.25">
      <c r="A625" s="6"/>
    </row>
    <row r="626" spans="1:1" x14ac:dyDescent="0.25">
      <c r="A626" s="5"/>
    </row>
    <row r="627" spans="1:1" x14ac:dyDescent="0.25">
      <c r="A627" s="6"/>
    </row>
    <row r="628" spans="1:1" x14ac:dyDescent="0.25">
      <c r="A628" s="5"/>
    </row>
    <row r="629" spans="1:1" x14ac:dyDescent="0.25">
      <c r="A629" s="6"/>
    </row>
    <row r="630" spans="1:1" x14ac:dyDescent="0.25">
      <c r="A630" s="5"/>
    </row>
    <row r="631" spans="1:1" x14ac:dyDescent="0.25">
      <c r="A631" s="6"/>
    </row>
    <row r="632" spans="1:1" x14ac:dyDescent="0.25">
      <c r="A632" s="5"/>
    </row>
    <row r="633" spans="1:1" x14ac:dyDescent="0.25">
      <c r="A633" s="6"/>
    </row>
    <row r="634" spans="1:1" x14ac:dyDescent="0.25">
      <c r="A634" s="5"/>
    </row>
    <row r="635" spans="1:1" x14ac:dyDescent="0.25">
      <c r="A635" s="6"/>
    </row>
    <row r="636" spans="1:1" x14ac:dyDescent="0.25">
      <c r="A636" s="5"/>
    </row>
    <row r="637" spans="1:1" x14ac:dyDescent="0.25">
      <c r="A637" s="6"/>
    </row>
    <row r="638" spans="1:1" x14ac:dyDescent="0.25">
      <c r="A638" s="5"/>
    </row>
    <row r="639" spans="1:1" x14ac:dyDescent="0.25">
      <c r="A639" s="6"/>
    </row>
    <row r="640" spans="1:1" x14ac:dyDescent="0.25">
      <c r="A640" s="5"/>
    </row>
    <row r="641" spans="1:1" x14ac:dyDescent="0.25">
      <c r="A641" s="6"/>
    </row>
    <row r="642" spans="1:1" x14ac:dyDescent="0.25">
      <c r="A642" s="5"/>
    </row>
    <row r="643" spans="1:1" x14ac:dyDescent="0.25">
      <c r="A643" s="6"/>
    </row>
    <row r="644" spans="1:1" x14ac:dyDescent="0.25">
      <c r="A644" s="5"/>
    </row>
    <row r="645" spans="1:1" x14ac:dyDescent="0.25">
      <c r="A645" s="6"/>
    </row>
    <row r="646" spans="1:1" x14ac:dyDescent="0.25">
      <c r="A646" s="5"/>
    </row>
    <row r="647" spans="1:1" x14ac:dyDescent="0.25">
      <c r="A647" s="6"/>
    </row>
    <row r="648" spans="1:1" x14ac:dyDescent="0.25">
      <c r="A648" s="5"/>
    </row>
    <row r="649" spans="1:1" x14ac:dyDescent="0.25">
      <c r="A649" s="6"/>
    </row>
    <row r="650" spans="1:1" x14ac:dyDescent="0.25">
      <c r="A650" s="5"/>
    </row>
    <row r="651" spans="1:1" x14ac:dyDescent="0.25">
      <c r="A651" s="6"/>
    </row>
    <row r="652" spans="1:1" x14ac:dyDescent="0.25">
      <c r="A652" s="5"/>
    </row>
    <row r="653" spans="1:1" x14ac:dyDescent="0.25">
      <c r="A653" s="6"/>
    </row>
    <row r="654" spans="1:1" x14ac:dyDescent="0.25">
      <c r="A654" s="5"/>
    </row>
    <row r="655" spans="1:1" x14ac:dyDescent="0.25">
      <c r="A655" s="6"/>
    </row>
    <row r="656" spans="1:1" x14ac:dyDescent="0.25">
      <c r="A656" s="5"/>
    </row>
    <row r="657" spans="1:1" x14ac:dyDescent="0.25">
      <c r="A657" s="6"/>
    </row>
    <row r="658" spans="1:1" x14ac:dyDescent="0.25">
      <c r="A658" s="5"/>
    </row>
    <row r="659" spans="1:1" x14ac:dyDescent="0.25">
      <c r="A659" s="6"/>
    </row>
    <row r="660" spans="1:1" x14ac:dyDescent="0.25">
      <c r="A660" s="5"/>
    </row>
    <row r="661" spans="1:1" x14ac:dyDescent="0.25">
      <c r="A661" s="6"/>
    </row>
    <row r="662" spans="1:1" x14ac:dyDescent="0.25">
      <c r="A662" s="5"/>
    </row>
    <row r="663" spans="1:1" x14ac:dyDescent="0.25">
      <c r="A663" s="6"/>
    </row>
    <row r="664" spans="1:1" x14ac:dyDescent="0.25">
      <c r="A664" s="5"/>
    </row>
    <row r="665" spans="1:1" x14ac:dyDescent="0.25">
      <c r="A665" s="6"/>
    </row>
    <row r="666" spans="1:1" x14ac:dyDescent="0.25">
      <c r="A666" s="5"/>
    </row>
    <row r="667" spans="1:1" x14ac:dyDescent="0.25">
      <c r="A667" s="6"/>
    </row>
    <row r="668" spans="1:1" x14ac:dyDescent="0.25">
      <c r="A668" s="5"/>
    </row>
    <row r="669" spans="1:1" x14ac:dyDescent="0.25">
      <c r="A669" s="6"/>
    </row>
    <row r="670" spans="1:1" x14ac:dyDescent="0.25">
      <c r="A670" s="5"/>
    </row>
    <row r="671" spans="1:1" x14ac:dyDescent="0.25">
      <c r="A671" s="6"/>
    </row>
    <row r="672" spans="1:1" x14ac:dyDescent="0.25">
      <c r="A672" s="5"/>
    </row>
    <row r="673" spans="1:1" x14ac:dyDescent="0.25">
      <c r="A673" s="6"/>
    </row>
    <row r="674" spans="1:1" x14ac:dyDescent="0.25">
      <c r="A674" s="5"/>
    </row>
    <row r="675" spans="1:1" x14ac:dyDescent="0.25">
      <c r="A675" s="6"/>
    </row>
    <row r="676" spans="1:1" x14ac:dyDescent="0.25">
      <c r="A676" s="5"/>
    </row>
    <row r="677" spans="1:1" x14ac:dyDescent="0.25">
      <c r="A677" s="6"/>
    </row>
    <row r="678" spans="1:1" x14ac:dyDescent="0.25">
      <c r="A678" s="5"/>
    </row>
    <row r="679" spans="1:1" x14ac:dyDescent="0.25">
      <c r="A679" s="6"/>
    </row>
    <row r="680" spans="1:1" x14ac:dyDescent="0.25">
      <c r="A680" s="5"/>
    </row>
    <row r="681" spans="1:1" x14ac:dyDescent="0.25">
      <c r="A681" s="6"/>
    </row>
    <row r="682" spans="1:1" x14ac:dyDescent="0.25">
      <c r="A682" s="5"/>
    </row>
    <row r="683" spans="1:1" x14ac:dyDescent="0.25">
      <c r="A683" s="6"/>
    </row>
    <row r="684" spans="1:1" x14ac:dyDescent="0.25">
      <c r="A684" s="5"/>
    </row>
    <row r="685" spans="1:1" x14ac:dyDescent="0.25">
      <c r="A685" s="6"/>
    </row>
    <row r="686" spans="1:1" x14ac:dyDescent="0.25">
      <c r="A686" s="5"/>
    </row>
    <row r="687" spans="1:1" x14ac:dyDescent="0.25">
      <c r="A687" s="6"/>
    </row>
    <row r="688" spans="1:1" x14ac:dyDescent="0.25">
      <c r="A688" s="5"/>
    </row>
    <row r="689" spans="1:1" x14ac:dyDescent="0.25">
      <c r="A689" s="6"/>
    </row>
    <row r="690" spans="1:1" x14ac:dyDescent="0.25">
      <c r="A690" s="5"/>
    </row>
    <row r="691" spans="1:1" x14ac:dyDescent="0.25">
      <c r="A691" s="6"/>
    </row>
    <row r="692" spans="1:1" x14ac:dyDescent="0.25">
      <c r="A692" s="5"/>
    </row>
    <row r="693" spans="1:1" x14ac:dyDescent="0.25">
      <c r="A693" s="6"/>
    </row>
    <row r="694" spans="1:1" x14ac:dyDescent="0.25">
      <c r="A694" s="5"/>
    </row>
    <row r="695" spans="1:1" x14ac:dyDescent="0.25">
      <c r="A695" s="6"/>
    </row>
    <row r="696" spans="1:1" x14ac:dyDescent="0.25">
      <c r="A696" s="5"/>
    </row>
    <row r="697" spans="1:1" x14ac:dyDescent="0.25">
      <c r="A697" s="6"/>
    </row>
    <row r="698" spans="1:1" x14ac:dyDescent="0.25">
      <c r="A698" s="5"/>
    </row>
    <row r="699" spans="1:1" x14ac:dyDescent="0.25">
      <c r="A699" s="6"/>
    </row>
    <row r="700" spans="1:1" x14ac:dyDescent="0.25">
      <c r="A700" s="5"/>
    </row>
    <row r="701" spans="1:1" x14ac:dyDescent="0.25">
      <c r="A701" s="6"/>
    </row>
    <row r="702" spans="1:1" x14ac:dyDescent="0.25">
      <c r="A702" s="5"/>
    </row>
    <row r="703" spans="1:1" x14ac:dyDescent="0.25">
      <c r="A703" s="6"/>
    </row>
    <row r="704" spans="1:1" x14ac:dyDescent="0.25">
      <c r="A704" s="5"/>
    </row>
    <row r="705" spans="1:1" x14ac:dyDescent="0.25">
      <c r="A705" s="6"/>
    </row>
    <row r="706" spans="1:1" x14ac:dyDescent="0.25">
      <c r="A706" s="5"/>
    </row>
    <row r="707" spans="1:1" x14ac:dyDescent="0.25">
      <c r="A707" s="6"/>
    </row>
    <row r="708" spans="1:1" x14ac:dyDescent="0.25">
      <c r="A708" s="5"/>
    </row>
    <row r="709" spans="1:1" x14ac:dyDescent="0.25">
      <c r="A709" s="6"/>
    </row>
    <row r="710" spans="1:1" x14ac:dyDescent="0.25">
      <c r="A710" s="5"/>
    </row>
    <row r="711" spans="1:1" x14ac:dyDescent="0.25">
      <c r="A711" s="6"/>
    </row>
    <row r="712" spans="1:1" x14ac:dyDescent="0.25">
      <c r="A712" s="5"/>
    </row>
    <row r="713" spans="1:1" x14ac:dyDescent="0.25">
      <c r="A713" s="6"/>
    </row>
    <row r="714" spans="1:1" x14ac:dyDescent="0.25">
      <c r="A714" s="5"/>
    </row>
    <row r="715" spans="1:1" x14ac:dyDescent="0.25">
      <c r="A715" s="6"/>
    </row>
    <row r="716" spans="1:1" x14ac:dyDescent="0.25">
      <c r="A716" s="5"/>
    </row>
    <row r="717" spans="1:1" x14ac:dyDescent="0.25">
      <c r="A717" s="6"/>
    </row>
    <row r="718" spans="1:1" x14ac:dyDescent="0.25">
      <c r="A718" s="5"/>
    </row>
    <row r="719" spans="1:1" x14ac:dyDescent="0.25">
      <c r="A719" s="6"/>
    </row>
    <row r="720" spans="1:1" x14ac:dyDescent="0.25">
      <c r="A720" s="5"/>
    </row>
    <row r="721" spans="1:1" x14ac:dyDescent="0.25">
      <c r="A721" s="6"/>
    </row>
    <row r="722" spans="1:1" x14ac:dyDescent="0.25">
      <c r="A722" s="5"/>
    </row>
    <row r="723" spans="1:1" x14ac:dyDescent="0.25">
      <c r="A723" s="6"/>
    </row>
    <row r="724" spans="1:1" x14ac:dyDescent="0.25">
      <c r="A724" s="5"/>
    </row>
    <row r="725" spans="1:1" x14ac:dyDescent="0.25">
      <c r="A725" s="6"/>
    </row>
    <row r="726" spans="1:1" x14ac:dyDescent="0.25">
      <c r="A726" s="5"/>
    </row>
    <row r="727" spans="1:1" x14ac:dyDescent="0.25">
      <c r="A727" s="6"/>
    </row>
    <row r="728" spans="1:1" x14ac:dyDescent="0.25">
      <c r="A728" s="5"/>
    </row>
    <row r="729" spans="1:1" x14ac:dyDescent="0.25">
      <c r="A729" s="6"/>
    </row>
    <row r="730" spans="1:1" x14ac:dyDescent="0.25">
      <c r="A730" s="5"/>
    </row>
    <row r="731" spans="1:1" x14ac:dyDescent="0.25">
      <c r="A731" s="6"/>
    </row>
    <row r="732" spans="1:1" x14ac:dyDescent="0.25">
      <c r="A732" s="5"/>
    </row>
    <row r="733" spans="1:1" x14ac:dyDescent="0.25">
      <c r="A733" s="6"/>
    </row>
    <row r="734" spans="1:1" x14ac:dyDescent="0.25">
      <c r="A734" s="5"/>
    </row>
    <row r="735" spans="1:1" x14ac:dyDescent="0.25">
      <c r="A735" s="6"/>
    </row>
    <row r="736" spans="1:1" x14ac:dyDescent="0.25">
      <c r="A736" s="5"/>
    </row>
    <row r="737" spans="1:1" x14ac:dyDescent="0.25">
      <c r="A737" s="6"/>
    </row>
    <row r="738" spans="1:1" x14ac:dyDescent="0.25">
      <c r="A738" s="5"/>
    </row>
    <row r="739" spans="1:1" x14ac:dyDescent="0.25">
      <c r="A739" s="6"/>
    </row>
    <row r="740" spans="1:1" x14ac:dyDescent="0.25">
      <c r="A740" s="5"/>
    </row>
    <row r="741" spans="1:1" x14ac:dyDescent="0.25">
      <c r="A741" s="6"/>
    </row>
    <row r="742" spans="1:1" x14ac:dyDescent="0.25">
      <c r="A742" s="5"/>
    </row>
    <row r="743" spans="1:1" x14ac:dyDescent="0.25">
      <c r="A743" s="6"/>
    </row>
    <row r="744" spans="1:1" x14ac:dyDescent="0.25">
      <c r="A744" s="5"/>
    </row>
    <row r="745" spans="1:1" x14ac:dyDescent="0.25">
      <c r="A745" s="6"/>
    </row>
    <row r="746" spans="1:1" x14ac:dyDescent="0.25">
      <c r="A746" s="5"/>
    </row>
    <row r="747" spans="1:1" x14ac:dyDescent="0.25">
      <c r="A747" s="6"/>
    </row>
    <row r="748" spans="1:1" x14ac:dyDescent="0.25">
      <c r="A748" s="5"/>
    </row>
    <row r="749" spans="1:1" x14ac:dyDescent="0.25">
      <c r="A749" s="6"/>
    </row>
    <row r="750" spans="1:1" x14ac:dyDescent="0.25">
      <c r="A750" s="5"/>
    </row>
    <row r="751" spans="1:1" x14ac:dyDescent="0.25">
      <c r="A751" s="6"/>
    </row>
    <row r="752" spans="1:1" x14ac:dyDescent="0.25">
      <c r="A752" s="5"/>
    </row>
    <row r="753" spans="1:1" x14ac:dyDescent="0.25">
      <c r="A753" s="6"/>
    </row>
    <row r="754" spans="1:1" x14ac:dyDescent="0.25">
      <c r="A754" s="5"/>
    </row>
    <row r="755" spans="1:1" x14ac:dyDescent="0.25">
      <c r="A755" s="6"/>
    </row>
    <row r="756" spans="1:1" x14ac:dyDescent="0.25">
      <c r="A756" s="5"/>
    </row>
    <row r="757" spans="1:1" x14ac:dyDescent="0.25">
      <c r="A757" s="6"/>
    </row>
    <row r="758" spans="1:1" x14ac:dyDescent="0.25">
      <c r="A758" s="5"/>
    </row>
    <row r="759" spans="1:1" x14ac:dyDescent="0.25">
      <c r="A759" s="6"/>
    </row>
    <row r="760" spans="1:1" x14ac:dyDescent="0.25">
      <c r="A760" s="5"/>
    </row>
    <row r="761" spans="1:1" x14ac:dyDescent="0.25">
      <c r="A761" s="6"/>
    </row>
    <row r="762" spans="1:1" x14ac:dyDescent="0.25">
      <c r="A762" s="5"/>
    </row>
    <row r="763" spans="1:1" x14ac:dyDescent="0.25">
      <c r="A763" s="6"/>
    </row>
    <row r="764" spans="1:1" x14ac:dyDescent="0.25">
      <c r="A764" s="5"/>
    </row>
    <row r="765" spans="1:1" x14ac:dyDescent="0.25">
      <c r="A765" s="6"/>
    </row>
    <row r="766" spans="1:1" x14ac:dyDescent="0.25">
      <c r="A766" s="5"/>
    </row>
    <row r="767" spans="1:1" x14ac:dyDescent="0.25">
      <c r="A767" s="6"/>
    </row>
    <row r="768" spans="1:1" x14ac:dyDescent="0.25">
      <c r="A768" s="5"/>
    </row>
    <row r="769" spans="1:1" x14ac:dyDescent="0.25">
      <c r="A769" s="6"/>
    </row>
    <row r="770" spans="1:1" x14ac:dyDescent="0.25">
      <c r="A770" s="5"/>
    </row>
    <row r="771" spans="1:1" x14ac:dyDescent="0.25">
      <c r="A771" s="6"/>
    </row>
    <row r="772" spans="1:1" x14ac:dyDescent="0.25">
      <c r="A772" s="5"/>
    </row>
    <row r="773" spans="1:1" x14ac:dyDescent="0.25">
      <c r="A773" s="6"/>
    </row>
    <row r="774" spans="1:1" x14ac:dyDescent="0.25">
      <c r="A774" s="5"/>
    </row>
    <row r="775" spans="1:1" x14ac:dyDescent="0.25">
      <c r="A775" s="6"/>
    </row>
    <row r="776" spans="1:1" x14ac:dyDescent="0.25">
      <c r="A776" s="5"/>
    </row>
    <row r="777" spans="1:1" x14ac:dyDescent="0.25">
      <c r="A777" s="6"/>
    </row>
    <row r="778" spans="1:1" x14ac:dyDescent="0.25">
      <c r="A778" s="5"/>
    </row>
    <row r="779" spans="1:1" x14ac:dyDescent="0.25">
      <c r="A779" s="6"/>
    </row>
    <row r="780" spans="1:1" x14ac:dyDescent="0.25">
      <c r="A780" s="5"/>
    </row>
    <row r="781" spans="1:1" x14ac:dyDescent="0.25">
      <c r="A781" s="6"/>
    </row>
    <row r="782" spans="1:1" x14ac:dyDescent="0.25">
      <c r="A782" s="5"/>
    </row>
    <row r="783" spans="1:1" x14ac:dyDescent="0.25">
      <c r="A783" s="6"/>
    </row>
    <row r="784" spans="1:1" x14ac:dyDescent="0.25">
      <c r="A784" s="5"/>
    </row>
    <row r="785" spans="1:1" x14ac:dyDescent="0.25">
      <c r="A785" s="6"/>
    </row>
    <row r="786" spans="1:1" x14ac:dyDescent="0.25">
      <c r="A786" s="5"/>
    </row>
    <row r="787" spans="1:1" x14ac:dyDescent="0.25">
      <c r="A787" s="6"/>
    </row>
    <row r="788" spans="1:1" x14ac:dyDescent="0.25">
      <c r="A788" s="5"/>
    </row>
    <row r="789" spans="1:1" x14ac:dyDescent="0.25">
      <c r="A789" s="6"/>
    </row>
    <row r="790" spans="1:1" x14ac:dyDescent="0.25">
      <c r="A790" s="5"/>
    </row>
    <row r="791" spans="1:1" x14ac:dyDescent="0.25">
      <c r="A791" s="6"/>
    </row>
    <row r="792" spans="1:1" x14ac:dyDescent="0.25">
      <c r="A792" s="5"/>
    </row>
    <row r="793" spans="1:1" x14ac:dyDescent="0.25">
      <c r="A793" s="6"/>
    </row>
    <row r="794" spans="1:1" x14ac:dyDescent="0.25">
      <c r="A794" s="5"/>
    </row>
    <row r="795" spans="1:1" x14ac:dyDescent="0.25">
      <c r="A795" s="6"/>
    </row>
    <row r="796" spans="1:1" x14ac:dyDescent="0.25">
      <c r="A796" s="5"/>
    </row>
    <row r="797" spans="1:1" x14ac:dyDescent="0.25">
      <c r="A797" s="6"/>
    </row>
    <row r="798" spans="1:1" x14ac:dyDescent="0.25">
      <c r="A798" s="5"/>
    </row>
    <row r="799" spans="1:1" x14ac:dyDescent="0.25">
      <c r="A799" s="6"/>
    </row>
    <row r="800" spans="1:1" x14ac:dyDescent="0.25">
      <c r="A800" s="5"/>
    </row>
    <row r="801" spans="1:1" x14ac:dyDescent="0.25">
      <c r="A801" s="6"/>
    </row>
    <row r="802" spans="1:1" x14ac:dyDescent="0.25">
      <c r="A802" s="5"/>
    </row>
    <row r="803" spans="1:1" x14ac:dyDescent="0.25">
      <c r="A803" s="6"/>
    </row>
    <row r="804" spans="1:1" x14ac:dyDescent="0.25">
      <c r="A804" s="5"/>
    </row>
    <row r="805" spans="1:1" x14ac:dyDescent="0.25">
      <c r="A805" s="6"/>
    </row>
    <row r="806" spans="1:1" x14ac:dyDescent="0.25">
      <c r="A806" s="5"/>
    </row>
    <row r="807" spans="1:1" x14ac:dyDescent="0.25">
      <c r="A807" s="6"/>
    </row>
    <row r="808" spans="1:1" x14ac:dyDescent="0.25">
      <c r="A808" s="5"/>
    </row>
    <row r="809" spans="1:1" x14ac:dyDescent="0.25">
      <c r="A809" s="6"/>
    </row>
    <row r="810" spans="1:1" x14ac:dyDescent="0.25">
      <c r="A810" s="5"/>
    </row>
    <row r="811" spans="1:1" x14ac:dyDescent="0.25">
      <c r="A811" s="6"/>
    </row>
    <row r="812" spans="1:1" x14ac:dyDescent="0.25">
      <c r="A812" s="5"/>
    </row>
    <row r="813" spans="1:1" x14ac:dyDescent="0.25">
      <c r="A813" s="6"/>
    </row>
    <row r="814" spans="1:1" x14ac:dyDescent="0.25">
      <c r="A814" s="5"/>
    </row>
    <row r="815" spans="1:1" x14ac:dyDescent="0.25">
      <c r="A815" s="6"/>
    </row>
    <row r="816" spans="1:1" x14ac:dyDescent="0.25">
      <c r="A816" s="5"/>
    </row>
    <row r="817" spans="1:1" x14ac:dyDescent="0.25">
      <c r="A817" s="6"/>
    </row>
    <row r="818" spans="1:1" x14ac:dyDescent="0.25">
      <c r="A818" s="5"/>
    </row>
    <row r="819" spans="1:1" x14ac:dyDescent="0.25">
      <c r="A819" s="6"/>
    </row>
    <row r="820" spans="1:1" x14ac:dyDescent="0.25">
      <c r="A820" s="5"/>
    </row>
    <row r="821" spans="1:1" x14ac:dyDescent="0.25">
      <c r="A821" s="6"/>
    </row>
    <row r="822" spans="1:1" x14ac:dyDescent="0.25">
      <c r="A822" s="5"/>
    </row>
    <row r="823" spans="1:1" x14ac:dyDescent="0.25">
      <c r="A823" s="6"/>
    </row>
    <row r="824" spans="1:1" x14ac:dyDescent="0.25">
      <c r="A824" s="5"/>
    </row>
    <row r="825" spans="1:1" x14ac:dyDescent="0.25">
      <c r="A825" s="6"/>
    </row>
    <row r="826" spans="1:1" x14ac:dyDescent="0.25">
      <c r="A826" s="5"/>
    </row>
    <row r="827" spans="1:1" x14ac:dyDescent="0.25">
      <c r="A827" s="6"/>
    </row>
    <row r="828" spans="1:1" x14ac:dyDescent="0.25">
      <c r="A828" s="5"/>
    </row>
    <row r="829" spans="1:1" x14ac:dyDescent="0.25">
      <c r="A829" s="6"/>
    </row>
    <row r="830" spans="1:1" x14ac:dyDescent="0.25">
      <c r="A830" s="5"/>
    </row>
    <row r="831" spans="1:1" x14ac:dyDescent="0.25">
      <c r="A831" s="6"/>
    </row>
    <row r="832" spans="1:1" x14ac:dyDescent="0.25">
      <c r="A832" s="5"/>
    </row>
    <row r="833" spans="1:1" x14ac:dyDescent="0.25">
      <c r="A833" s="6"/>
    </row>
    <row r="834" spans="1:1" x14ac:dyDescent="0.25">
      <c r="A834" s="5"/>
    </row>
    <row r="835" spans="1:1" x14ac:dyDescent="0.25">
      <c r="A835" s="6"/>
    </row>
    <row r="836" spans="1:1" x14ac:dyDescent="0.25">
      <c r="A836" s="5"/>
    </row>
    <row r="837" spans="1:1" x14ac:dyDescent="0.25">
      <c r="A837" s="6"/>
    </row>
    <row r="838" spans="1:1" x14ac:dyDescent="0.25">
      <c r="A838" s="5"/>
    </row>
    <row r="839" spans="1:1" x14ac:dyDescent="0.25">
      <c r="A839" s="6"/>
    </row>
    <row r="840" spans="1:1" x14ac:dyDescent="0.25">
      <c r="A840" s="5"/>
    </row>
    <row r="841" spans="1:1" x14ac:dyDescent="0.25">
      <c r="A841" s="6"/>
    </row>
    <row r="842" spans="1:1" x14ac:dyDescent="0.25">
      <c r="A842" s="5"/>
    </row>
    <row r="843" spans="1:1" x14ac:dyDescent="0.25">
      <c r="A843" s="6"/>
    </row>
    <row r="844" spans="1:1" x14ac:dyDescent="0.25">
      <c r="A844" s="5"/>
    </row>
    <row r="845" spans="1:1" x14ac:dyDescent="0.25">
      <c r="A845" s="6"/>
    </row>
    <row r="846" spans="1:1" x14ac:dyDescent="0.25">
      <c r="A846" s="5"/>
    </row>
    <row r="847" spans="1:1" x14ac:dyDescent="0.25">
      <c r="A847" s="6"/>
    </row>
    <row r="848" spans="1:1" x14ac:dyDescent="0.25">
      <c r="A848" s="5"/>
    </row>
    <row r="849" spans="1:1" x14ac:dyDescent="0.25">
      <c r="A849" s="6"/>
    </row>
    <row r="850" spans="1:1" x14ac:dyDescent="0.25">
      <c r="A850" s="5"/>
    </row>
    <row r="851" spans="1:1" x14ac:dyDescent="0.25">
      <c r="A851" s="6"/>
    </row>
    <row r="852" spans="1:1" x14ac:dyDescent="0.25">
      <c r="A852" s="5"/>
    </row>
    <row r="853" spans="1:1" x14ac:dyDescent="0.25">
      <c r="A853" s="6"/>
    </row>
    <row r="854" spans="1:1" x14ac:dyDescent="0.25">
      <c r="A854" s="5"/>
    </row>
    <row r="855" spans="1:1" x14ac:dyDescent="0.25">
      <c r="A855" s="6"/>
    </row>
    <row r="856" spans="1:1" x14ac:dyDescent="0.25">
      <c r="A856" s="5"/>
    </row>
    <row r="857" spans="1:1" x14ac:dyDescent="0.25">
      <c r="A857" s="6"/>
    </row>
    <row r="858" spans="1:1" x14ac:dyDescent="0.25">
      <c r="A858" s="5"/>
    </row>
    <row r="859" spans="1:1" x14ac:dyDescent="0.25">
      <c r="A859" s="6"/>
    </row>
    <row r="860" spans="1:1" x14ac:dyDescent="0.25">
      <c r="A860" s="5"/>
    </row>
    <row r="861" spans="1:1" x14ac:dyDescent="0.25">
      <c r="A861" s="6"/>
    </row>
    <row r="862" spans="1:1" x14ac:dyDescent="0.25">
      <c r="A862" s="5"/>
    </row>
    <row r="863" spans="1:1" x14ac:dyDescent="0.25">
      <c r="A863" s="6"/>
    </row>
    <row r="864" spans="1:1" x14ac:dyDescent="0.25">
      <c r="A864" s="5"/>
    </row>
    <row r="865" spans="1:1" x14ac:dyDescent="0.25">
      <c r="A865" s="6"/>
    </row>
    <row r="866" spans="1:1" x14ac:dyDescent="0.25">
      <c r="A866" s="5"/>
    </row>
    <row r="867" spans="1:1" x14ac:dyDescent="0.25">
      <c r="A867" s="6"/>
    </row>
    <row r="868" spans="1:1" x14ac:dyDescent="0.25">
      <c r="A868" s="5"/>
    </row>
    <row r="869" spans="1:1" x14ac:dyDescent="0.25">
      <c r="A869" s="6"/>
    </row>
    <row r="870" spans="1:1" x14ac:dyDescent="0.25">
      <c r="A870" s="5"/>
    </row>
    <row r="871" spans="1:1" x14ac:dyDescent="0.25">
      <c r="A871" s="6"/>
    </row>
    <row r="872" spans="1:1" x14ac:dyDescent="0.25">
      <c r="A872" s="5"/>
    </row>
    <row r="873" spans="1:1" x14ac:dyDescent="0.25">
      <c r="A873" s="6"/>
    </row>
    <row r="874" spans="1:1" x14ac:dyDescent="0.25">
      <c r="A874" s="5"/>
    </row>
    <row r="875" spans="1:1" x14ac:dyDescent="0.25">
      <c r="A875" s="6"/>
    </row>
    <row r="876" spans="1:1" x14ac:dyDescent="0.25">
      <c r="A876" s="5"/>
    </row>
    <row r="877" spans="1:1" x14ac:dyDescent="0.25">
      <c r="A877" s="6"/>
    </row>
    <row r="878" spans="1:1" x14ac:dyDescent="0.25">
      <c r="A878" s="5"/>
    </row>
    <row r="879" spans="1:1" x14ac:dyDescent="0.25">
      <c r="A879" s="6"/>
    </row>
    <row r="880" spans="1:1" x14ac:dyDescent="0.25">
      <c r="A880" s="5"/>
    </row>
    <row r="881" spans="1:1" x14ac:dyDescent="0.25">
      <c r="A881" s="6"/>
    </row>
    <row r="882" spans="1:1" x14ac:dyDescent="0.25">
      <c r="A882" s="5"/>
    </row>
    <row r="883" spans="1:1" x14ac:dyDescent="0.25">
      <c r="A883" s="6"/>
    </row>
    <row r="884" spans="1:1" x14ac:dyDescent="0.25">
      <c r="A884" s="5"/>
    </row>
    <row r="885" spans="1:1" x14ac:dyDescent="0.25">
      <c r="A885" s="6"/>
    </row>
    <row r="886" spans="1:1" x14ac:dyDescent="0.25">
      <c r="A886" s="5"/>
    </row>
    <row r="887" spans="1:1" x14ac:dyDescent="0.25">
      <c r="A887" s="6"/>
    </row>
    <row r="888" spans="1:1" x14ac:dyDescent="0.25">
      <c r="A888" s="5"/>
    </row>
    <row r="889" spans="1:1" x14ac:dyDescent="0.25">
      <c r="A889" s="6"/>
    </row>
    <row r="890" spans="1:1" x14ac:dyDescent="0.25">
      <c r="A890" s="5"/>
    </row>
    <row r="891" spans="1:1" x14ac:dyDescent="0.25">
      <c r="A891" s="6"/>
    </row>
    <row r="892" spans="1:1" x14ac:dyDescent="0.25">
      <c r="A892" s="5"/>
    </row>
    <row r="893" spans="1:1" x14ac:dyDescent="0.25">
      <c r="A893" s="6"/>
    </row>
    <row r="894" spans="1:1" x14ac:dyDescent="0.25">
      <c r="A894" s="5"/>
    </row>
    <row r="895" spans="1:1" x14ac:dyDescent="0.25">
      <c r="A895" s="6"/>
    </row>
    <row r="896" spans="1:1" x14ac:dyDescent="0.25">
      <c r="A896" s="5"/>
    </row>
    <row r="897" spans="1:1" x14ac:dyDescent="0.25">
      <c r="A897" s="6"/>
    </row>
    <row r="898" spans="1:1" x14ac:dyDescent="0.25">
      <c r="A898" s="5"/>
    </row>
    <row r="899" spans="1:1" x14ac:dyDescent="0.25">
      <c r="A899" s="6"/>
    </row>
    <row r="900" spans="1:1" x14ac:dyDescent="0.25">
      <c r="A900" s="5"/>
    </row>
    <row r="901" spans="1:1" x14ac:dyDescent="0.25">
      <c r="A901" s="6"/>
    </row>
    <row r="902" spans="1:1" x14ac:dyDescent="0.25">
      <c r="A902" s="5"/>
    </row>
    <row r="903" spans="1:1" x14ac:dyDescent="0.25">
      <c r="A903" s="6"/>
    </row>
    <row r="904" spans="1:1" x14ac:dyDescent="0.25">
      <c r="A904" s="5"/>
    </row>
    <row r="905" spans="1:1" x14ac:dyDescent="0.25">
      <c r="A905" s="6"/>
    </row>
    <row r="906" spans="1:1" x14ac:dyDescent="0.25">
      <c r="A906" s="5"/>
    </row>
    <row r="907" spans="1:1" x14ac:dyDescent="0.25">
      <c r="A907" s="6"/>
    </row>
    <row r="908" spans="1:1" x14ac:dyDescent="0.25">
      <c r="A908" s="5"/>
    </row>
    <row r="909" spans="1:1" x14ac:dyDescent="0.25">
      <c r="A909" s="6"/>
    </row>
    <row r="910" spans="1:1" x14ac:dyDescent="0.25">
      <c r="A910" s="5"/>
    </row>
    <row r="911" spans="1:1" x14ac:dyDescent="0.25">
      <c r="A911" s="6"/>
    </row>
    <row r="912" spans="1:1" x14ac:dyDescent="0.25">
      <c r="A912" s="5"/>
    </row>
    <row r="913" spans="1:1" x14ac:dyDescent="0.25">
      <c r="A913" s="6"/>
    </row>
    <row r="914" spans="1:1" x14ac:dyDescent="0.25">
      <c r="A914" s="5"/>
    </row>
    <row r="915" spans="1:1" x14ac:dyDescent="0.25">
      <c r="A915" s="6"/>
    </row>
    <row r="916" spans="1:1" x14ac:dyDescent="0.25">
      <c r="A916" s="5"/>
    </row>
    <row r="917" spans="1:1" x14ac:dyDescent="0.25">
      <c r="A917" s="6"/>
    </row>
    <row r="918" spans="1:1" x14ac:dyDescent="0.25">
      <c r="A918" s="5"/>
    </row>
    <row r="919" spans="1:1" x14ac:dyDescent="0.25">
      <c r="A919" s="6"/>
    </row>
    <row r="920" spans="1:1" x14ac:dyDescent="0.25">
      <c r="A920" s="5"/>
    </row>
    <row r="921" spans="1:1" x14ac:dyDescent="0.25">
      <c r="A921" s="6"/>
    </row>
    <row r="922" spans="1:1" x14ac:dyDescent="0.25">
      <c r="A922" s="5"/>
    </row>
    <row r="923" spans="1:1" x14ac:dyDescent="0.25">
      <c r="A923" s="6"/>
    </row>
    <row r="924" spans="1:1" x14ac:dyDescent="0.25">
      <c r="A924" s="5"/>
    </row>
    <row r="925" spans="1:1" x14ac:dyDescent="0.25">
      <c r="A925" s="6"/>
    </row>
    <row r="926" spans="1:1" x14ac:dyDescent="0.25">
      <c r="A926" s="5"/>
    </row>
    <row r="927" spans="1:1" x14ac:dyDescent="0.25">
      <c r="A927" s="6"/>
    </row>
    <row r="928" spans="1:1" x14ac:dyDescent="0.25">
      <c r="A928" s="5"/>
    </row>
    <row r="929" spans="1:1" x14ac:dyDescent="0.25">
      <c r="A929" s="6"/>
    </row>
    <row r="930" spans="1:1" x14ac:dyDescent="0.25">
      <c r="A930" s="5"/>
    </row>
    <row r="931" spans="1:1" x14ac:dyDescent="0.25">
      <c r="A931" s="6"/>
    </row>
    <row r="932" spans="1:1" x14ac:dyDescent="0.25">
      <c r="A932" s="5"/>
    </row>
    <row r="933" spans="1:1" x14ac:dyDescent="0.25">
      <c r="A933" s="6"/>
    </row>
    <row r="934" spans="1:1" x14ac:dyDescent="0.25">
      <c r="A934" s="5"/>
    </row>
    <row r="935" spans="1:1" x14ac:dyDescent="0.25">
      <c r="A935" s="6"/>
    </row>
    <row r="936" spans="1:1" x14ac:dyDescent="0.25">
      <c r="A936" s="5"/>
    </row>
    <row r="937" spans="1:1" x14ac:dyDescent="0.25">
      <c r="A937" s="6"/>
    </row>
    <row r="938" spans="1:1" x14ac:dyDescent="0.25">
      <c r="A938" s="5"/>
    </row>
    <row r="939" spans="1:1" x14ac:dyDescent="0.25">
      <c r="A939" s="6"/>
    </row>
    <row r="940" spans="1:1" x14ac:dyDescent="0.25">
      <c r="A940" s="5"/>
    </row>
    <row r="941" spans="1:1" x14ac:dyDescent="0.25">
      <c r="A941" s="6"/>
    </row>
    <row r="942" spans="1:1" x14ac:dyDescent="0.25">
      <c r="A942" s="5"/>
    </row>
    <row r="943" spans="1:1" x14ac:dyDescent="0.25">
      <c r="A943" s="6"/>
    </row>
    <row r="944" spans="1:1" x14ac:dyDescent="0.25">
      <c r="A944" s="5"/>
    </row>
    <row r="945" spans="1:1" x14ac:dyDescent="0.25">
      <c r="A945" s="6"/>
    </row>
    <row r="946" spans="1:1" x14ac:dyDescent="0.25">
      <c r="A946" s="5"/>
    </row>
    <row r="947" spans="1:1" x14ac:dyDescent="0.25">
      <c r="A947" s="6"/>
    </row>
    <row r="948" spans="1:1" x14ac:dyDescent="0.25">
      <c r="A948" s="5"/>
    </row>
    <row r="949" spans="1:1" x14ac:dyDescent="0.25">
      <c r="A949" s="6"/>
    </row>
    <row r="950" spans="1:1" x14ac:dyDescent="0.25">
      <c r="A950" s="5"/>
    </row>
    <row r="951" spans="1:1" x14ac:dyDescent="0.25">
      <c r="A951" s="6"/>
    </row>
    <row r="952" spans="1:1" x14ac:dyDescent="0.25">
      <c r="A952" s="5"/>
    </row>
    <row r="953" spans="1:1" x14ac:dyDescent="0.25">
      <c r="A953" s="6"/>
    </row>
    <row r="954" spans="1:1" x14ac:dyDescent="0.25">
      <c r="A954" s="5"/>
    </row>
    <row r="955" spans="1:1" x14ac:dyDescent="0.25">
      <c r="A955" s="6"/>
    </row>
    <row r="956" spans="1:1" x14ac:dyDescent="0.25">
      <c r="A956" s="5"/>
    </row>
    <row r="957" spans="1:1" x14ac:dyDescent="0.25">
      <c r="A957" s="6"/>
    </row>
    <row r="958" spans="1:1" x14ac:dyDescent="0.25">
      <c r="A958" s="5"/>
    </row>
    <row r="959" spans="1:1" x14ac:dyDescent="0.25">
      <c r="A959" s="6"/>
    </row>
    <row r="960" spans="1:1" x14ac:dyDescent="0.25">
      <c r="A960" s="5"/>
    </row>
    <row r="961" spans="1:1" x14ac:dyDescent="0.25">
      <c r="A961" s="6"/>
    </row>
    <row r="962" spans="1:1" x14ac:dyDescent="0.25">
      <c r="A962" s="5"/>
    </row>
    <row r="963" spans="1:1" x14ac:dyDescent="0.25">
      <c r="A963" s="6"/>
    </row>
    <row r="964" spans="1:1" x14ac:dyDescent="0.25">
      <c r="A964" s="5"/>
    </row>
    <row r="965" spans="1:1" x14ac:dyDescent="0.25">
      <c r="A965" s="6"/>
    </row>
    <row r="966" spans="1:1" x14ac:dyDescent="0.25">
      <c r="A966" s="5"/>
    </row>
    <row r="967" spans="1:1" x14ac:dyDescent="0.25">
      <c r="A967" s="6"/>
    </row>
    <row r="968" spans="1:1" x14ac:dyDescent="0.25">
      <c r="A968" s="5"/>
    </row>
    <row r="969" spans="1:1" x14ac:dyDescent="0.25">
      <c r="A969" s="6"/>
    </row>
    <row r="970" spans="1:1" x14ac:dyDescent="0.25">
      <c r="A970" s="5"/>
    </row>
    <row r="971" spans="1:1" x14ac:dyDescent="0.25">
      <c r="A971" s="6"/>
    </row>
    <row r="972" spans="1:1" x14ac:dyDescent="0.25">
      <c r="A972" s="5"/>
    </row>
    <row r="973" spans="1:1" x14ac:dyDescent="0.25">
      <c r="A973" s="6"/>
    </row>
    <row r="974" spans="1:1" x14ac:dyDescent="0.25">
      <c r="A974" s="5"/>
    </row>
    <row r="975" spans="1:1" x14ac:dyDescent="0.25">
      <c r="A975" s="6"/>
    </row>
    <row r="976" spans="1:1" x14ac:dyDescent="0.25">
      <c r="A976" s="5"/>
    </row>
    <row r="977" spans="1:1" x14ac:dyDescent="0.25">
      <c r="A977" s="6"/>
    </row>
    <row r="978" spans="1:1" x14ac:dyDescent="0.25">
      <c r="A978" s="5"/>
    </row>
    <row r="979" spans="1:1" x14ac:dyDescent="0.25">
      <c r="A979" s="6"/>
    </row>
    <row r="980" spans="1:1" x14ac:dyDescent="0.25">
      <c r="A980" s="5"/>
    </row>
    <row r="981" spans="1:1" x14ac:dyDescent="0.25">
      <c r="A981" s="6"/>
    </row>
    <row r="982" spans="1:1" x14ac:dyDescent="0.25">
      <c r="A982" s="5"/>
    </row>
    <row r="983" spans="1:1" x14ac:dyDescent="0.25">
      <c r="A983" s="6"/>
    </row>
    <row r="984" spans="1:1" x14ac:dyDescent="0.25">
      <c r="A984" s="5"/>
    </row>
    <row r="985" spans="1:1" x14ac:dyDescent="0.25">
      <c r="A985" s="6"/>
    </row>
    <row r="986" spans="1:1" x14ac:dyDescent="0.25">
      <c r="A986" s="5"/>
    </row>
    <row r="987" spans="1:1" x14ac:dyDescent="0.25">
      <c r="A987" s="6"/>
    </row>
    <row r="988" spans="1:1" x14ac:dyDescent="0.25">
      <c r="A988" s="5"/>
    </row>
    <row r="989" spans="1:1" x14ac:dyDescent="0.25">
      <c r="A989" s="6"/>
    </row>
    <row r="990" spans="1:1" x14ac:dyDescent="0.25">
      <c r="A990" s="5"/>
    </row>
    <row r="991" spans="1:1" x14ac:dyDescent="0.25">
      <c r="A991" s="6"/>
    </row>
    <row r="992" spans="1:1" x14ac:dyDescent="0.25">
      <c r="A992" s="5"/>
    </row>
    <row r="993" spans="1:1" x14ac:dyDescent="0.25">
      <c r="A993" s="6"/>
    </row>
    <row r="994" spans="1:1" x14ac:dyDescent="0.25">
      <c r="A994" s="5"/>
    </row>
    <row r="995" spans="1:1" x14ac:dyDescent="0.25">
      <c r="A995" s="6"/>
    </row>
    <row r="996" spans="1:1" x14ac:dyDescent="0.25">
      <c r="A996" s="5"/>
    </row>
    <row r="997" spans="1:1" x14ac:dyDescent="0.25">
      <c r="A997" s="6"/>
    </row>
    <row r="998" spans="1:1" x14ac:dyDescent="0.25">
      <c r="A998" s="5"/>
    </row>
    <row r="999" spans="1:1" x14ac:dyDescent="0.25">
      <c r="A999" s="6"/>
    </row>
    <row r="1000" spans="1:1" x14ac:dyDescent="0.25">
      <c r="A1000" s="5"/>
    </row>
    <row r="1001" spans="1:1" x14ac:dyDescent="0.25">
      <c r="A1001" s="6"/>
    </row>
    <row r="1002" spans="1:1" x14ac:dyDescent="0.25">
      <c r="A1002" s="5"/>
    </row>
    <row r="1003" spans="1:1" x14ac:dyDescent="0.25">
      <c r="A1003" s="6"/>
    </row>
    <row r="1004" spans="1:1" x14ac:dyDescent="0.25">
      <c r="A1004" s="5"/>
    </row>
    <row r="1005" spans="1:1" x14ac:dyDescent="0.25">
      <c r="A1005" s="6"/>
    </row>
    <row r="1006" spans="1:1" x14ac:dyDescent="0.25">
      <c r="A1006" s="5"/>
    </row>
    <row r="1007" spans="1:1" x14ac:dyDescent="0.25">
      <c r="A1007" s="6"/>
    </row>
    <row r="1008" spans="1:1" x14ac:dyDescent="0.25">
      <c r="A1008" s="5"/>
    </row>
    <row r="1009" spans="1:1" x14ac:dyDescent="0.25">
      <c r="A1009" s="6"/>
    </row>
    <row r="1010" spans="1:1" x14ac:dyDescent="0.25">
      <c r="A1010" s="5"/>
    </row>
    <row r="1011" spans="1:1" x14ac:dyDescent="0.25">
      <c r="A1011" s="6"/>
    </row>
    <row r="1012" spans="1:1" x14ac:dyDescent="0.25">
      <c r="A1012" s="5"/>
    </row>
    <row r="1013" spans="1:1" x14ac:dyDescent="0.25">
      <c r="A1013" s="6"/>
    </row>
    <row r="1014" spans="1:1" x14ac:dyDescent="0.25">
      <c r="A1014" s="5"/>
    </row>
    <row r="1015" spans="1:1" x14ac:dyDescent="0.25">
      <c r="A1015" s="6"/>
    </row>
    <row r="1016" spans="1:1" x14ac:dyDescent="0.25">
      <c r="A1016" s="5"/>
    </row>
    <row r="1017" spans="1:1" x14ac:dyDescent="0.25">
      <c r="A1017" s="6"/>
    </row>
    <row r="1018" spans="1:1" x14ac:dyDescent="0.25">
      <c r="A1018" s="5"/>
    </row>
    <row r="1019" spans="1:1" x14ac:dyDescent="0.25">
      <c r="A1019" s="6"/>
    </row>
    <row r="1020" spans="1:1" x14ac:dyDescent="0.25">
      <c r="A1020" s="5"/>
    </row>
    <row r="1021" spans="1:1" x14ac:dyDescent="0.25">
      <c r="A1021" s="6"/>
    </row>
    <row r="1022" spans="1:1" x14ac:dyDescent="0.25">
      <c r="A1022" s="5"/>
    </row>
    <row r="1023" spans="1:1" x14ac:dyDescent="0.25">
      <c r="A1023" s="6"/>
    </row>
    <row r="1024" spans="1:1" x14ac:dyDescent="0.25">
      <c r="A1024" s="5"/>
    </row>
    <row r="1025" spans="1:1" x14ac:dyDescent="0.25">
      <c r="A1025" s="6"/>
    </row>
    <row r="1026" spans="1:1" x14ac:dyDescent="0.25">
      <c r="A1026" s="5"/>
    </row>
    <row r="1027" spans="1:1" x14ac:dyDescent="0.25">
      <c r="A1027" s="6"/>
    </row>
    <row r="1028" spans="1:1" x14ac:dyDescent="0.25">
      <c r="A1028" s="5"/>
    </row>
    <row r="1029" spans="1:1" x14ac:dyDescent="0.25">
      <c r="A1029" s="6"/>
    </row>
    <row r="1030" spans="1:1" x14ac:dyDescent="0.25">
      <c r="A1030" s="5"/>
    </row>
    <row r="1031" spans="1:1" x14ac:dyDescent="0.25">
      <c r="A1031" s="6"/>
    </row>
    <row r="1032" spans="1:1" x14ac:dyDescent="0.25">
      <c r="A1032" s="5"/>
    </row>
    <row r="1033" spans="1:1" x14ac:dyDescent="0.25">
      <c r="A1033" s="6"/>
    </row>
    <row r="1034" spans="1:1" x14ac:dyDescent="0.25">
      <c r="A1034" s="5"/>
    </row>
    <row r="1035" spans="1:1" x14ac:dyDescent="0.25">
      <c r="A1035" s="6"/>
    </row>
    <row r="1036" spans="1:1" x14ac:dyDescent="0.25">
      <c r="A1036" s="5"/>
    </row>
    <row r="1037" spans="1:1" x14ac:dyDescent="0.25">
      <c r="A1037" s="6"/>
    </row>
    <row r="1038" spans="1:1" x14ac:dyDescent="0.25">
      <c r="A1038" s="5"/>
    </row>
    <row r="1039" spans="1:1" x14ac:dyDescent="0.25">
      <c r="A1039" s="6"/>
    </row>
    <row r="1040" spans="1:1" x14ac:dyDescent="0.25">
      <c r="A1040" s="5"/>
    </row>
    <row r="1041" spans="1:1" x14ac:dyDescent="0.25">
      <c r="A1041" s="6"/>
    </row>
    <row r="1042" spans="1:1" x14ac:dyDescent="0.25">
      <c r="A1042" s="5"/>
    </row>
    <row r="1043" spans="1:1" x14ac:dyDescent="0.25">
      <c r="A1043" s="6"/>
    </row>
    <row r="1044" spans="1:1" x14ac:dyDescent="0.25">
      <c r="A1044" s="5"/>
    </row>
    <row r="1045" spans="1:1" x14ac:dyDescent="0.25">
      <c r="A1045" s="6"/>
    </row>
    <row r="1046" spans="1:1" x14ac:dyDescent="0.25">
      <c r="A1046" s="5"/>
    </row>
    <row r="1047" spans="1:1" x14ac:dyDescent="0.25">
      <c r="A1047" s="6"/>
    </row>
    <row r="1048" spans="1:1" x14ac:dyDescent="0.25">
      <c r="A1048" s="5"/>
    </row>
    <row r="1049" spans="1:1" x14ac:dyDescent="0.25">
      <c r="A1049" s="6"/>
    </row>
    <row r="1050" spans="1:1" x14ac:dyDescent="0.25">
      <c r="A1050" s="5"/>
    </row>
    <row r="1051" spans="1:1" x14ac:dyDescent="0.25">
      <c r="A1051" s="6"/>
    </row>
    <row r="1052" spans="1:1" x14ac:dyDescent="0.25">
      <c r="A1052" s="5"/>
    </row>
    <row r="1053" spans="1:1" x14ac:dyDescent="0.25">
      <c r="A1053" s="6"/>
    </row>
    <row r="1054" spans="1:1" x14ac:dyDescent="0.25">
      <c r="A1054" s="5"/>
    </row>
    <row r="1055" spans="1:1" x14ac:dyDescent="0.25">
      <c r="A1055" s="6"/>
    </row>
    <row r="1056" spans="1:1" x14ac:dyDescent="0.25">
      <c r="A1056" s="5"/>
    </row>
    <row r="1057" spans="1:1" x14ac:dyDescent="0.25">
      <c r="A1057" s="6"/>
    </row>
    <row r="1058" spans="1:1" x14ac:dyDescent="0.25">
      <c r="A1058" s="5"/>
    </row>
    <row r="1059" spans="1:1" x14ac:dyDescent="0.25">
      <c r="A1059" s="6"/>
    </row>
    <row r="1060" spans="1:1" x14ac:dyDescent="0.25">
      <c r="A1060" s="5"/>
    </row>
    <row r="1061" spans="1:1" x14ac:dyDescent="0.25">
      <c r="A1061" s="6"/>
    </row>
    <row r="1062" spans="1:1" x14ac:dyDescent="0.25">
      <c r="A1062" s="5"/>
    </row>
    <row r="1063" spans="1:1" x14ac:dyDescent="0.25">
      <c r="A1063" s="6"/>
    </row>
    <row r="1064" spans="1:1" x14ac:dyDescent="0.25">
      <c r="A1064" s="5"/>
    </row>
    <row r="1065" spans="1:1" x14ac:dyDescent="0.25">
      <c r="A1065" s="6"/>
    </row>
    <row r="1066" spans="1:1" x14ac:dyDescent="0.25">
      <c r="A1066" s="5"/>
    </row>
    <row r="1067" spans="1:1" x14ac:dyDescent="0.25">
      <c r="A1067" s="6"/>
    </row>
    <row r="1068" spans="1:1" x14ac:dyDescent="0.25">
      <c r="A1068" s="5"/>
    </row>
    <row r="1069" spans="1:1" x14ac:dyDescent="0.25">
      <c r="A1069" s="6"/>
    </row>
    <row r="1070" spans="1:1" x14ac:dyDescent="0.25">
      <c r="A1070" s="5"/>
    </row>
    <row r="1071" spans="1:1" x14ac:dyDescent="0.25">
      <c r="A1071" s="6"/>
    </row>
    <row r="1072" spans="1:1" x14ac:dyDescent="0.25">
      <c r="A1072" s="5"/>
    </row>
    <row r="1073" spans="1:1" x14ac:dyDescent="0.25">
      <c r="A1073" s="6"/>
    </row>
    <row r="1074" spans="1:1" x14ac:dyDescent="0.25">
      <c r="A1074" s="5"/>
    </row>
    <row r="1075" spans="1:1" x14ac:dyDescent="0.25">
      <c r="A1075" s="6"/>
    </row>
    <row r="1076" spans="1:1" x14ac:dyDescent="0.25">
      <c r="A1076" s="5"/>
    </row>
    <row r="1077" spans="1:1" x14ac:dyDescent="0.25">
      <c r="A1077" s="6"/>
    </row>
    <row r="1078" spans="1:1" x14ac:dyDescent="0.25">
      <c r="A1078" s="5"/>
    </row>
    <row r="1079" spans="1:1" x14ac:dyDescent="0.25">
      <c r="A1079" s="6"/>
    </row>
    <row r="1080" spans="1:1" x14ac:dyDescent="0.25">
      <c r="A1080" s="5"/>
    </row>
    <row r="1081" spans="1:1" x14ac:dyDescent="0.25">
      <c r="A1081" s="6"/>
    </row>
    <row r="1082" spans="1:1" x14ac:dyDescent="0.25">
      <c r="A1082" s="5"/>
    </row>
    <row r="1083" spans="1:1" x14ac:dyDescent="0.25">
      <c r="A1083" s="6"/>
    </row>
    <row r="1084" spans="1:1" x14ac:dyDescent="0.25">
      <c r="A1084" s="5"/>
    </row>
    <row r="1085" spans="1:1" x14ac:dyDescent="0.25">
      <c r="A1085" s="6"/>
    </row>
    <row r="1086" spans="1:1" x14ac:dyDescent="0.25">
      <c r="A1086" s="5"/>
    </row>
    <row r="1087" spans="1:1" x14ac:dyDescent="0.25">
      <c r="A1087" s="6"/>
    </row>
    <row r="1088" spans="1:1" x14ac:dyDescent="0.25">
      <c r="A1088" s="5"/>
    </row>
    <row r="1089" spans="1:1" x14ac:dyDescent="0.25">
      <c r="A1089" s="6"/>
    </row>
    <row r="1090" spans="1:1" x14ac:dyDescent="0.25">
      <c r="A1090" s="5"/>
    </row>
    <row r="1091" spans="1:1" x14ac:dyDescent="0.25">
      <c r="A1091" s="6"/>
    </row>
    <row r="1092" spans="1:1" x14ac:dyDescent="0.25">
      <c r="A1092" s="5"/>
    </row>
    <row r="1093" spans="1:1" x14ac:dyDescent="0.25">
      <c r="A1093" s="6"/>
    </row>
    <row r="1094" spans="1:1" x14ac:dyDescent="0.25">
      <c r="A1094" s="5"/>
    </row>
    <row r="1095" spans="1:1" x14ac:dyDescent="0.25">
      <c r="A1095" s="6"/>
    </row>
    <row r="1096" spans="1:1" x14ac:dyDescent="0.25">
      <c r="A1096" s="5"/>
    </row>
    <row r="1097" spans="1:1" x14ac:dyDescent="0.25">
      <c r="A1097" s="6"/>
    </row>
    <row r="1098" spans="1:1" x14ac:dyDescent="0.25">
      <c r="A1098" s="5"/>
    </row>
    <row r="1099" spans="1:1" x14ac:dyDescent="0.25">
      <c r="A1099" s="6"/>
    </row>
    <row r="1100" spans="1:1" x14ac:dyDescent="0.25">
      <c r="A1100" s="5"/>
    </row>
    <row r="1101" spans="1:1" x14ac:dyDescent="0.25">
      <c r="A1101" s="6"/>
    </row>
    <row r="1102" spans="1:1" x14ac:dyDescent="0.25">
      <c r="A1102" s="5"/>
    </row>
    <row r="1103" spans="1:1" x14ac:dyDescent="0.25">
      <c r="A1103" s="6"/>
    </row>
    <row r="1104" spans="1:1" x14ac:dyDescent="0.25">
      <c r="A1104" s="5"/>
    </row>
    <row r="1105" spans="1:1" x14ac:dyDescent="0.25">
      <c r="A1105" s="6"/>
    </row>
    <row r="1106" spans="1:1" x14ac:dyDescent="0.25">
      <c r="A1106" s="5"/>
    </row>
    <row r="1107" spans="1:1" x14ac:dyDescent="0.25">
      <c r="A1107" s="6"/>
    </row>
    <row r="1108" spans="1:1" x14ac:dyDescent="0.25">
      <c r="A1108" s="5"/>
    </row>
    <row r="1109" spans="1:1" x14ac:dyDescent="0.25">
      <c r="A1109" s="6"/>
    </row>
    <row r="1110" spans="1:1" x14ac:dyDescent="0.25">
      <c r="A1110" s="5"/>
    </row>
    <row r="1111" spans="1:1" x14ac:dyDescent="0.25">
      <c r="A1111" s="6"/>
    </row>
    <row r="1112" spans="1:1" x14ac:dyDescent="0.25">
      <c r="A1112" s="5"/>
    </row>
    <row r="1113" spans="1:1" x14ac:dyDescent="0.25">
      <c r="A1113" s="6"/>
    </row>
    <row r="1114" spans="1:1" x14ac:dyDescent="0.25">
      <c r="A1114" s="5"/>
    </row>
    <row r="1115" spans="1:1" x14ac:dyDescent="0.25">
      <c r="A1115" s="6"/>
    </row>
    <row r="1116" spans="1:1" x14ac:dyDescent="0.25">
      <c r="A1116" s="5"/>
    </row>
    <row r="1117" spans="1:1" x14ac:dyDescent="0.25">
      <c r="A1117" s="6"/>
    </row>
    <row r="1118" spans="1:1" x14ac:dyDescent="0.25">
      <c r="A1118" s="5"/>
    </row>
    <row r="1119" spans="1:1" x14ac:dyDescent="0.25">
      <c r="A1119" s="6"/>
    </row>
    <row r="1120" spans="1:1" x14ac:dyDescent="0.25">
      <c r="A1120" s="5"/>
    </row>
    <row r="1121" spans="1:1" x14ac:dyDescent="0.25">
      <c r="A1121" s="6"/>
    </row>
    <row r="1122" spans="1:1" x14ac:dyDescent="0.25">
      <c r="A1122" s="5"/>
    </row>
    <row r="1123" spans="1:1" x14ac:dyDescent="0.25">
      <c r="A1123" s="6"/>
    </row>
    <row r="1124" spans="1:1" x14ac:dyDescent="0.25">
      <c r="A1124" s="5"/>
    </row>
    <row r="1125" spans="1:1" x14ac:dyDescent="0.25">
      <c r="A1125" s="6"/>
    </row>
    <row r="1126" spans="1:1" x14ac:dyDescent="0.25">
      <c r="A1126" s="5"/>
    </row>
    <row r="1127" spans="1:1" x14ac:dyDescent="0.25">
      <c r="A1127" s="6"/>
    </row>
    <row r="1128" spans="1:1" x14ac:dyDescent="0.25">
      <c r="A1128" s="5"/>
    </row>
    <row r="1129" spans="1:1" x14ac:dyDescent="0.25">
      <c r="A1129" s="6"/>
    </row>
    <row r="1130" spans="1:1" x14ac:dyDescent="0.25">
      <c r="A1130" s="5"/>
    </row>
    <row r="1131" spans="1:1" x14ac:dyDescent="0.25">
      <c r="A1131" s="6"/>
    </row>
    <row r="1132" spans="1:1" x14ac:dyDescent="0.25">
      <c r="A1132" s="5"/>
    </row>
    <row r="1133" spans="1:1" x14ac:dyDescent="0.25">
      <c r="A1133" s="6"/>
    </row>
    <row r="1134" spans="1:1" x14ac:dyDescent="0.25">
      <c r="A1134" s="5"/>
    </row>
    <row r="1135" spans="1:1" x14ac:dyDescent="0.25">
      <c r="A1135" s="6"/>
    </row>
    <row r="1136" spans="1:1" x14ac:dyDescent="0.25">
      <c r="A1136" s="5"/>
    </row>
    <row r="1137" spans="1:1" x14ac:dyDescent="0.25">
      <c r="A1137" s="6"/>
    </row>
    <row r="1138" spans="1:1" x14ac:dyDescent="0.25">
      <c r="A1138" s="5"/>
    </row>
    <row r="1139" spans="1:1" x14ac:dyDescent="0.25">
      <c r="A1139" s="6"/>
    </row>
    <row r="1140" spans="1:1" x14ac:dyDescent="0.25">
      <c r="A1140" s="5"/>
    </row>
    <row r="1141" spans="1:1" x14ac:dyDescent="0.25">
      <c r="A1141" s="6"/>
    </row>
    <row r="1142" spans="1:1" x14ac:dyDescent="0.25">
      <c r="A1142" s="5"/>
    </row>
    <row r="1143" spans="1:1" x14ac:dyDescent="0.25">
      <c r="A1143" s="6"/>
    </row>
    <row r="1144" spans="1:1" x14ac:dyDescent="0.25">
      <c r="A1144" s="5"/>
    </row>
    <row r="1145" spans="1:1" x14ac:dyDescent="0.25">
      <c r="A1145" s="6"/>
    </row>
    <row r="1146" spans="1:1" x14ac:dyDescent="0.25">
      <c r="A1146" s="5"/>
    </row>
    <row r="1147" spans="1:1" x14ac:dyDescent="0.25">
      <c r="A1147" s="6"/>
    </row>
    <row r="1148" spans="1:1" x14ac:dyDescent="0.25">
      <c r="A1148" s="5"/>
    </row>
    <row r="1149" spans="1:1" x14ac:dyDescent="0.25">
      <c r="A1149" s="6"/>
    </row>
    <row r="1150" spans="1:1" x14ac:dyDescent="0.25">
      <c r="A1150" s="5"/>
    </row>
    <row r="1151" spans="1:1" x14ac:dyDescent="0.25">
      <c r="A1151" s="6"/>
    </row>
    <row r="1152" spans="1:1" x14ac:dyDescent="0.25">
      <c r="A1152" s="5"/>
    </row>
    <row r="1153" spans="1:1" x14ac:dyDescent="0.25">
      <c r="A1153" s="6"/>
    </row>
    <row r="1154" spans="1:1" x14ac:dyDescent="0.25">
      <c r="A1154" s="5"/>
    </row>
    <row r="1155" spans="1:1" x14ac:dyDescent="0.25">
      <c r="A1155" s="6"/>
    </row>
    <row r="1156" spans="1:1" x14ac:dyDescent="0.25">
      <c r="A1156" s="5"/>
    </row>
    <row r="1157" spans="1:1" x14ac:dyDescent="0.25">
      <c r="A1157" s="6"/>
    </row>
    <row r="1158" spans="1:1" x14ac:dyDescent="0.25">
      <c r="A1158" s="5"/>
    </row>
    <row r="1159" spans="1:1" x14ac:dyDescent="0.25">
      <c r="A1159" s="6"/>
    </row>
    <row r="1160" spans="1:1" x14ac:dyDescent="0.25">
      <c r="A1160" s="5"/>
    </row>
    <row r="1161" spans="1:1" x14ac:dyDescent="0.25">
      <c r="A1161" s="6"/>
    </row>
    <row r="1162" spans="1:1" x14ac:dyDescent="0.25">
      <c r="A1162" s="5"/>
    </row>
    <row r="1163" spans="1:1" x14ac:dyDescent="0.25">
      <c r="A1163" s="6"/>
    </row>
    <row r="1164" spans="1:1" x14ac:dyDescent="0.25">
      <c r="A1164" s="5"/>
    </row>
    <row r="1165" spans="1:1" x14ac:dyDescent="0.25">
      <c r="A1165" s="6"/>
    </row>
    <row r="1166" spans="1:1" x14ac:dyDescent="0.25">
      <c r="A1166" s="5"/>
    </row>
    <row r="1167" spans="1:1" x14ac:dyDescent="0.25">
      <c r="A1167" s="6"/>
    </row>
    <row r="1168" spans="1:1" x14ac:dyDescent="0.25">
      <c r="A1168" s="5"/>
    </row>
    <row r="1169" spans="1:1" x14ac:dyDescent="0.25">
      <c r="A1169" s="6"/>
    </row>
    <row r="1170" spans="1:1" x14ac:dyDescent="0.25">
      <c r="A1170" s="5"/>
    </row>
    <row r="1171" spans="1:1" x14ac:dyDescent="0.25">
      <c r="A1171" s="6"/>
    </row>
    <row r="1172" spans="1:1" x14ac:dyDescent="0.25">
      <c r="A1172" s="5"/>
    </row>
    <row r="1173" spans="1:1" x14ac:dyDescent="0.25">
      <c r="A1173" s="6"/>
    </row>
    <row r="1174" spans="1:1" x14ac:dyDescent="0.25">
      <c r="A1174" s="5"/>
    </row>
    <row r="1175" spans="1:1" x14ac:dyDescent="0.25">
      <c r="A1175" s="6"/>
    </row>
    <row r="1176" spans="1:1" x14ac:dyDescent="0.25">
      <c r="A1176" s="5"/>
    </row>
    <row r="1177" spans="1:1" x14ac:dyDescent="0.25">
      <c r="A1177" s="6"/>
    </row>
    <row r="1178" spans="1:1" x14ac:dyDescent="0.25">
      <c r="A1178" s="5"/>
    </row>
    <row r="1179" spans="1:1" x14ac:dyDescent="0.25">
      <c r="A1179" s="6"/>
    </row>
    <row r="1180" spans="1:1" x14ac:dyDescent="0.25">
      <c r="A1180" s="5"/>
    </row>
    <row r="1181" spans="1:1" x14ac:dyDescent="0.25">
      <c r="A1181" s="6"/>
    </row>
    <row r="1182" spans="1:1" x14ac:dyDescent="0.25">
      <c r="A1182" s="5"/>
    </row>
    <row r="1183" spans="1:1" x14ac:dyDescent="0.25">
      <c r="A1183" s="6"/>
    </row>
    <row r="1184" spans="1:1" x14ac:dyDescent="0.25">
      <c r="A1184" s="5"/>
    </row>
    <row r="1185" spans="1:1" x14ac:dyDescent="0.25">
      <c r="A1185" s="6"/>
    </row>
    <row r="1186" spans="1:1" x14ac:dyDescent="0.25">
      <c r="A1186" s="5"/>
    </row>
    <row r="1187" spans="1:1" x14ac:dyDescent="0.25">
      <c r="A1187" s="6"/>
    </row>
    <row r="1188" spans="1:1" x14ac:dyDescent="0.25">
      <c r="A1188" s="5"/>
    </row>
    <row r="1189" spans="1:1" x14ac:dyDescent="0.25">
      <c r="A1189" s="6"/>
    </row>
    <row r="1190" spans="1:1" x14ac:dyDescent="0.25">
      <c r="A1190" s="5"/>
    </row>
    <row r="1191" spans="1:1" x14ac:dyDescent="0.25">
      <c r="A1191" s="6"/>
    </row>
    <row r="1192" spans="1:1" x14ac:dyDescent="0.25">
      <c r="A1192" s="5"/>
    </row>
    <row r="1193" spans="1:1" x14ac:dyDescent="0.25">
      <c r="A1193" s="6"/>
    </row>
    <row r="1194" spans="1:1" x14ac:dyDescent="0.25">
      <c r="A1194" s="5"/>
    </row>
    <row r="1195" spans="1:1" x14ac:dyDescent="0.25">
      <c r="A1195" s="6"/>
    </row>
    <row r="1196" spans="1:1" x14ac:dyDescent="0.25">
      <c r="A1196" s="5"/>
    </row>
    <row r="1197" spans="1:1" x14ac:dyDescent="0.25">
      <c r="A1197" s="6"/>
    </row>
    <row r="1198" spans="1:1" x14ac:dyDescent="0.25">
      <c r="A1198" s="5"/>
    </row>
    <row r="1199" spans="1:1" x14ac:dyDescent="0.25">
      <c r="A1199" s="6"/>
    </row>
    <row r="1200" spans="1:1" x14ac:dyDescent="0.25">
      <c r="A1200" s="5"/>
    </row>
    <row r="1201" spans="1:1" x14ac:dyDescent="0.25">
      <c r="A1201" s="6"/>
    </row>
    <row r="1202" spans="1:1" x14ac:dyDescent="0.25">
      <c r="A1202" s="5"/>
    </row>
    <row r="1203" spans="1:1" x14ac:dyDescent="0.25">
      <c r="A1203" s="6"/>
    </row>
    <row r="1204" spans="1:1" x14ac:dyDescent="0.25">
      <c r="A1204" s="5"/>
    </row>
    <row r="1205" spans="1:1" x14ac:dyDescent="0.25">
      <c r="A1205" s="6"/>
    </row>
    <row r="1206" spans="1:1" x14ac:dyDescent="0.25">
      <c r="A1206" s="5"/>
    </row>
    <row r="1207" spans="1:1" x14ac:dyDescent="0.25">
      <c r="A1207" s="6"/>
    </row>
    <row r="1208" spans="1:1" x14ac:dyDescent="0.25">
      <c r="A1208" s="5"/>
    </row>
    <row r="1209" spans="1:1" x14ac:dyDescent="0.25">
      <c r="A1209" s="6"/>
    </row>
    <row r="1210" spans="1:1" x14ac:dyDescent="0.25">
      <c r="A1210" s="5"/>
    </row>
    <row r="1211" spans="1:1" x14ac:dyDescent="0.25">
      <c r="A1211" s="6"/>
    </row>
    <row r="1212" spans="1:1" x14ac:dyDescent="0.25">
      <c r="A1212" s="5"/>
    </row>
    <row r="1213" spans="1:1" x14ac:dyDescent="0.25">
      <c r="A1213" s="6"/>
    </row>
    <row r="1214" spans="1:1" x14ac:dyDescent="0.25">
      <c r="A1214" s="5"/>
    </row>
    <row r="1215" spans="1:1" x14ac:dyDescent="0.25">
      <c r="A1215" s="6"/>
    </row>
    <row r="1216" spans="1:1" x14ac:dyDescent="0.25">
      <c r="A1216" s="5"/>
    </row>
    <row r="1217" spans="1:1" x14ac:dyDescent="0.25">
      <c r="A1217" s="6"/>
    </row>
    <row r="1218" spans="1:1" x14ac:dyDescent="0.25">
      <c r="A1218" s="5"/>
    </row>
    <row r="1219" spans="1:1" x14ac:dyDescent="0.25">
      <c r="A1219" s="6"/>
    </row>
    <row r="1220" spans="1:1" x14ac:dyDescent="0.25">
      <c r="A1220" s="5"/>
    </row>
    <row r="1221" spans="1:1" x14ac:dyDescent="0.25">
      <c r="A1221" s="6"/>
    </row>
    <row r="1222" spans="1:1" x14ac:dyDescent="0.25">
      <c r="A1222" s="5"/>
    </row>
    <row r="1223" spans="1:1" x14ac:dyDescent="0.25">
      <c r="A1223" s="6"/>
    </row>
    <row r="1224" spans="1:1" x14ac:dyDescent="0.25">
      <c r="A1224" s="5"/>
    </row>
    <row r="1225" spans="1:1" x14ac:dyDescent="0.25">
      <c r="A1225" s="6"/>
    </row>
    <row r="1226" spans="1:1" x14ac:dyDescent="0.25">
      <c r="A1226" s="5"/>
    </row>
    <row r="1227" spans="1:1" x14ac:dyDescent="0.25">
      <c r="A1227" s="6"/>
    </row>
    <row r="1228" spans="1:1" x14ac:dyDescent="0.25">
      <c r="A1228" s="5"/>
    </row>
    <row r="1229" spans="1:1" x14ac:dyDescent="0.25">
      <c r="A1229" s="6"/>
    </row>
    <row r="1230" spans="1:1" x14ac:dyDescent="0.25">
      <c r="A1230" s="5"/>
    </row>
    <row r="1231" spans="1:1" x14ac:dyDescent="0.25">
      <c r="A1231" s="6"/>
    </row>
    <row r="1232" spans="1:1" x14ac:dyDescent="0.25">
      <c r="A1232" s="5"/>
    </row>
    <row r="1233" spans="1:1" x14ac:dyDescent="0.25">
      <c r="A1233" s="6"/>
    </row>
    <row r="1234" spans="1:1" x14ac:dyDescent="0.25">
      <c r="A1234" s="5"/>
    </row>
    <row r="1235" spans="1:1" x14ac:dyDescent="0.25">
      <c r="A1235" s="6"/>
    </row>
    <row r="1236" spans="1:1" x14ac:dyDescent="0.25">
      <c r="A1236" s="5"/>
    </row>
    <row r="1237" spans="1:1" x14ac:dyDescent="0.25">
      <c r="A1237" s="6"/>
    </row>
    <row r="1238" spans="1:1" x14ac:dyDescent="0.25">
      <c r="A1238" s="5"/>
    </row>
    <row r="1239" spans="1:1" x14ac:dyDescent="0.25">
      <c r="A1239" s="6"/>
    </row>
    <row r="1240" spans="1:1" x14ac:dyDescent="0.25">
      <c r="A1240" s="5"/>
    </row>
    <row r="1241" spans="1:1" x14ac:dyDescent="0.25">
      <c r="A1241" s="6"/>
    </row>
    <row r="1242" spans="1:1" x14ac:dyDescent="0.25">
      <c r="A1242" s="5"/>
    </row>
    <row r="1243" spans="1:1" x14ac:dyDescent="0.25">
      <c r="A1243" s="6"/>
    </row>
    <row r="1244" spans="1:1" x14ac:dyDescent="0.25">
      <c r="A1244" s="5"/>
    </row>
    <row r="1245" spans="1:1" x14ac:dyDescent="0.25">
      <c r="A1245" s="6"/>
    </row>
    <row r="1246" spans="1:1" x14ac:dyDescent="0.25">
      <c r="A1246" s="5"/>
    </row>
    <row r="1247" spans="1:1" x14ac:dyDescent="0.25">
      <c r="A1247" s="6"/>
    </row>
    <row r="1248" spans="1:1" x14ac:dyDescent="0.25">
      <c r="A1248" s="5"/>
    </row>
    <row r="1249" spans="1:1" x14ac:dyDescent="0.25">
      <c r="A1249" s="6"/>
    </row>
    <row r="1250" spans="1:1" x14ac:dyDescent="0.25">
      <c r="A1250" s="5"/>
    </row>
    <row r="1251" spans="1:1" x14ac:dyDescent="0.25">
      <c r="A1251" s="6"/>
    </row>
    <row r="1252" spans="1:1" x14ac:dyDescent="0.25">
      <c r="A1252" s="5"/>
    </row>
    <row r="1253" spans="1:1" x14ac:dyDescent="0.25">
      <c r="A1253" s="6"/>
    </row>
    <row r="1254" spans="1:1" x14ac:dyDescent="0.25">
      <c r="A1254" s="5"/>
    </row>
    <row r="1255" spans="1:1" x14ac:dyDescent="0.25">
      <c r="A1255" s="6"/>
    </row>
    <row r="1256" spans="1:1" x14ac:dyDescent="0.25">
      <c r="A1256" s="5"/>
    </row>
    <row r="1257" spans="1:1" x14ac:dyDescent="0.25">
      <c r="A1257" s="6"/>
    </row>
    <row r="1258" spans="1:1" x14ac:dyDescent="0.25">
      <c r="A1258" s="5"/>
    </row>
    <row r="1259" spans="1:1" x14ac:dyDescent="0.25">
      <c r="A1259" s="6"/>
    </row>
    <row r="1260" spans="1:1" x14ac:dyDescent="0.25">
      <c r="A1260" s="5"/>
    </row>
    <row r="1261" spans="1:1" x14ac:dyDescent="0.25">
      <c r="A1261" s="6"/>
    </row>
    <row r="1262" spans="1:1" x14ac:dyDescent="0.25">
      <c r="A1262" s="5"/>
    </row>
    <row r="1263" spans="1:1" x14ac:dyDescent="0.25">
      <c r="A1263" s="6"/>
    </row>
    <row r="1264" spans="1:1" x14ac:dyDescent="0.25">
      <c r="A1264" s="5"/>
    </row>
    <row r="1265" spans="1:1" x14ac:dyDescent="0.25">
      <c r="A1265" s="6"/>
    </row>
    <row r="1266" spans="1:1" x14ac:dyDescent="0.25">
      <c r="A1266" s="5"/>
    </row>
    <row r="1267" spans="1:1" x14ac:dyDescent="0.25">
      <c r="A1267" s="6"/>
    </row>
    <row r="1268" spans="1:1" x14ac:dyDescent="0.25">
      <c r="A1268" s="5"/>
    </row>
    <row r="1269" spans="1:1" x14ac:dyDescent="0.25">
      <c r="A1269" s="6"/>
    </row>
    <row r="1270" spans="1:1" x14ac:dyDescent="0.25">
      <c r="A1270" s="5"/>
    </row>
    <row r="1271" spans="1:1" x14ac:dyDescent="0.25">
      <c r="A1271" s="6"/>
    </row>
    <row r="1272" spans="1:1" x14ac:dyDescent="0.25">
      <c r="A1272" s="5"/>
    </row>
    <row r="1273" spans="1:1" x14ac:dyDescent="0.25">
      <c r="A1273" s="6"/>
    </row>
    <row r="1274" spans="1:1" x14ac:dyDescent="0.25">
      <c r="A1274" s="5"/>
    </row>
    <row r="1275" spans="1:1" x14ac:dyDescent="0.25">
      <c r="A1275" s="6"/>
    </row>
    <row r="1276" spans="1:1" x14ac:dyDescent="0.25">
      <c r="A1276" s="5"/>
    </row>
    <row r="1277" spans="1:1" x14ac:dyDescent="0.25">
      <c r="A1277" s="6"/>
    </row>
    <row r="1278" spans="1:1" x14ac:dyDescent="0.25">
      <c r="A1278" s="5"/>
    </row>
    <row r="1279" spans="1:1" x14ac:dyDescent="0.25">
      <c r="A1279" s="6"/>
    </row>
    <row r="1280" spans="1:1" x14ac:dyDescent="0.25">
      <c r="A1280" s="5"/>
    </row>
    <row r="1281" spans="1:1" x14ac:dyDescent="0.25">
      <c r="A1281" s="6"/>
    </row>
    <row r="1282" spans="1:1" x14ac:dyDescent="0.25">
      <c r="A1282" s="5"/>
    </row>
    <row r="1283" spans="1:1" x14ac:dyDescent="0.25">
      <c r="A1283" s="6"/>
    </row>
    <row r="1284" spans="1:1" x14ac:dyDescent="0.25">
      <c r="A1284" s="5"/>
    </row>
    <row r="1285" spans="1:1" x14ac:dyDescent="0.25">
      <c r="A1285" s="6"/>
    </row>
    <row r="1286" spans="1:1" x14ac:dyDescent="0.25">
      <c r="A1286" s="5"/>
    </row>
    <row r="1287" spans="1:1" x14ac:dyDescent="0.25">
      <c r="A1287" s="6"/>
    </row>
    <row r="1288" spans="1:1" x14ac:dyDescent="0.25">
      <c r="A1288" s="5"/>
    </row>
    <row r="1289" spans="1:1" x14ac:dyDescent="0.25">
      <c r="A1289" s="6"/>
    </row>
    <row r="1290" spans="1:1" x14ac:dyDescent="0.25">
      <c r="A1290" s="5"/>
    </row>
    <row r="1291" spans="1:1" x14ac:dyDescent="0.25">
      <c r="A1291" s="6"/>
    </row>
    <row r="1292" spans="1:1" x14ac:dyDescent="0.25">
      <c r="A1292" s="5"/>
    </row>
    <row r="1293" spans="1:1" x14ac:dyDescent="0.25">
      <c r="A1293" s="6"/>
    </row>
    <row r="1294" spans="1:1" x14ac:dyDescent="0.25">
      <c r="A1294" s="5"/>
    </row>
    <row r="1295" spans="1:1" x14ac:dyDescent="0.25">
      <c r="A1295" s="6"/>
    </row>
    <row r="1296" spans="1:1" x14ac:dyDescent="0.25">
      <c r="A1296" s="5"/>
    </row>
    <row r="1297" spans="1:1" x14ac:dyDescent="0.25">
      <c r="A1297" s="6"/>
    </row>
    <row r="1298" spans="1:1" x14ac:dyDescent="0.25">
      <c r="A1298" s="5"/>
    </row>
    <row r="1299" spans="1:1" x14ac:dyDescent="0.25">
      <c r="A1299" s="6"/>
    </row>
    <row r="1300" spans="1:1" x14ac:dyDescent="0.25">
      <c r="A1300" s="5"/>
    </row>
    <row r="1301" spans="1:1" x14ac:dyDescent="0.25">
      <c r="A1301" s="6"/>
    </row>
    <row r="1302" spans="1:1" x14ac:dyDescent="0.25">
      <c r="A1302" s="5"/>
    </row>
    <row r="1303" spans="1:1" x14ac:dyDescent="0.25">
      <c r="A1303" s="6"/>
    </row>
    <row r="1304" spans="1:1" x14ac:dyDescent="0.25">
      <c r="A1304" s="5"/>
    </row>
    <row r="1305" spans="1:1" x14ac:dyDescent="0.25">
      <c r="A1305" s="6"/>
    </row>
    <row r="1306" spans="1:1" x14ac:dyDescent="0.25">
      <c r="A1306" s="5"/>
    </row>
    <row r="1307" spans="1:1" x14ac:dyDescent="0.25">
      <c r="A1307" s="6"/>
    </row>
    <row r="1308" spans="1:1" x14ac:dyDescent="0.25">
      <c r="A1308" s="5"/>
    </row>
    <row r="1309" spans="1:1" x14ac:dyDescent="0.25">
      <c r="A1309" s="6"/>
    </row>
    <row r="1310" spans="1:1" x14ac:dyDescent="0.25">
      <c r="A1310" s="5"/>
    </row>
    <row r="1311" spans="1:1" x14ac:dyDescent="0.25">
      <c r="A1311" s="6"/>
    </row>
    <row r="1312" spans="1:1" x14ac:dyDescent="0.25">
      <c r="A1312" s="5"/>
    </row>
    <row r="1313" spans="1:1" x14ac:dyDescent="0.25">
      <c r="A1313" s="6"/>
    </row>
    <row r="1314" spans="1:1" x14ac:dyDescent="0.25">
      <c r="A1314" s="5"/>
    </row>
    <row r="1315" spans="1:1" x14ac:dyDescent="0.25">
      <c r="A1315" s="6"/>
    </row>
    <row r="1316" spans="1:1" x14ac:dyDescent="0.25">
      <c r="A1316" s="5"/>
    </row>
    <row r="1317" spans="1:1" x14ac:dyDescent="0.25">
      <c r="A1317" s="6"/>
    </row>
    <row r="1318" spans="1:1" x14ac:dyDescent="0.25">
      <c r="A1318" s="5"/>
    </row>
    <row r="1319" spans="1:1" x14ac:dyDescent="0.25">
      <c r="A1319" s="6"/>
    </row>
    <row r="1320" spans="1:1" x14ac:dyDescent="0.25">
      <c r="A1320" s="5"/>
    </row>
    <row r="1321" spans="1:1" x14ac:dyDescent="0.25">
      <c r="A1321" s="6"/>
    </row>
    <row r="1322" spans="1:1" x14ac:dyDescent="0.25">
      <c r="A1322" s="5"/>
    </row>
    <row r="1323" spans="1:1" x14ac:dyDescent="0.25">
      <c r="A1323" s="6"/>
    </row>
    <row r="1324" spans="1:1" x14ac:dyDescent="0.25">
      <c r="A1324" s="5"/>
    </row>
    <row r="1325" spans="1:1" x14ac:dyDescent="0.25">
      <c r="A1325" s="6"/>
    </row>
    <row r="1326" spans="1:1" x14ac:dyDescent="0.25">
      <c r="A1326" s="5"/>
    </row>
    <row r="1327" spans="1:1" x14ac:dyDescent="0.25">
      <c r="A1327" s="6"/>
    </row>
    <row r="1328" spans="1:1" x14ac:dyDescent="0.25">
      <c r="A1328" s="5"/>
    </row>
    <row r="1329" spans="1:1" x14ac:dyDescent="0.25">
      <c r="A1329" s="6"/>
    </row>
    <row r="1330" spans="1:1" x14ac:dyDescent="0.25">
      <c r="A1330" s="5"/>
    </row>
    <row r="1331" spans="1:1" x14ac:dyDescent="0.25">
      <c r="A1331" s="6"/>
    </row>
    <row r="1332" spans="1:1" x14ac:dyDescent="0.25">
      <c r="A1332" s="5"/>
    </row>
    <row r="1333" spans="1:1" x14ac:dyDescent="0.25">
      <c r="A1333" s="6"/>
    </row>
    <row r="1334" spans="1:1" x14ac:dyDescent="0.25">
      <c r="A1334" s="5"/>
    </row>
    <row r="1335" spans="1:1" x14ac:dyDescent="0.25">
      <c r="A1335" s="6"/>
    </row>
    <row r="1336" spans="1:1" x14ac:dyDescent="0.25">
      <c r="A1336" s="5"/>
    </row>
    <row r="1337" spans="1:1" x14ac:dyDescent="0.25">
      <c r="A1337" s="6"/>
    </row>
    <row r="1338" spans="1:1" x14ac:dyDescent="0.25">
      <c r="A1338" s="5"/>
    </row>
    <row r="1339" spans="1:1" x14ac:dyDescent="0.25">
      <c r="A1339" s="6"/>
    </row>
    <row r="1340" spans="1:1" x14ac:dyDescent="0.25">
      <c r="A1340" s="5"/>
    </row>
    <row r="1341" spans="1:1" x14ac:dyDescent="0.25">
      <c r="A1341" s="6"/>
    </row>
    <row r="1342" spans="1:1" x14ac:dyDescent="0.25">
      <c r="A1342" s="5"/>
    </row>
    <row r="1343" spans="1:1" x14ac:dyDescent="0.25">
      <c r="A1343" s="6"/>
    </row>
    <row r="1344" spans="1:1" x14ac:dyDescent="0.25">
      <c r="A1344" s="5"/>
    </row>
    <row r="1345" spans="1:1" x14ac:dyDescent="0.25">
      <c r="A1345" s="6"/>
    </row>
    <row r="1346" spans="1:1" x14ac:dyDescent="0.25">
      <c r="A1346" s="5"/>
    </row>
    <row r="1347" spans="1:1" x14ac:dyDescent="0.25">
      <c r="A1347" s="6"/>
    </row>
    <row r="1348" spans="1:1" x14ac:dyDescent="0.25">
      <c r="A1348" s="5"/>
    </row>
    <row r="1349" spans="1:1" x14ac:dyDescent="0.25">
      <c r="A1349" s="6"/>
    </row>
    <row r="1350" spans="1:1" x14ac:dyDescent="0.25">
      <c r="A1350" s="5"/>
    </row>
    <row r="1351" spans="1:1" x14ac:dyDescent="0.25">
      <c r="A1351" s="6"/>
    </row>
    <row r="1352" spans="1:1" x14ac:dyDescent="0.25">
      <c r="A1352" s="5"/>
    </row>
    <row r="1353" spans="1:1" x14ac:dyDescent="0.25">
      <c r="A1353" s="6"/>
    </row>
    <row r="1354" spans="1:1" x14ac:dyDescent="0.25">
      <c r="A1354" s="5"/>
    </row>
    <row r="1355" spans="1:1" x14ac:dyDescent="0.25">
      <c r="A1355" s="6"/>
    </row>
    <row r="1356" spans="1:1" x14ac:dyDescent="0.25">
      <c r="A1356" s="5"/>
    </row>
    <row r="1357" spans="1:1" x14ac:dyDescent="0.25">
      <c r="A1357" s="6"/>
    </row>
    <row r="1358" spans="1:1" x14ac:dyDescent="0.25">
      <c r="A1358" s="5"/>
    </row>
    <row r="1359" spans="1:1" x14ac:dyDescent="0.25">
      <c r="A1359" s="6"/>
    </row>
    <row r="1360" spans="1:1" x14ac:dyDescent="0.25">
      <c r="A1360" s="5"/>
    </row>
    <row r="1361" spans="1:1" x14ac:dyDescent="0.25">
      <c r="A1361" s="6"/>
    </row>
    <row r="1362" spans="1:1" x14ac:dyDescent="0.25">
      <c r="A1362" s="5"/>
    </row>
    <row r="1363" spans="1:1" x14ac:dyDescent="0.25">
      <c r="A1363" s="6"/>
    </row>
    <row r="1364" spans="1:1" x14ac:dyDescent="0.25">
      <c r="A1364" s="5"/>
    </row>
  </sheetData>
  <sortState xmlns:xlrd2="http://schemas.microsoft.com/office/spreadsheetml/2017/richdata2" ref="A2:F107">
    <sortCondition ref="F2:F1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94"/>
  <sheetViews>
    <sheetView workbookViewId="0">
      <selection activeCell="A6" sqref="A6:XFD6"/>
    </sheetView>
  </sheetViews>
  <sheetFormatPr defaultRowHeight="15" x14ac:dyDescent="0.25"/>
  <cols>
    <col min="1" max="1" width="18.7109375" customWidth="1"/>
  </cols>
  <sheetData>
    <row r="1" spans="1:2" x14ac:dyDescent="0.25">
      <c r="A1" t="s">
        <v>1</v>
      </c>
    </row>
    <row r="2" spans="1:2" x14ac:dyDescent="0.25">
      <c r="A2" t="s">
        <v>5</v>
      </c>
      <c r="B2">
        <f>ROWS(A2:A107)</f>
        <v>106</v>
      </c>
    </row>
    <row r="3" spans="1:2" x14ac:dyDescent="0.25">
      <c r="A3" t="s">
        <v>9</v>
      </c>
    </row>
    <row r="4" spans="1:2" x14ac:dyDescent="0.25">
      <c r="A4" t="s">
        <v>11</v>
      </c>
    </row>
    <row r="5" spans="1:2" x14ac:dyDescent="0.25">
      <c r="A5" t="s">
        <v>13</v>
      </c>
    </row>
    <row r="6" spans="1:2" x14ac:dyDescent="0.25">
      <c r="A6" t="s">
        <v>16</v>
      </c>
    </row>
    <row r="7" spans="1:2" x14ac:dyDescent="0.25">
      <c r="A7" t="s">
        <v>18</v>
      </c>
    </row>
    <row r="8" spans="1:2" x14ac:dyDescent="0.25">
      <c r="A8" t="s">
        <v>20</v>
      </c>
    </row>
    <row r="9" spans="1:2" x14ac:dyDescent="0.25">
      <c r="A9" t="s">
        <v>22</v>
      </c>
    </row>
    <row r="10" spans="1:2" x14ac:dyDescent="0.25">
      <c r="A10" t="s">
        <v>23</v>
      </c>
    </row>
    <row r="11" spans="1:2" x14ac:dyDescent="0.25">
      <c r="A11" t="s">
        <v>25</v>
      </c>
    </row>
    <row r="12" spans="1:2" x14ac:dyDescent="0.25">
      <c r="A12" t="s">
        <v>27</v>
      </c>
    </row>
    <row r="13" spans="1:2" x14ac:dyDescent="0.25">
      <c r="A13" t="s">
        <v>29</v>
      </c>
    </row>
    <row r="14" spans="1:2" x14ac:dyDescent="0.25">
      <c r="A14" t="s">
        <v>35</v>
      </c>
    </row>
    <row r="15" spans="1:2" x14ac:dyDescent="0.25">
      <c r="A15" t="s">
        <v>36</v>
      </c>
    </row>
    <row r="16" spans="1:2" x14ac:dyDescent="0.25">
      <c r="A16" t="s">
        <v>37</v>
      </c>
    </row>
    <row r="17" spans="1:1" x14ac:dyDescent="0.25">
      <c r="A17" t="s">
        <v>39</v>
      </c>
    </row>
    <row r="18" spans="1:1" x14ac:dyDescent="0.25">
      <c r="A18" t="s">
        <v>41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46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70</v>
      </c>
    </row>
    <row r="33" spans="1:1" x14ac:dyDescent="0.25">
      <c r="A33" t="s">
        <v>78</v>
      </c>
    </row>
    <row r="34" spans="1:1" x14ac:dyDescent="0.25">
      <c r="A34" t="s">
        <v>82</v>
      </c>
    </row>
    <row r="35" spans="1:1" x14ac:dyDescent="0.25">
      <c r="A35" t="s">
        <v>83</v>
      </c>
    </row>
    <row r="36" spans="1:1" x14ac:dyDescent="0.25">
      <c r="A36" t="s">
        <v>85</v>
      </c>
    </row>
    <row r="37" spans="1:1" x14ac:dyDescent="0.25">
      <c r="A37" t="s">
        <v>89</v>
      </c>
    </row>
    <row r="38" spans="1:1" x14ac:dyDescent="0.25">
      <c r="A38" t="s">
        <v>97</v>
      </c>
    </row>
    <row r="39" spans="1:1" x14ac:dyDescent="0.25">
      <c r="A39" t="s">
        <v>99</v>
      </c>
    </row>
    <row r="40" spans="1:1" x14ac:dyDescent="0.25">
      <c r="A40" t="s">
        <v>100</v>
      </c>
    </row>
    <row r="41" spans="1:1" x14ac:dyDescent="0.25">
      <c r="A41" t="s">
        <v>101</v>
      </c>
    </row>
    <row r="42" spans="1:1" x14ac:dyDescent="0.25">
      <c r="A42" t="s">
        <v>112</v>
      </c>
    </row>
    <row r="43" spans="1:1" x14ac:dyDescent="0.25">
      <c r="A43" t="s">
        <v>114</v>
      </c>
    </row>
    <row r="44" spans="1:1" x14ac:dyDescent="0.25">
      <c r="A44" t="s">
        <v>118</v>
      </c>
    </row>
    <row r="45" spans="1:1" x14ac:dyDescent="0.25">
      <c r="A45" t="s">
        <v>122</v>
      </c>
    </row>
    <row r="46" spans="1:1" x14ac:dyDescent="0.25">
      <c r="A46" t="s">
        <v>129</v>
      </c>
    </row>
    <row r="47" spans="1:1" x14ac:dyDescent="0.25">
      <c r="A47" t="s">
        <v>134</v>
      </c>
    </row>
    <row r="48" spans="1:1" x14ac:dyDescent="0.25">
      <c r="A48" t="s">
        <v>138</v>
      </c>
    </row>
    <row r="49" spans="1:1" x14ac:dyDescent="0.25">
      <c r="A49" t="s">
        <v>156</v>
      </c>
    </row>
    <row r="50" spans="1:1" x14ac:dyDescent="0.25">
      <c r="A50" t="s">
        <v>181</v>
      </c>
    </row>
    <row r="51" spans="1:1" x14ac:dyDescent="0.25">
      <c r="A51" t="s">
        <v>184</v>
      </c>
    </row>
    <row r="52" spans="1:1" x14ac:dyDescent="0.25">
      <c r="A52" t="s">
        <v>186</v>
      </c>
    </row>
    <row r="53" spans="1:1" x14ac:dyDescent="0.25">
      <c r="A53" t="s">
        <v>193</v>
      </c>
    </row>
    <row r="54" spans="1:1" x14ac:dyDescent="0.25">
      <c r="A54" t="s">
        <v>200</v>
      </c>
    </row>
    <row r="55" spans="1:1" x14ac:dyDescent="0.25">
      <c r="A55" t="s">
        <v>208</v>
      </c>
    </row>
    <row r="56" spans="1:1" x14ac:dyDescent="0.25">
      <c r="A56" t="s">
        <v>213</v>
      </c>
    </row>
    <row r="57" spans="1:1" x14ac:dyDescent="0.25">
      <c r="A57" t="s">
        <v>222</v>
      </c>
    </row>
    <row r="58" spans="1:1" x14ac:dyDescent="0.25">
      <c r="A58" t="s">
        <v>223</v>
      </c>
    </row>
    <row r="59" spans="1:1" x14ac:dyDescent="0.25">
      <c r="A59" t="s">
        <v>236</v>
      </c>
    </row>
    <row r="60" spans="1:1" x14ac:dyDescent="0.25">
      <c r="A60" t="s">
        <v>238</v>
      </c>
    </row>
    <row r="61" spans="1:1" x14ac:dyDescent="0.25">
      <c r="A61" t="s">
        <v>243</v>
      </c>
    </row>
    <row r="62" spans="1:1" x14ac:dyDescent="0.25">
      <c r="A62" t="s">
        <v>261</v>
      </c>
    </row>
    <row r="63" spans="1:1" x14ac:dyDescent="0.25">
      <c r="A63" t="s">
        <v>262</v>
      </c>
    </row>
    <row r="64" spans="1:1" x14ac:dyDescent="0.25">
      <c r="A64" t="s">
        <v>267</v>
      </c>
    </row>
    <row r="65" spans="1:1" x14ac:dyDescent="0.25">
      <c r="A65" t="s">
        <v>268</v>
      </c>
    </row>
    <row r="66" spans="1:1" x14ac:dyDescent="0.25">
      <c r="A66" t="s">
        <v>296</v>
      </c>
    </row>
    <row r="67" spans="1:1" x14ac:dyDescent="0.25">
      <c r="A67" t="s">
        <v>315</v>
      </c>
    </row>
    <row r="68" spans="1:1" x14ac:dyDescent="0.25">
      <c r="A68" t="s">
        <v>321</v>
      </c>
    </row>
    <row r="69" spans="1:1" x14ac:dyDescent="0.25">
      <c r="A69" t="s">
        <v>335</v>
      </c>
    </row>
    <row r="70" spans="1:1" x14ac:dyDescent="0.25">
      <c r="A70" t="s">
        <v>348</v>
      </c>
    </row>
    <row r="71" spans="1:1" x14ac:dyDescent="0.25">
      <c r="A71" t="s">
        <v>379</v>
      </c>
    </row>
    <row r="72" spans="1:1" x14ac:dyDescent="0.25">
      <c r="A72" t="s">
        <v>380</v>
      </c>
    </row>
    <row r="73" spans="1:1" x14ac:dyDescent="0.25">
      <c r="A73" t="s">
        <v>383</v>
      </c>
    </row>
    <row r="74" spans="1:1" x14ac:dyDescent="0.25">
      <c r="A74" t="s">
        <v>384</v>
      </c>
    </row>
    <row r="75" spans="1:1" x14ac:dyDescent="0.25">
      <c r="A75" t="s">
        <v>394</v>
      </c>
    </row>
    <row r="76" spans="1:1" x14ac:dyDescent="0.25">
      <c r="A76" t="s">
        <v>397</v>
      </c>
    </row>
    <row r="77" spans="1:1" x14ac:dyDescent="0.25">
      <c r="A77" t="s">
        <v>407</v>
      </c>
    </row>
    <row r="78" spans="1:1" x14ac:dyDescent="0.25">
      <c r="A78" t="s">
        <v>409</v>
      </c>
    </row>
    <row r="79" spans="1:1" x14ac:dyDescent="0.25">
      <c r="A79" t="s">
        <v>410</v>
      </c>
    </row>
    <row r="80" spans="1:1" x14ac:dyDescent="0.25">
      <c r="A80" t="s">
        <v>412</v>
      </c>
    </row>
    <row r="81" spans="1:1" x14ac:dyDescent="0.25">
      <c r="A81" t="s">
        <v>470</v>
      </c>
    </row>
    <row r="82" spans="1:1" x14ac:dyDescent="0.25">
      <c r="A82" t="s">
        <v>483</v>
      </c>
    </row>
    <row r="83" spans="1:1" x14ac:dyDescent="0.25">
      <c r="A83" t="s">
        <v>486</v>
      </c>
    </row>
    <row r="84" spans="1:1" x14ac:dyDescent="0.25">
      <c r="A84" t="s">
        <v>503</v>
      </c>
    </row>
    <row r="85" spans="1:1" x14ac:dyDescent="0.25">
      <c r="A85" t="s">
        <v>506</v>
      </c>
    </row>
    <row r="86" spans="1:1" x14ac:dyDescent="0.25">
      <c r="A86" t="s">
        <v>511</v>
      </c>
    </row>
    <row r="87" spans="1:1" x14ac:dyDescent="0.25">
      <c r="A87" t="s">
        <v>516</v>
      </c>
    </row>
    <row r="88" spans="1:1" x14ac:dyDescent="0.25">
      <c r="A88" t="s">
        <v>530</v>
      </c>
    </row>
    <row r="89" spans="1:1" x14ac:dyDescent="0.25">
      <c r="A89" t="s">
        <v>534</v>
      </c>
    </row>
    <row r="90" spans="1:1" x14ac:dyDescent="0.25">
      <c r="A90" t="s">
        <v>538</v>
      </c>
    </row>
    <row r="91" spans="1:1" x14ac:dyDescent="0.25">
      <c r="A91" t="s">
        <v>540</v>
      </c>
    </row>
    <row r="92" spans="1:1" x14ac:dyDescent="0.25">
      <c r="A92" t="s">
        <v>546</v>
      </c>
    </row>
    <row r="93" spans="1:1" x14ac:dyDescent="0.25">
      <c r="A93" t="s">
        <v>549</v>
      </c>
    </row>
    <row r="94" spans="1:1" x14ac:dyDescent="0.25">
      <c r="A94" t="s">
        <v>570</v>
      </c>
    </row>
    <row r="95" spans="1:1" x14ac:dyDescent="0.25">
      <c r="A95" t="s">
        <v>575</v>
      </c>
    </row>
    <row r="96" spans="1:1" x14ac:dyDescent="0.25">
      <c r="A96" t="s">
        <v>585</v>
      </c>
    </row>
    <row r="97" spans="1:1" x14ac:dyDescent="0.25">
      <c r="A97" t="s">
        <v>587</v>
      </c>
    </row>
    <row r="98" spans="1:1" x14ac:dyDescent="0.25">
      <c r="A98" t="s">
        <v>592</v>
      </c>
    </row>
    <row r="99" spans="1:1" x14ac:dyDescent="0.25">
      <c r="A99" t="s">
        <v>596</v>
      </c>
    </row>
    <row r="100" spans="1:1" x14ac:dyDescent="0.25">
      <c r="A100" t="s">
        <v>625</v>
      </c>
    </row>
    <row r="101" spans="1:1" x14ac:dyDescent="0.25">
      <c r="A101" t="s">
        <v>636</v>
      </c>
    </row>
    <row r="102" spans="1:1" x14ac:dyDescent="0.25">
      <c r="A102" t="s">
        <v>651</v>
      </c>
    </row>
    <row r="103" spans="1:1" x14ac:dyDescent="0.25">
      <c r="A103" t="s">
        <v>668</v>
      </c>
    </row>
    <row r="104" spans="1:1" x14ac:dyDescent="0.25">
      <c r="A104" t="s">
        <v>671</v>
      </c>
    </row>
    <row r="105" spans="1:1" x14ac:dyDescent="0.25">
      <c r="A105" t="s">
        <v>686</v>
      </c>
    </row>
    <row r="106" spans="1:1" x14ac:dyDescent="0.25">
      <c r="A106" t="s">
        <v>689</v>
      </c>
    </row>
    <row r="107" spans="1:1" x14ac:dyDescent="0.25">
      <c r="A107" t="s">
        <v>706</v>
      </c>
    </row>
    <row r="1394" spans="1:1" x14ac:dyDescent="0.25">
      <c r="A1394" s="7"/>
    </row>
  </sheetData>
  <conditionalFormatting sqref="A1:A1048576">
    <cfRule type="containsText" dxfId="0" priority="1" operator="containsText" text="el-">
      <formula>NOT(ISERROR(SEARCH("el-",A1)))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EAD7-9FB8-4CF9-9C82-7C15990DE0E9}">
  <dimension ref="A1:P124"/>
  <sheetViews>
    <sheetView topLeftCell="C1" workbookViewId="0">
      <selection activeCell="P3" sqref="P3"/>
    </sheetView>
  </sheetViews>
  <sheetFormatPr defaultRowHeight="15" x14ac:dyDescent="0.25"/>
  <cols>
    <col min="1" max="1" width="24" customWidth="1"/>
    <col min="2" max="4" width="14.85546875" customWidth="1"/>
    <col min="5" max="5" width="16.42578125" customWidth="1"/>
    <col min="6" max="6" width="16.85546875" customWidth="1"/>
    <col min="7" max="7" width="16" customWidth="1"/>
    <col min="8" max="8" width="13.28515625" customWidth="1"/>
    <col min="10" max="10" width="20.5703125" style="14" customWidth="1"/>
    <col min="12" max="12" width="21.7109375" customWidth="1"/>
  </cols>
  <sheetData>
    <row r="1" spans="1:16" x14ac:dyDescent="0.25">
      <c r="A1" t="s">
        <v>736</v>
      </c>
      <c r="B1" t="s">
        <v>804</v>
      </c>
      <c r="C1" t="s">
        <v>805</v>
      </c>
      <c r="D1" t="s">
        <v>808</v>
      </c>
      <c r="E1" t="s">
        <v>801</v>
      </c>
      <c r="F1" t="s">
        <v>807</v>
      </c>
      <c r="G1" t="s">
        <v>806</v>
      </c>
      <c r="H1" t="s">
        <v>810</v>
      </c>
      <c r="I1" t="s">
        <v>811</v>
      </c>
      <c r="J1" s="14" t="s">
        <v>809</v>
      </c>
      <c r="K1" t="s">
        <v>797</v>
      </c>
      <c r="L1" t="s">
        <v>812</v>
      </c>
      <c r="M1" t="s">
        <v>813</v>
      </c>
      <c r="N1" t="s">
        <v>814</v>
      </c>
      <c r="O1" t="s">
        <v>752</v>
      </c>
      <c r="P1" t="s">
        <v>817</v>
      </c>
    </row>
    <row r="2" spans="1:16" x14ac:dyDescent="0.25">
      <c r="A2" t="s">
        <v>16</v>
      </c>
      <c r="B2">
        <v>36</v>
      </c>
      <c r="C2">
        <v>36</v>
      </c>
      <c r="D2" s="14">
        <f t="shared" ref="D2:D33" si="0">B2/C2</f>
        <v>1</v>
      </c>
      <c r="E2">
        <v>3.0720949074074078</v>
      </c>
      <c r="F2">
        <f t="shared" ref="F2:F33" si="1">E2*24</f>
        <v>73.730277777777786</v>
      </c>
      <c r="G2">
        <v>72</v>
      </c>
      <c r="H2" s="14">
        <f t="shared" ref="H2:H33" si="2">F2/G2</f>
        <v>1.0240316358024693</v>
      </c>
      <c r="I2" s="14">
        <f t="shared" ref="I2:I33" si="3">MIN(100%,H2)</f>
        <v>1</v>
      </c>
      <c r="J2" s="14">
        <f t="shared" ref="J2:J33" si="4">(D2*0.5)+(I2*0.5)</f>
        <v>1</v>
      </c>
      <c r="K2">
        <f t="shared" ref="K2:K33" si="5">RANK(J2,J:J,)</f>
        <v>1</v>
      </c>
      <c r="L2" t="str">
        <f>IF(J2&gt;=75%,"HIGH PERFORMERS",IF(J2&gt;=50%,"MODERATE PERFORMERS","AT-RISK PERFORMERS"))</f>
        <v>HIGH PERFORMERS</v>
      </c>
      <c r="M2">
        <f>COUNTA(L2:L17)</f>
        <v>16</v>
      </c>
      <c r="N2">
        <f>COUNTA(L18:L32)</f>
        <v>15</v>
      </c>
      <c r="O2">
        <f>COUNTA(L33:L106)</f>
        <v>74</v>
      </c>
      <c r="P2">
        <f>COUNT(J2:J16)</f>
        <v>15</v>
      </c>
    </row>
    <row r="3" spans="1:16" x14ac:dyDescent="0.25">
      <c r="A3" t="s">
        <v>22</v>
      </c>
      <c r="B3">
        <v>35</v>
      </c>
      <c r="C3">
        <v>36</v>
      </c>
      <c r="D3" s="14">
        <f t="shared" si="0"/>
        <v>0.97222222222222221</v>
      </c>
      <c r="E3">
        <v>3.0000462962962966</v>
      </c>
      <c r="F3">
        <f t="shared" si="1"/>
        <v>72.001111111111115</v>
      </c>
      <c r="G3">
        <v>72</v>
      </c>
      <c r="H3" s="14">
        <f t="shared" si="2"/>
        <v>1.0000154320987655</v>
      </c>
      <c r="I3" s="14">
        <f t="shared" si="3"/>
        <v>1</v>
      </c>
      <c r="J3" s="14">
        <f t="shared" si="4"/>
        <v>0.98611111111111116</v>
      </c>
      <c r="K3">
        <f t="shared" si="5"/>
        <v>2</v>
      </c>
      <c r="L3" t="str">
        <f t="shared" ref="L3:L66" si="6">IF(J3&gt;=75%,"HIGH PERFORMERS",IF(J3&gt;=50%,"MODERATE PERFORMERS","AT-RISK PERFORMERS"))</f>
        <v>HIGH PERFORMERS</v>
      </c>
    </row>
    <row r="4" spans="1:16" x14ac:dyDescent="0.25">
      <c r="A4" t="s">
        <v>11</v>
      </c>
      <c r="B4">
        <v>35</v>
      </c>
      <c r="C4">
        <v>36</v>
      </c>
      <c r="D4" s="14">
        <f t="shared" si="0"/>
        <v>0.97222222222222221</v>
      </c>
      <c r="E4">
        <v>2.9238773148148152</v>
      </c>
      <c r="F4">
        <f t="shared" si="1"/>
        <v>70.173055555555564</v>
      </c>
      <c r="G4">
        <v>72</v>
      </c>
      <c r="H4" s="14">
        <f t="shared" si="2"/>
        <v>0.97462577160493835</v>
      </c>
      <c r="I4" s="14">
        <f t="shared" si="3"/>
        <v>0.97462577160493835</v>
      </c>
      <c r="J4" s="14">
        <f t="shared" si="4"/>
        <v>0.97342399691358028</v>
      </c>
      <c r="K4">
        <f t="shared" si="5"/>
        <v>3</v>
      </c>
      <c r="L4" t="str">
        <f t="shared" si="6"/>
        <v>HIGH PERFORMERS</v>
      </c>
    </row>
    <row r="5" spans="1:16" x14ac:dyDescent="0.25">
      <c r="A5" t="s">
        <v>53</v>
      </c>
      <c r="B5">
        <v>34</v>
      </c>
      <c r="C5">
        <v>36</v>
      </c>
      <c r="D5" s="14">
        <f t="shared" si="0"/>
        <v>0.94444444444444442</v>
      </c>
      <c r="E5">
        <v>2.9219097222222223</v>
      </c>
      <c r="F5">
        <f t="shared" si="1"/>
        <v>70.125833333333333</v>
      </c>
      <c r="G5">
        <v>72</v>
      </c>
      <c r="H5" s="14">
        <f t="shared" si="2"/>
        <v>0.97396990740740741</v>
      </c>
      <c r="I5" s="14">
        <f t="shared" si="3"/>
        <v>0.97396990740740741</v>
      </c>
      <c r="J5" s="14">
        <f t="shared" si="4"/>
        <v>0.95920717592592597</v>
      </c>
      <c r="K5">
        <f t="shared" si="5"/>
        <v>4</v>
      </c>
      <c r="L5" t="str">
        <f t="shared" si="6"/>
        <v>HIGH PERFORMERS</v>
      </c>
    </row>
    <row r="6" spans="1:16" x14ac:dyDescent="0.25">
      <c r="A6" t="s">
        <v>18</v>
      </c>
      <c r="B6">
        <v>33</v>
      </c>
      <c r="C6">
        <v>36</v>
      </c>
      <c r="D6" s="14">
        <f t="shared" si="0"/>
        <v>0.91666666666666663</v>
      </c>
      <c r="E6">
        <v>2.8203587962962962</v>
      </c>
      <c r="F6">
        <f t="shared" si="1"/>
        <v>67.688611111111101</v>
      </c>
      <c r="G6">
        <v>72</v>
      </c>
      <c r="H6" s="14">
        <f t="shared" si="2"/>
        <v>0.94011959876543194</v>
      </c>
      <c r="I6" s="14">
        <f t="shared" si="3"/>
        <v>0.94011959876543194</v>
      </c>
      <c r="J6" s="14">
        <f t="shared" si="4"/>
        <v>0.92839313271604929</v>
      </c>
      <c r="K6">
        <f t="shared" si="5"/>
        <v>5</v>
      </c>
      <c r="L6" t="str">
        <f t="shared" si="6"/>
        <v>HIGH PERFORMERS</v>
      </c>
    </row>
    <row r="7" spans="1:16" x14ac:dyDescent="0.25">
      <c r="A7" t="s">
        <v>46</v>
      </c>
      <c r="B7">
        <v>33</v>
      </c>
      <c r="C7">
        <v>36</v>
      </c>
      <c r="D7" s="14">
        <f t="shared" si="0"/>
        <v>0.91666666666666663</v>
      </c>
      <c r="E7">
        <v>2.7944212962962962</v>
      </c>
      <c r="F7">
        <f t="shared" si="1"/>
        <v>67.066111111111113</v>
      </c>
      <c r="G7">
        <v>72</v>
      </c>
      <c r="H7" s="14">
        <f t="shared" si="2"/>
        <v>0.93147376543209881</v>
      </c>
      <c r="I7" s="14">
        <f t="shared" si="3"/>
        <v>0.93147376543209881</v>
      </c>
      <c r="J7" s="14">
        <f t="shared" si="4"/>
        <v>0.92407021604938278</v>
      </c>
      <c r="K7">
        <f t="shared" si="5"/>
        <v>6</v>
      </c>
      <c r="L7" t="str">
        <f t="shared" si="6"/>
        <v>HIGH PERFORMERS</v>
      </c>
    </row>
    <row r="8" spans="1:16" x14ac:dyDescent="0.25">
      <c r="A8" t="s">
        <v>20</v>
      </c>
      <c r="B8">
        <v>33</v>
      </c>
      <c r="C8">
        <v>36</v>
      </c>
      <c r="D8" s="14">
        <f t="shared" si="0"/>
        <v>0.91666666666666663</v>
      </c>
      <c r="E8">
        <v>2.783159722222222</v>
      </c>
      <c r="F8">
        <f t="shared" si="1"/>
        <v>66.79583333333332</v>
      </c>
      <c r="G8">
        <v>72</v>
      </c>
      <c r="H8" s="14">
        <f t="shared" si="2"/>
        <v>0.92771990740740717</v>
      </c>
      <c r="I8" s="14">
        <f t="shared" si="3"/>
        <v>0.92771990740740717</v>
      </c>
      <c r="J8" s="14">
        <f t="shared" si="4"/>
        <v>0.92219328703703685</v>
      </c>
      <c r="K8">
        <f t="shared" si="5"/>
        <v>7</v>
      </c>
      <c r="L8" t="str">
        <f t="shared" si="6"/>
        <v>HIGH PERFORMERS</v>
      </c>
    </row>
    <row r="9" spans="1:16" x14ac:dyDescent="0.25">
      <c r="A9" t="s">
        <v>41</v>
      </c>
      <c r="B9">
        <v>31</v>
      </c>
      <c r="C9">
        <v>36</v>
      </c>
      <c r="D9" s="14">
        <f t="shared" si="0"/>
        <v>0.86111111111111116</v>
      </c>
      <c r="E9">
        <v>2.6125578703703707</v>
      </c>
      <c r="F9">
        <f t="shared" si="1"/>
        <v>62.7013888888889</v>
      </c>
      <c r="G9">
        <v>72</v>
      </c>
      <c r="H9" s="14">
        <f t="shared" si="2"/>
        <v>0.87085262345679026</v>
      </c>
      <c r="I9" s="14">
        <f t="shared" si="3"/>
        <v>0.87085262345679026</v>
      </c>
      <c r="J9" s="14">
        <f t="shared" si="4"/>
        <v>0.86598186728395077</v>
      </c>
      <c r="K9">
        <f t="shared" si="5"/>
        <v>8</v>
      </c>
      <c r="L9" t="str">
        <f t="shared" si="6"/>
        <v>HIGH PERFORMERS</v>
      </c>
    </row>
    <row r="10" spans="1:16" x14ac:dyDescent="0.25">
      <c r="A10" t="s">
        <v>36</v>
      </c>
      <c r="B10">
        <v>30</v>
      </c>
      <c r="C10">
        <v>36</v>
      </c>
      <c r="D10" s="14">
        <f t="shared" si="0"/>
        <v>0.83333333333333337</v>
      </c>
      <c r="E10">
        <v>2.5660879629629627</v>
      </c>
      <c r="F10">
        <f t="shared" si="1"/>
        <v>61.586111111111109</v>
      </c>
      <c r="G10">
        <v>72</v>
      </c>
      <c r="H10" s="14">
        <f t="shared" si="2"/>
        <v>0.85536265432098757</v>
      </c>
      <c r="I10" s="14">
        <f t="shared" si="3"/>
        <v>0.85536265432098757</v>
      </c>
      <c r="J10" s="14">
        <f t="shared" si="4"/>
        <v>0.84434799382716053</v>
      </c>
      <c r="K10">
        <f t="shared" si="5"/>
        <v>9</v>
      </c>
      <c r="L10" t="str">
        <f t="shared" si="6"/>
        <v>HIGH PERFORMERS</v>
      </c>
    </row>
    <row r="11" spans="1:16" x14ac:dyDescent="0.25">
      <c r="A11" t="s">
        <v>5</v>
      </c>
      <c r="B11">
        <v>25</v>
      </c>
      <c r="C11">
        <v>36</v>
      </c>
      <c r="D11" s="14">
        <f t="shared" si="0"/>
        <v>0.69444444444444442</v>
      </c>
      <c r="E11">
        <v>2.940405092592592</v>
      </c>
      <c r="F11">
        <f t="shared" si="1"/>
        <v>70.569722222222211</v>
      </c>
      <c r="G11">
        <v>72</v>
      </c>
      <c r="H11" s="14">
        <f t="shared" si="2"/>
        <v>0.9801350308641974</v>
      </c>
      <c r="I11" s="14">
        <f t="shared" si="3"/>
        <v>0.9801350308641974</v>
      </c>
      <c r="J11" s="14">
        <f t="shared" si="4"/>
        <v>0.83728973765432091</v>
      </c>
      <c r="K11">
        <f t="shared" si="5"/>
        <v>10</v>
      </c>
      <c r="L11" t="str">
        <f t="shared" si="6"/>
        <v>HIGH PERFORMERS</v>
      </c>
    </row>
    <row r="12" spans="1:16" x14ac:dyDescent="0.25">
      <c r="A12" t="s">
        <v>50</v>
      </c>
      <c r="B12">
        <v>30</v>
      </c>
      <c r="C12">
        <v>36</v>
      </c>
      <c r="D12" s="14">
        <f t="shared" si="0"/>
        <v>0.83333333333333337</v>
      </c>
      <c r="E12">
        <v>2.5218981481481482</v>
      </c>
      <c r="F12">
        <f t="shared" si="1"/>
        <v>60.525555555555556</v>
      </c>
      <c r="G12">
        <v>72</v>
      </c>
      <c r="H12" s="14">
        <f t="shared" si="2"/>
        <v>0.84063271604938272</v>
      </c>
      <c r="I12" s="14">
        <f t="shared" si="3"/>
        <v>0.84063271604938272</v>
      </c>
      <c r="J12" s="14">
        <f t="shared" si="4"/>
        <v>0.8369830246913581</v>
      </c>
      <c r="K12">
        <f t="shared" si="5"/>
        <v>11</v>
      </c>
      <c r="L12" t="str">
        <f t="shared" si="6"/>
        <v>HIGH PERFORMERS</v>
      </c>
    </row>
    <row r="13" spans="1:16" x14ac:dyDescent="0.25">
      <c r="A13" t="s">
        <v>23</v>
      </c>
      <c r="B13">
        <v>29</v>
      </c>
      <c r="C13">
        <v>36</v>
      </c>
      <c r="D13" s="14">
        <f t="shared" si="0"/>
        <v>0.80555555555555558</v>
      </c>
      <c r="E13">
        <v>2.4989004629629634</v>
      </c>
      <c r="F13">
        <f t="shared" si="1"/>
        <v>59.973611111111126</v>
      </c>
      <c r="G13">
        <v>72</v>
      </c>
      <c r="H13" s="14">
        <f t="shared" si="2"/>
        <v>0.83296682098765451</v>
      </c>
      <c r="I13" s="14">
        <f t="shared" si="3"/>
        <v>0.83296682098765451</v>
      </c>
      <c r="J13" s="14">
        <f t="shared" si="4"/>
        <v>0.81926118827160499</v>
      </c>
      <c r="K13">
        <f t="shared" si="5"/>
        <v>12</v>
      </c>
      <c r="L13" t="str">
        <f t="shared" si="6"/>
        <v>HIGH PERFORMERS</v>
      </c>
    </row>
    <row r="14" spans="1:16" x14ac:dyDescent="0.25">
      <c r="A14" t="s">
        <v>35</v>
      </c>
      <c r="B14">
        <v>29</v>
      </c>
      <c r="C14">
        <v>36</v>
      </c>
      <c r="D14" s="14">
        <f t="shared" si="0"/>
        <v>0.80555555555555558</v>
      </c>
      <c r="E14">
        <v>2.4394675925925928</v>
      </c>
      <c r="F14">
        <f t="shared" si="1"/>
        <v>58.547222222222231</v>
      </c>
      <c r="G14">
        <v>72</v>
      </c>
      <c r="H14" s="14">
        <f t="shared" si="2"/>
        <v>0.81315586419753094</v>
      </c>
      <c r="I14" s="14">
        <f t="shared" si="3"/>
        <v>0.81315586419753094</v>
      </c>
      <c r="J14" s="14">
        <f t="shared" si="4"/>
        <v>0.80935570987654326</v>
      </c>
      <c r="K14">
        <f t="shared" si="5"/>
        <v>13</v>
      </c>
      <c r="L14" t="str">
        <f t="shared" si="6"/>
        <v>HIGH PERFORMERS</v>
      </c>
    </row>
    <row r="15" spans="1:16" x14ac:dyDescent="0.25">
      <c r="A15" t="s">
        <v>70</v>
      </c>
      <c r="B15">
        <v>29</v>
      </c>
      <c r="C15">
        <v>36</v>
      </c>
      <c r="D15" s="14">
        <f t="shared" si="0"/>
        <v>0.80555555555555558</v>
      </c>
      <c r="E15">
        <v>2.4302314814814814</v>
      </c>
      <c r="F15">
        <f t="shared" si="1"/>
        <v>58.325555555555553</v>
      </c>
      <c r="G15">
        <v>72</v>
      </c>
      <c r="H15" s="14">
        <f t="shared" si="2"/>
        <v>0.81007716049382716</v>
      </c>
      <c r="I15" s="14">
        <f t="shared" si="3"/>
        <v>0.81007716049382716</v>
      </c>
      <c r="J15" s="14">
        <f t="shared" si="4"/>
        <v>0.80781635802469132</v>
      </c>
      <c r="K15">
        <f t="shared" si="5"/>
        <v>14</v>
      </c>
      <c r="L15" t="str">
        <f t="shared" si="6"/>
        <v>HIGH PERFORMERS</v>
      </c>
    </row>
    <row r="16" spans="1:16" x14ac:dyDescent="0.25">
      <c r="A16" t="s">
        <v>83</v>
      </c>
      <c r="B16">
        <v>29</v>
      </c>
      <c r="C16">
        <v>36</v>
      </c>
      <c r="D16" s="14">
        <f t="shared" si="0"/>
        <v>0.80555555555555558</v>
      </c>
      <c r="E16">
        <v>2.4191087962962965</v>
      </c>
      <c r="F16">
        <f t="shared" si="1"/>
        <v>58.058611111111119</v>
      </c>
      <c r="G16">
        <v>72</v>
      </c>
      <c r="H16" s="14">
        <f t="shared" si="2"/>
        <v>0.80636959876543224</v>
      </c>
      <c r="I16" s="14">
        <f t="shared" si="3"/>
        <v>0.80636959876543224</v>
      </c>
      <c r="J16" s="14">
        <f t="shared" si="4"/>
        <v>0.80596257716049391</v>
      </c>
      <c r="K16">
        <f t="shared" si="5"/>
        <v>15</v>
      </c>
      <c r="L16" t="str">
        <f t="shared" si="6"/>
        <v>HIGH PERFORMERS</v>
      </c>
    </row>
    <row r="17" spans="1:12" x14ac:dyDescent="0.25">
      <c r="A17" t="s">
        <v>9</v>
      </c>
      <c r="B17">
        <v>27</v>
      </c>
      <c r="C17">
        <v>36</v>
      </c>
      <c r="D17" s="14">
        <f t="shared" si="0"/>
        <v>0.75</v>
      </c>
      <c r="E17">
        <v>2.2767708333333325</v>
      </c>
      <c r="F17">
        <f t="shared" si="1"/>
        <v>54.642499999999984</v>
      </c>
      <c r="G17">
        <v>72</v>
      </c>
      <c r="H17" s="14">
        <f t="shared" si="2"/>
        <v>0.75892361111111084</v>
      </c>
      <c r="I17" s="14">
        <f t="shared" si="3"/>
        <v>0.75892361111111084</v>
      </c>
      <c r="J17" s="14">
        <f t="shared" si="4"/>
        <v>0.75446180555555542</v>
      </c>
      <c r="K17">
        <f t="shared" si="5"/>
        <v>16</v>
      </c>
      <c r="L17" t="str">
        <f t="shared" si="6"/>
        <v>HIGH PERFORMERS</v>
      </c>
    </row>
    <row r="18" spans="1:12" x14ac:dyDescent="0.25">
      <c r="A18" t="s">
        <v>25</v>
      </c>
      <c r="B18">
        <v>26</v>
      </c>
      <c r="C18">
        <v>36</v>
      </c>
      <c r="D18" s="14">
        <f t="shared" si="0"/>
        <v>0.72222222222222221</v>
      </c>
      <c r="E18">
        <v>2.198425925925926</v>
      </c>
      <c r="F18">
        <f t="shared" si="1"/>
        <v>52.762222222222221</v>
      </c>
      <c r="G18">
        <v>72</v>
      </c>
      <c r="H18" s="14">
        <f t="shared" si="2"/>
        <v>0.73280864197530859</v>
      </c>
      <c r="I18" s="14">
        <f t="shared" si="3"/>
        <v>0.73280864197530859</v>
      </c>
      <c r="J18" s="14">
        <f t="shared" si="4"/>
        <v>0.72751543209876535</v>
      </c>
      <c r="K18">
        <f t="shared" si="5"/>
        <v>17</v>
      </c>
      <c r="L18" t="str">
        <f t="shared" si="6"/>
        <v>MODERATE PERFORMERS</v>
      </c>
    </row>
    <row r="19" spans="1:12" x14ac:dyDescent="0.25">
      <c r="A19" t="s">
        <v>62</v>
      </c>
      <c r="B19">
        <v>26</v>
      </c>
      <c r="C19">
        <v>36</v>
      </c>
      <c r="D19" s="14">
        <f t="shared" si="0"/>
        <v>0.72222222222222221</v>
      </c>
      <c r="E19">
        <v>2.1651388888888889</v>
      </c>
      <c r="F19">
        <f t="shared" si="1"/>
        <v>51.963333333333338</v>
      </c>
      <c r="G19">
        <v>72</v>
      </c>
      <c r="H19" s="14">
        <f t="shared" si="2"/>
        <v>0.72171296296296306</v>
      </c>
      <c r="I19" s="14">
        <f t="shared" si="3"/>
        <v>0.72171296296296306</v>
      </c>
      <c r="J19" s="14">
        <f t="shared" si="4"/>
        <v>0.72196759259259258</v>
      </c>
      <c r="K19">
        <f t="shared" si="5"/>
        <v>18</v>
      </c>
      <c r="L19" t="str">
        <f t="shared" si="6"/>
        <v>MODERATE PERFORMERS</v>
      </c>
    </row>
    <row r="20" spans="1:12" x14ac:dyDescent="0.25">
      <c r="A20" t="s">
        <v>186</v>
      </c>
      <c r="B20">
        <v>25</v>
      </c>
      <c r="C20">
        <v>36</v>
      </c>
      <c r="D20" s="14">
        <f t="shared" si="0"/>
        <v>0.69444444444444442</v>
      </c>
      <c r="E20">
        <v>2.1888425925925925</v>
      </c>
      <c r="F20">
        <f t="shared" si="1"/>
        <v>52.532222222222217</v>
      </c>
      <c r="G20">
        <v>72</v>
      </c>
      <c r="H20" s="14">
        <f t="shared" si="2"/>
        <v>0.72961419753086409</v>
      </c>
      <c r="I20" s="14">
        <f t="shared" si="3"/>
        <v>0.72961419753086409</v>
      </c>
      <c r="J20" s="14">
        <f t="shared" si="4"/>
        <v>0.71202932098765426</v>
      </c>
      <c r="K20">
        <f t="shared" si="5"/>
        <v>19</v>
      </c>
      <c r="L20" t="str">
        <f t="shared" si="6"/>
        <v>MODERATE PERFORMERS</v>
      </c>
    </row>
    <row r="21" spans="1:12" x14ac:dyDescent="0.25">
      <c r="A21" t="s">
        <v>181</v>
      </c>
      <c r="B21">
        <v>25</v>
      </c>
      <c r="C21">
        <v>36</v>
      </c>
      <c r="D21" s="14">
        <f t="shared" si="0"/>
        <v>0.69444444444444442</v>
      </c>
      <c r="E21">
        <v>2.1640162037037038</v>
      </c>
      <c r="F21">
        <f t="shared" si="1"/>
        <v>51.936388888888892</v>
      </c>
      <c r="G21">
        <v>72</v>
      </c>
      <c r="H21" s="14">
        <f t="shared" si="2"/>
        <v>0.72133873456790132</v>
      </c>
      <c r="I21" s="14">
        <f t="shared" si="3"/>
        <v>0.72133873456790132</v>
      </c>
      <c r="J21" s="14">
        <f t="shared" si="4"/>
        <v>0.70789158950617281</v>
      </c>
      <c r="K21">
        <f t="shared" si="5"/>
        <v>20</v>
      </c>
      <c r="L21" t="str">
        <f t="shared" si="6"/>
        <v>MODERATE PERFORMERS</v>
      </c>
    </row>
    <row r="22" spans="1:12" x14ac:dyDescent="0.25">
      <c r="A22" t="s">
        <v>51</v>
      </c>
      <c r="B22">
        <v>25</v>
      </c>
      <c r="C22">
        <v>36</v>
      </c>
      <c r="D22" s="14">
        <f t="shared" si="0"/>
        <v>0.69444444444444442</v>
      </c>
      <c r="E22">
        <v>2.1013194444444445</v>
      </c>
      <c r="F22">
        <f t="shared" si="1"/>
        <v>50.431666666666672</v>
      </c>
      <c r="G22">
        <v>72</v>
      </c>
      <c r="H22" s="14">
        <f t="shared" si="2"/>
        <v>0.70043981481481488</v>
      </c>
      <c r="I22" s="14">
        <f t="shared" si="3"/>
        <v>0.70043981481481488</v>
      </c>
      <c r="J22" s="14">
        <f t="shared" si="4"/>
        <v>0.69744212962962959</v>
      </c>
      <c r="K22">
        <f t="shared" si="5"/>
        <v>21</v>
      </c>
      <c r="L22" t="str">
        <f t="shared" si="6"/>
        <v>MODERATE PERFORMERS</v>
      </c>
    </row>
    <row r="23" spans="1:12" x14ac:dyDescent="0.25">
      <c r="A23" t="s">
        <v>89</v>
      </c>
      <c r="B23">
        <v>22</v>
      </c>
      <c r="C23">
        <v>36</v>
      </c>
      <c r="D23" s="14">
        <f t="shared" si="0"/>
        <v>0.61111111111111116</v>
      </c>
      <c r="E23">
        <v>1.9474305555555553</v>
      </c>
      <c r="F23">
        <f t="shared" si="1"/>
        <v>46.73833333333333</v>
      </c>
      <c r="G23">
        <v>72</v>
      </c>
      <c r="H23" s="14">
        <f t="shared" si="2"/>
        <v>0.64914351851851848</v>
      </c>
      <c r="I23" s="14">
        <f t="shared" si="3"/>
        <v>0.64914351851851848</v>
      </c>
      <c r="J23" s="14">
        <f t="shared" si="4"/>
        <v>0.63012731481481477</v>
      </c>
      <c r="K23">
        <f t="shared" si="5"/>
        <v>22</v>
      </c>
      <c r="L23" t="str">
        <f t="shared" si="6"/>
        <v>MODERATE PERFORMERS</v>
      </c>
    </row>
    <row r="24" spans="1:12" x14ac:dyDescent="0.25">
      <c r="A24" t="s">
        <v>59</v>
      </c>
      <c r="B24">
        <v>22</v>
      </c>
      <c r="C24">
        <v>36</v>
      </c>
      <c r="D24" s="14">
        <f t="shared" si="0"/>
        <v>0.61111111111111116</v>
      </c>
      <c r="E24">
        <v>1.8999999999999997</v>
      </c>
      <c r="F24">
        <f t="shared" si="1"/>
        <v>45.599999999999994</v>
      </c>
      <c r="G24">
        <v>72</v>
      </c>
      <c r="H24" s="14">
        <f t="shared" si="2"/>
        <v>0.6333333333333333</v>
      </c>
      <c r="I24" s="14">
        <f t="shared" si="3"/>
        <v>0.6333333333333333</v>
      </c>
      <c r="J24" s="14">
        <f t="shared" si="4"/>
        <v>0.62222222222222223</v>
      </c>
      <c r="K24">
        <f t="shared" si="5"/>
        <v>23</v>
      </c>
      <c r="L24" t="str">
        <f t="shared" si="6"/>
        <v>MODERATE PERFORMERS</v>
      </c>
    </row>
    <row r="25" spans="1:12" x14ac:dyDescent="0.25">
      <c r="A25" t="s">
        <v>238</v>
      </c>
      <c r="B25">
        <v>21</v>
      </c>
      <c r="C25">
        <v>36</v>
      </c>
      <c r="D25" s="14">
        <f t="shared" si="0"/>
        <v>0.58333333333333337</v>
      </c>
      <c r="E25">
        <v>1.7564814814814811</v>
      </c>
      <c r="F25">
        <f t="shared" si="1"/>
        <v>42.155555555555544</v>
      </c>
      <c r="G25">
        <v>72</v>
      </c>
      <c r="H25" s="14">
        <f t="shared" si="2"/>
        <v>0.5854938271604937</v>
      </c>
      <c r="I25" s="14">
        <f t="shared" si="3"/>
        <v>0.5854938271604937</v>
      </c>
      <c r="J25" s="14">
        <f t="shared" si="4"/>
        <v>0.58441358024691348</v>
      </c>
      <c r="K25">
        <f t="shared" si="5"/>
        <v>24</v>
      </c>
      <c r="L25" t="str">
        <f t="shared" si="6"/>
        <v>MODERATE PERFORMERS</v>
      </c>
    </row>
    <row r="26" spans="1:12" x14ac:dyDescent="0.25">
      <c r="A26" t="s">
        <v>85</v>
      </c>
      <c r="B26">
        <v>20</v>
      </c>
      <c r="C26">
        <v>36</v>
      </c>
      <c r="D26" s="14">
        <f t="shared" si="0"/>
        <v>0.55555555555555558</v>
      </c>
      <c r="E26">
        <v>1.6359027777777777</v>
      </c>
      <c r="F26">
        <f t="shared" si="1"/>
        <v>39.261666666666663</v>
      </c>
      <c r="G26">
        <v>72</v>
      </c>
      <c r="H26" s="14">
        <f t="shared" si="2"/>
        <v>0.54530092592592583</v>
      </c>
      <c r="I26" s="14">
        <f t="shared" si="3"/>
        <v>0.54530092592592583</v>
      </c>
      <c r="J26" s="14">
        <f t="shared" si="4"/>
        <v>0.5504282407407407</v>
      </c>
      <c r="K26">
        <f t="shared" si="5"/>
        <v>25</v>
      </c>
      <c r="L26" t="str">
        <f t="shared" si="6"/>
        <v>MODERATE PERFORMERS</v>
      </c>
    </row>
    <row r="27" spans="1:12" x14ac:dyDescent="0.25">
      <c r="A27" t="s">
        <v>60</v>
      </c>
      <c r="B27">
        <v>20</v>
      </c>
      <c r="C27">
        <v>36</v>
      </c>
      <c r="D27" s="14">
        <f t="shared" si="0"/>
        <v>0.55555555555555558</v>
      </c>
      <c r="E27">
        <v>1.6124652777777781</v>
      </c>
      <c r="F27">
        <f t="shared" si="1"/>
        <v>38.699166666666677</v>
      </c>
      <c r="G27">
        <v>72</v>
      </c>
      <c r="H27" s="14">
        <f t="shared" si="2"/>
        <v>0.53748842592592605</v>
      </c>
      <c r="I27" s="14">
        <f t="shared" si="3"/>
        <v>0.53748842592592605</v>
      </c>
      <c r="J27" s="14">
        <f t="shared" si="4"/>
        <v>0.54652199074074082</v>
      </c>
      <c r="K27">
        <f t="shared" si="5"/>
        <v>26</v>
      </c>
      <c r="L27" t="str">
        <f t="shared" si="6"/>
        <v>MODERATE PERFORMERS</v>
      </c>
    </row>
    <row r="28" spans="1:12" x14ac:dyDescent="0.25">
      <c r="A28" t="s">
        <v>118</v>
      </c>
      <c r="B28">
        <v>19</v>
      </c>
      <c r="C28">
        <v>36</v>
      </c>
      <c r="D28" s="14">
        <f t="shared" si="0"/>
        <v>0.52777777777777779</v>
      </c>
      <c r="E28">
        <v>1.6681712962962962</v>
      </c>
      <c r="F28">
        <f t="shared" si="1"/>
        <v>40.036111111111111</v>
      </c>
      <c r="G28">
        <v>72</v>
      </c>
      <c r="H28" s="14">
        <f t="shared" si="2"/>
        <v>0.55605709876543208</v>
      </c>
      <c r="I28" s="14">
        <f t="shared" si="3"/>
        <v>0.55605709876543208</v>
      </c>
      <c r="J28" s="14">
        <f t="shared" si="4"/>
        <v>0.54191743827160499</v>
      </c>
      <c r="K28">
        <f t="shared" si="5"/>
        <v>27</v>
      </c>
      <c r="L28" t="str">
        <f t="shared" si="6"/>
        <v>MODERATE PERFORMERS</v>
      </c>
    </row>
    <row r="29" spans="1:12" x14ac:dyDescent="0.25">
      <c r="A29" t="s">
        <v>44</v>
      </c>
      <c r="B29">
        <v>19</v>
      </c>
      <c r="C29">
        <v>36</v>
      </c>
      <c r="D29" s="14">
        <f t="shared" si="0"/>
        <v>0.52777777777777779</v>
      </c>
      <c r="E29">
        <v>1.5634259259259258</v>
      </c>
      <c r="F29">
        <f t="shared" si="1"/>
        <v>37.522222222222219</v>
      </c>
      <c r="G29">
        <v>72</v>
      </c>
      <c r="H29" s="14">
        <f t="shared" si="2"/>
        <v>0.52114197530864192</v>
      </c>
      <c r="I29" s="14">
        <f t="shared" si="3"/>
        <v>0.52114197530864192</v>
      </c>
      <c r="J29" s="14">
        <f t="shared" si="4"/>
        <v>0.5244598765432098</v>
      </c>
      <c r="K29">
        <f t="shared" si="5"/>
        <v>28</v>
      </c>
      <c r="L29" t="str">
        <f t="shared" si="6"/>
        <v>MODERATE PERFORMERS</v>
      </c>
    </row>
    <row r="30" spans="1:12" x14ac:dyDescent="0.25">
      <c r="A30" t="s">
        <v>156</v>
      </c>
      <c r="B30">
        <v>19</v>
      </c>
      <c r="C30">
        <v>36</v>
      </c>
      <c r="D30" s="14">
        <f t="shared" si="0"/>
        <v>0.52777777777777779</v>
      </c>
      <c r="E30">
        <v>1.5553819444444443</v>
      </c>
      <c r="F30">
        <f t="shared" si="1"/>
        <v>37.329166666666666</v>
      </c>
      <c r="G30">
        <v>72</v>
      </c>
      <c r="H30" s="14">
        <f t="shared" si="2"/>
        <v>0.51846064814814818</v>
      </c>
      <c r="I30" s="14">
        <f t="shared" si="3"/>
        <v>0.51846064814814818</v>
      </c>
      <c r="J30" s="14">
        <f t="shared" si="4"/>
        <v>0.52311921296296293</v>
      </c>
      <c r="K30">
        <f t="shared" si="5"/>
        <v>29</v>
      </c>
      <c r="L30" t="str">
        <f t="shared" si="6"/>
        <v>MODERATE PERFORMERS</v>
      </c>
    </row>
    <row r="31" spans="1:12" x14ac:dyDescent="0.25">
      <c r="A31" t="s">
        <v>37</v>
      </c>
      <c r="B31">
        <v>19</v>
      </c>
      <c r="C31">
        <v>36</v>
      </c>
      <c r="D31" s="14">
        <f t="shared" si="0"/>
        <v>0.52777777777777779</v>
      </c>
      <c r="E31">
        <v>1.5403356481481483</v>
      </c>
      <c r="F31">
        <f t="shared" si="1"/>
        <v>36.968055555555559</v>
      </c>
      <c r="G31">
        <v>72</v>
      </c>
      <c r="H31" s="14">
        <f t="shared" si="2"/>
        <v>0.51344521604938276</v>
      </c>
      <c r="I31" s="14">
        <f t="shared" si="3"/>
        <v>0.51344521604938276</v>
      </c>
      <c r="J31" s="14">
        <f t="shared" si="4"/>
        <v>0.52061149691358022</v>
      </c>
      <c r="K31">
        <f t="shared" si="5"/>
        <v>30</v>
      </c>
      <c r="L31" t="str">
        <f t="shared" si="6"/>
        <v>MODERATE PERFORMERS</v>
      </c>
    </row>
    <row r="32" spans="1:12" x14ac:dyDescent="0.25">
      <c r="A32" t="s">
        <v>99</v>
      </c>
      <c r="B32">
        <v>18</v>
      </c>
      <c r="C32">
        <v>36</v>
      </c>
      <c r="D32" s="14">
        <f t="shared" si="0"/>
        <v>0.5</v>
      </c>
      <c r="E32">
        <v>1.5325347222222221</v>
      </c>
      <c r="F32">
        <f t="shared" si="1"/>
        <v>36.780833333333334</v>
      </c>
      <c r="G32">
        <v>72</v>
      </c>
      <c r="H32" s="14">
        <f t="shared" si="2"/>
        <v>0.5108449074074074</v>
      </c>
      <c r="I32" s="14">
        <f t="shared" si="3"/>
        <v>0.5108449074074074</v>
      </c>
      <c r="J32" s="14">
        <f t="shared" si="4"/>
        <v>0.50542245370370376</v>
      </c>
      <c r="K32">
        <f t="shared" si="5"/>
        <v>31</v>
      </c>
      <c r="L32" t="str">
        <f t="shared" si="6"/>
        <v>MODERATE PERFORMERS</v>
      </c>
    </row>
    <row r="33" spans="1:12" x14ac:dyDescent="0.25">
      <c r="A33" t="s">
        <v>43</v>
      </c>
      <c r="B33">
        <v>17</v>
      </c>
      <c r="C33">
        <v>36</v>
      </c>
      <c r="D33" s="14">
        <f t="shared" si="0"/>
        <v>0.47222222222222221</v>
      </c>
      <c r="E33">
        <v>1.3990740740740739</v>
      </c>
      <c r="F33">
        <f t="shared" si="1"/>
        <v>33.577777777777776</v>
      </c>
      <c r="G33">
        <v>72</v>
      </c>
      <c r="H33" s="14">
        <f t="shared" si="2"/>
        <v>0.46635802469135801</v>
      </c>
      <c r="I33" s="14">
        <f t="shared" si="3"/>
        <v>0.46635802469135801</v>
      </c>
      <c r="J33" s="14">
        <f t="shared" si="4"/>
        <v>0.46929012345679011</v>
      </c>
      <c r="K33">
        <f t="shared" si="5"/>
        <v>32</v>
      </c>
      <c r="L33" t="str">
        <f t="shared" si="6"/>
        <v>AT-RISK PERFORMERS</v>
      </c>
    </row>
    <row r="34" spans="1:12" x14ac:dyDescent="0.25">
      <c r="A34" t="s">
        <v>49</v>
      </c>
      <c r="B34">
        <v>17</v>
      </c>
      <c r="C34">
        <v>36</v>
      </c>
      <c r="D34" s="14">
        <f t="shared" ref="D34:D65" si="7">B34/C34</f>
        <v>0.47222222222222221</v>
      </c>
      <c r="E34">
        <v>1.3987037037037033</v>
      </c>
      <c r="F34">
        <f t="shared" ref="F34:F65" si="8">E34*24</f>
        <v>33.568888888888878</v>
      </c>
      <c r="G34">
        <v>72</v>
      </c>
      <c r="H34" s="14">
        <f t="shared" ref="H34:H65" si="9">F34/G34</f>
        <v>0.46623456790123441</v>
      </c>
      <c r="I34" s="14">
        <f t="shared" ref="I34:I65" si="10">MIN(100%,H34)</f>
        <v>0.46623456790123441</v>
      </c>
      <c r="J34" s="14">
        <f t="shared" ref="J34:J65" si="11">(D34*0.5)+(I34*0.5)</f>
        <v>0.46922839506172831</v>
      </c>
      <c r="K34">
        <f t="shared" ref="K34:K65" si="12">RANK(J34,J:J,)</f>
        <v>33</v>
      </c>
      <c r="L34" t="str">
        <f t="shared" si="6"/>
        <v>AT-RISK PERFORMERS</v>
      </c>
    </row>
    <row r="35" spans="1:12" x14ac:dyDescent="0.25">
      <c r="A35" t="s">
        <v>321</v>
      </c>
      <c r="B35">
        <v>16</v>
      </c>
      <c r="C35">
        <v>36</v>
      </c>
      <c r="D35" s="14">
        <f t="shared" si="7"/>
        <v>0.44444444444444442</v>
      </c>
      <c r="E35">
        <v>1.3511689814814811</v>
      </c>
      <c r="F35">
        <f t="shared" si="8"/>
        <v>32.428055555555545</v>
      </c>
      <c r="G35">
        <v>72</v>
      </c>
      <c r="H35" s="14">
        <f t="shared" si="9"/>
        <v>0.450389660493827</v>
      </c>
      <c r="I35" s="14">
        <f t="shared" si="10"/>
        <v>0.450389660493827</v>
      </c>
      <c r="J35" s="14">
        <f t="shared" si="11"/>
        <v>0.44741705246913571</v>
      </c>
      <c r="K35">
        <f t="shared" si="12"/>
        <v>34</v>
      </c>
      <c r="L35" t="str">
        <f t="shared" si="6"/>
        <v>AT-RISK PERFORMERS</v>
      </c>
    </row>
    <row r="36" spans="1:12" x14ac:dyDescent="0.25">
      <c r="A36" t="s">
        <v>61</v>
      </c>
      <c r="B36">
        <v>16</v>
      </c>
      <c r="C36">
        <v>36</v>
      </c>
      <c r="D36" s="14">
        <f t="shared" si="7"/>
        <v>0.44444444444444442</v>
      </c>
      <c r="E36">
        <v>1.2942013888888886</v>
      </c>
      <c r="F36">
        <f t="shared" si="8"/>
        <v>31.060833333333328</v>
      </c>
      <c r="G36">
        <v>72</v>
      </c>
      <c r="H36" s="14">
        <f t="shared" si="9"/>
        <v>0.43140046296296286</v>
      </c>
      <c r="I36" s="14">
        <f t="shared" si="10"/>
        <v>0.43140046296296286</v>
      </c>
      <c r="J36" s="14">
        <f t="shared" si="11"/>
        <v>0.43792245370370364</v>
      </c>
      <c r="K36">
        <f t="shared" si="12"/>
        <v>35</v>
      </c>
      <c r="L36" t="str">
        <f t="shared" si="6"/>
        <v>AT-RISK PERFORMERS</v>
      </c>
    </row>
    <row r="37" spans="1:12" x14ac:dyDescent="0.25">
      <c r="A37" t="s">
        <v>100</v>
      </c>
      <c r="B37">
        <v>15</v>
      </c>
      <c r="C37">
        <v>36</v>
      </c>
      <c r="D37" s="14">
        <f t="shared" si="7"/>
        <v>0.41666666666666669</v>
      </c>
      <c r="E37">
        <v>1.3441550925925922</v>
      </c>
      <c r="F37">
        <f t="shared" si="8"/>
        <v>32.259722222222216</v>
      </c>
      <c r="G37">
        <v>72</v>
      </c>
      <c r="H37" s="14">
        <f t="shared" si="9"/>
        <v>0.4480516975308641</v>
      </c>
      <c r="I37" s="14">
        <f t="shared" si="10"/>
        <v>0.4480516975308641</v>
      </c>
      <c r="J37" s="14">
        <f t="shared" si="11"/>
        <v>0.43235918209876539</v>
      </c>
      <c r="K37">
        <f t="shared" si="12"/>
        <v>36</v>
      </c>
      <c r="L37" t="str">
        <f t="shared" si="6"/>
        <v>AT-RISK PERFORMERS</v>
      </c>
    </row>
    <row r="38" spans="1:12" x14ac:dyDescent="0.25">
      <c r="A38" t="s">
        <v>193</v>
      </c>
      <c r="B38">
        <v>15</v>
      </c>
      <c r="C38">
        <v>36</v>
      </c>
      <c r="D38" s="14">
        <f t="shared" si="7"/>
        <v>0.41666666666666669</v>
      </c>
      <c r="E38">
        <v>1.2954629629629626</v>
      </c>
      <c r="F38">
        <f t="shared" si="8"/>
        <v>31.091111111111104</v>
      </c>
      <c r="G38">
        <v>72</v>
      </c>
      <c r="H38" s="14">
        <f t="shared" si="9"/>
        <v>0.43182098765432086</v>
      </c>
      <c r="I38" s="14">
        <f t="shared" si="10"/>
        <v>0.43182098765432086</v>
      </c>
      <c r="J38" s="14">
        <f t="shared" si="11"/>
        <v>0.4242438271604938</v>
      </c>
      <c r="K38">
        <f t="shared" si="12"/>
        <v>37</v>
      </c>
      <c r="L38" t="str">
        <f t="shared" si="6"/>
        <v>AT-RISK PERFORMERS</v>
      </c>
    </row>
    <row r="39" spans="1:12" x14ac:dyDescent="0.25">
      <c r="A39" t="s">
        <v>348</v>
      </c>
      <c r="B39">
        <v>14</v>
      </c>
      <c r="C39">
        <v>36</v>
      </c>
      <c r="D39" s="14">
        <f t="shared" si="7"/>
        <v>0.3888888888888889</v>
      </c>
      <c r="E39">
        <v>1.2692476851851848</v>
      </c>
      <c r="F39">
        <f t="shared" si="8"/>
        <v>30.461944444444434</v>
      </c>
      <c r="G39">
        <v>72</v>
      </c>
      <c r="H39" s="14">
        <f t="shared" si="9"/>
        <v>0.42308256172839492</v>
      </c>
      <c r="I39" s="14">
        <f t="shared" si="10"/>
        <v>0.42308256172839492</v>
      </c>
      <c r="J39" s="14">
        <f t="shared" si="11"/>
        <v>0.40598572530864191</v>
      </c>
      <c r="K39">
        <f t="shared" si="12"/>
        <v>38</v>
      </c>
      <c r="L39" t="str">
        <f t="shared" si="6"/>
        <v>AT-RISK PERFORMERS</v>
      </c>
    </row>
    <row r="40" spans="1:12" x14ac:dyDescent="0.25">
      <c r="A40" t="s">
        <v>296</v>
      </c>
      <c r="B40">
        <v>14</v>
      </c>
      <c r="C40">
        <v>36</v>
      </c>
      <c r="D40" s="14">
        <f t="shared" si="7"/>
        <v>0.3888888888888889</v>
      </c>
      <c r="E40">
        <v>1.2578124999999998</v>
      </c>
      <c r="F40">
        <f t="shared" si="8"/>
        <v>30.187499999999993</v>
      </c>
      <c r="G40">
        <v>72</v>
      </c>
      <c r="H40" s="14">
        <f t="shared" si="9"/>
        <v>0.41927083333333326</v>
      </c>
      <c r="I40" s="14">
        <f t="shared" si="10"/>
        <v>0.41927083333333326</v>
      </c>
      <c r="J40" s="14">
        <f t="shared" si="11"/>
        <v>0.40407986111111105</v>
      </c>
      <c r="K40">
        <f t="shared" si="12"/>
        <v>39</v>
      </c>
      <c r="L40" t="str">
        <f t="shared" si="6"/>
        <v>AT-RISK PERFORMERS</v>
      </c>
    </row>
    <row r="41" spans="1:12" x14ac:dyDescent="0.25">
      <c r="A41" t="s">
        <v>114</v>
      </c>
      <c r="B41">
        <v>14</v>
      </c>
      <c r="C41">
        <v>36</v>
      </c>
      <c r="D41" s="14">
        <f t="shared" si="7"/>
        <v>0.3888888888888889</v>
      </c>
      <c r="E41">
        <v>1.2168749999999997</v>
      </c>
      <c r="F41">
        <f t="shared" si="8"/>
        <v>29.204999999999991</v>
      </c>
      <c r="G41">
        <v>72</v>
      </c>
      <c r="H41" s="14">
        <f t="shared" si="9"/>
        <v>0.4056249999999999</v>
      </c>
      <c r="I41" s="14">
        <f t="shared" si="10"/>
        <v>0.4056249999999999</v>
      </c>
      <c r="J41" s="14">
        <f t="shared" si="11"/>
        <v>0.39725694444444437</v>
      </c>
      <c r="K41">
        <f t="shared" si="12"/>
        <v>40</v>
      </c>
      <c r="L41" t="str">
        <f t="shared" si="6"/>
        <v>AT-RISK PERFORMERS</v>
      </c>
    </row>
    <row r="42" spans="1:12" x14ac:dyDescent="0.25">
      <c r="A42" t="s">
        <v>397</v>
      </c>
      <c r="B42">
        <v>14</v>
      </c>
      <c r="C42">
        <v>36</v>
      </c>
      <c r="D42" s="14">
        <f t="shared" si="7"/>
        <v>0.3888888888888889</v>
      </c>
      <c r="E42">
        <v>1.1992361111111112</v>
      </c>
      <c r="F42">
        <f t="shared" si="8"/>
        <v>28.781666666666666</v>
      </c>
      <c r="G42">
        <v>72</v>
      </c>
      <c r="H42" s="14">
        <f t="shared" si="9"/>
        <v>0.39974537037037039</v>
      </c>
      <c r="I42" s="14">
        <f t="shared" si="10"/>
        <v>0.39974537037037039</v>
      </c>
      <c r="J42" s="14">
        <f t="shared" si="11"/>
        <v>0.39431712962962961</v>
      </c>
      <c r="K42">
        <f t="shared" si="12"/>
        <v>41</v>
      </c>
      <c r="L42" t="str">
        <f t="shared" si="6"/>
        <v>AT-RISK PERFORMERS</v>
      </c>
    </row>
    <row r="43" spans="1:12" x14ac:dyDescent="0.25">
      <c r="A43" t="s">
        <v>97</v>
      </c>
      <c r="B43">
        <v>14</v>
      </c>
      <c r="C43">
        <v>36</v>
      </c>
      <c r="D43" s="14">
        <f t="shared" si="7"/>
        <v>0.3888888888888889</v>
      </c>
      <c r="E43">
        <v>1.1971180555555556</v>
      </c>
      <c r="F43">
        <f t="shared" si="8"/>
        <v>28.730833333333337</v>
      </c>
      <c r="G43">
        <v>72</v>
      </c>
      <c r="H43" s="14">
        <f t="shared" si="9"/>
        <v>0.39903935185185191</v>
      </c>
      <c r="I43" s="14">
        <f t="shared" si="10"/>
        <v>0.39903935185185191</v>
      </c>
      <c r="J43" s="14">
        <f t="shared" si="11"/>
        <v>0.39396412037037043</v>
      </c>
      <c r="K43">
        <f t="shared" si="12"/>
        <v>42</v>
      </c>
      <c r="L43" t="str">
        <f t="shared" si="6"/>
        <v>AT-RISK PERFORMERS</v>
      </c>
    </row>
    <row r="44" spans="1:12" x14ac:dyDescent="0.25">
      <c r="A44" t="s">
        <v>184</v>
      </c>
      <c r="B44">
        <v>14</v>
      </c>
      <c r="C44">
        <v>36</v>
      </c>
      <c r="D44" s="14">
        <f t="shared" si="7"/>
        <v>0.3888888888888889</v>
      </c>
      <c r="E44">
        <v>1.1954398148148149</v>
      </c>
      <c r="F44">
        <f t="shared" si="8"/>
        <v>28.690555555555555</v>
      </c>
      <c r="G44">
        <v>72</v>
      </c>
      <c r="H44" s="14">
        <f t="shared" si="9"/>
        <v>0.39847993827160494</v>
      </c>
      <c r="I44" s="14">
        <f t="shared" si="10"/>
        <v>0.39847993827160494</v>
      </c>
      <c r="J44" s="14">
        <f t="shared" si="11"/>
        <v>0.39368441358024692</v>
      </c>
      <c r="K44">
        <f t="shared" si="12"/>
        <v>43</v>
      </c>
      <c r="L44" t="str">
        <f t="shared" si="6"/>
        <v>AT-RISK PERFORMERS</v>
      </c>
    </row>
    <row r="45" spans="1:12" x14ac:dyDescent="0.25">
      <c r="A45" t="s">
        <v>470</v>
      </c>
      <c r="B45">
        <v>13</v>
      </c>
      <c r="C45">
        <v>36</v>
      </c>
      <c r="D45" s="14">
        <f t="shared" si="7"/>
        <v>0.3611111111111111</v>
      </c>
      <c r="E45">
        <v>1.1271875</v>
      </c>
      <c r="F45">
        <f t="shared" si="8"/>
        <v>27.052500000000002</v>
      </c>
      <c r="G45">
        <v>72</v>
      </c>
      <c r="H45" s="14">
        <f t="shared" si="9"/>
        <v>0.37572916666666667</v>
      </c>
      <c r="I45" s="14">
        <f t="shared" si="10"/>
        <v>0.37572916666666667</v>
      </c>
      <c r="J45" s="14">
        <f t="shared" si="11"/>
        <v>0.36842013888888892</v>
      </c>
      <c r="K45">
        <f t="shared" si="12"/>
        <v>44</v>
      </c>
      <c r="L45" t="str">
        <f t="shared" si="6"/>
        <v>AT-RISK PERFORMERS</v>
      </c>
    </row>
    <row r="46" spans="1:12" x14ac:dyDescent="0.25">
      <c r="A46" t="s">
        <v>54</v>
      </c>
      <c r="B46">
        <v>13</v>
      </c>
      <c r="C46">
        <v>36</v>
      </c>
      <c r="D46" s="14">
        <f t="shared" si="7"/>
        <v>0.3611111111111111</v>
      </c>
      <c r="E46">
        <v>1.1254629629629631</v>
      </c>
      <c r="F46">
        <f t="shared" si="8"/>
        <v>27.011111111111113</v>
      </c>
      <c r="G46">
        <v>72</v>
      </c>
      <c r="H46" s="14">
        <f t="shared" si="9"/>
        <v>0.37515432098765433</v>
      </c>
      <c r="I46" s="14">
        <f t="shared" si="10"/>
        <v>0.37515432098765433</v>
      </c>
      <c r="J46" s="14">
        <f t="shared" si="11"/>
        <v>0.36813271604938269</v>
      </c>
      <c r="K46">
        <f t="shared" si="12"/>
        <v>45</v>
      </c>
      <c r="L46" t="str">
        <f t="shared" si="6"/>
        <v>AT-RISK PERFORMERS</v>
      </c>
    </row>
    <row r="47" spans="1:12" x14ac:dyDescent="0.25">
      <c r="A47" t="s">
        <v>27</v>
      </c>
      <c r="B47">
        <v>13</v>
      </c>
      <c r="C47">
        <v>36</v>
      </c>
      <c r="D47" s="14">
        <f t="shared" si="7"/>
        <v>0.3611111111111111</v>
      </c>
      <c r="E47">
        <v>1.1150578703703704</v>
      </c>
      <c r="F47">
        <f t="shared" si="8"/>
        <v>26.761388888888888</v>
      </c>
      <c r="G47">
        <v>72</v>
      </c>
      <c r="H47" s="14">
        <f t="shared" si="9"/>
        <v>0.37168595679012345</v>
      </c>
      <c r="I47" s="14">
        <f t="shared" si="10"/>
        <v>0.37168595679012345</v>
      </c>
      <c r="J47" s="14">
        <f t="shared" si="11"/>
        <v>0.36639853395061728</v>
      </c>
      <c r="K47">
        <f t="shared" si="12"/>
        <v>46</v>
      </c>
      <c r="L47" t="str">
        <f t="shared" si="6"/>
        <v>AT-RISK PERFORMERS</v>
      </c>
    </row>
    <row r="48" spans="1:12" x14ac:dyDescent="0.25">
      <c r="A48" t="s">
        <v>29</v>
      </c>
      <c r="B48">
        <v>13</v>
      </c>
      <c r="C48">
        <v>36</v>
      </c>
      <c r="D48" s="14">
        <f t="shared" si="7"/>
        <v>0.3611111111111111</v>
      </c>
      <c r="E48">
        <v>1.0768055555555556</v>
      </c>
      <c r="F48">
        <f t="shared" si="8"/>
        <v>25.843333333333334</v>
      </c>
      <c r="G48">
        <v>72</v>
      </c>
      <c r="H48" s="14">
        <f t="shared" si="9"/>
        <v>0.35893518518518519</v>
      </c>
      <c r="I48" s="14">
        <f t="shared" si="10"/>
        <v>0.35893518518518519</v>
      </c>
      <c r="J48" s="14">
        <f t="shared" si="11"/>
        <v>0.36002314814814818</v>
      </c>
      <c r="K48">
        <f t="shared" si="12"/>
        <v>47</v>
      </c>
      <c r="L48" t="str">
        <f t="shared" si="6"/>
        <v>AT-RISK PERFORMERS</v>
      </c>
    </row>
    <row r="49" spans="1:12" x14ac:dyDescent="0.25">
      <c r="A49" t="s">
        <v>268</v>
      </c>
      <c r="B49">
        <v>13</v>
      </c>
      <c r="C49">
        <v>36</v>
      </c>
      <c r="D49" s="14">
        <f t="shared" si="7"/>
        <v>0.3611111111111111</v>
      </c>
      <c r="E49">
        <v>1.0640393518518518</v>
      </c>
      <c r="F49">
        <f t="shared" si="8"/>
        <v>25.536944444444444</v>
      </c>
      <c r="G49">
        <v>72</v>
      </c>
      <c r="H49" s="14">
        <f t="shared" si="9"/>
        <v>0.35467978395061728</v>
      </c>
      <c r="I49" s="14">
        <f t="shared" si="10"/>
        <v>0.35467978395061728</v>
      </c>
      <c r="J49" s="14">
        <f t="shared" si="11"/>
        <v>0.35789544753086422</v>
      </c>
      <c r="K49">
        <f t="shared" si="12"/>
        <v>48</v>
      </c>
      <c r="L49" t="str">
        <f t="shared" si="6"/>
        <v>AT-RISK PERFORMERS</v>
      </c>
    </row>
    <row r="50" spans="1:12" x14ac:dyDescent="0.25">
      <c r="A50" t="s">
        <v>383</v>
      </c>
      <c r="B50">
        <v>12</v>
      </c>
      <c r="C50">
        <v>36</v>
      </c>
      <c r="D50" s="14">
        <f t="shared" si="7"/>
        <v>0.33333333333333331</v>
      </c>
      <c r="E50">
        <v>1.0903240740740741</v>
      </c>
      <c r="F50">
        <f t="shared" si="8"/>
        <v>26.167777777777779</v>
      </c>
      <c r="G50">
        <v>72</v>
      </c>
      <c r="H50" s="14">
        <f t="shared" si="9"/>
        <v>0.36344135802469135</v>
      </c>
      <c r="I50" s="14">
        <f t="shared" si="10"/>
        <v>0.36344135802469135</v>
      </c>
      <c r="J50" s="14">
        <f t="shared" si="11"/>
        <v>0.34838734567901231</v>
      </c>
      <c r="K50">
        <f t="shared" si="12"/>
        <v>49</v>
      </c>
      <c r="L50" t="str">
        <f t="shared" si="6"/>
        <v>AT-RISK PERFORMERS</v>
      </c>
    </row>
    <row r="51" spans="1:12" x14ac:dyDescent="0.25">
      <c r="A51" t="s">
        <v>208</v>
      </c>
      <c r="B51">
        <v>12</v>
      </c>
      <c r="C51">
        <v>36</v>
      </c>
      <c r="D51" s="14">
        <f t="shared" si="7"/>
        <v>0.33333333333333331</v>
      </c>
      <c r="E51">
        <v>1.0592361111111113</v>
      </c>
      <c r="F51">
        <f t="shared" si="8"/>
        <v>25.42166666666667</v>
      </c>
      <c r="G51">
        <v>72</v>
      </c>
      <c r="H51" s="14">
        <f t="shared" si="9"/>
        <v>0.35307870370370376</v>
      </c>
      <c r="I51" s="14">
        <f t="shared" si="10"/>
        <v>0.35307870370370376</v>
      </c>
      <c r="J51" s="14">
        <f t="shared" si="11"/>
        <v>0.34320601851851851</v>
      </c>
      <c r="K51">
        <f t="shared" si="12"/>
        <v>50</v>
      </c>
      <c r="L51" t="str">
        <f t="shared" si="6"/>
        <v>AT-RISK PERFORMERS</v>
      </c>
    </row>
    <row r="52" spans="1:12" x14ac:dyDescent="0.25">
      <c r="A52" t="s">
        <v>409</v>
      </c>
      <c r="B52">
        <v>12</v>
      </c>
      <c r="C52">
        <v>36</v>
      </c>
      <c r="D52" s="14">
        <f t="shared" si="7"/>
        <v>0.33333333333333331</v>
      </c>
      <c r="E52">
        <v>1.0458796296296295</v>
      </c>
      <c r="F52">
        <f t="shared" si="8"/>
        <v>25.101111111111109</v>
      </c>
      <c r="G52">
        <v>72</v>
      </c>
      <c r="H52" s="14">
        <f t="shared" si="9"/>
        <v>0.34862654320987652</v>
      </c>
      <c r="I52" s="14">
        <f t="shared" si="10"/>
        <v>0.34862654320987652</v>
      </c>
      <c r="J52" s="14">
        <f t="shared" si="11"/>
        <v>0.34097993827160489</v>
      </c>
      <c r="K52">
        <f t="shared" si="12"/>
        <v>51</v>
      </c>
      <c r="L52" t="str">
        <f t="shared" si="6"/>
        <v>AT-RISK PERFORMERS</v>
      </c>
    </row>
    <row r="53" spans="1:12" x14ac:dyDescent="0.25">
      <c r="A53" t="s">
        <v>380</v>
      </c>
      <c r="B53">
        <v>12</v>
      </c>
      <c r="C53">
        <v>36</v>
      </c>
      <c r="D53" s="14">
        <f t="shared" si="7"/>
        <v>0.33333333333333331</v>
      </c>
      <c r="E53">
        <v>1.0416319444444444</v>
      </c>
      <c r="F53">
        <f t="shared" si="8"/>
        <v>24.999166666666667</v>
      </c>
      <c r="G53">
        <v>72</v>
      </c>
      <c r="H53" s="14">
        <f t="shared" si="9"/>
        <v>0.34721064814814817</v>
      </c>
      <c r="I53" s="14">
        <f t="shared" si="10"/>
        <v>0.34721064814814817</v>
      </c>
      <c r="J53" s="14">
        <f t="shared" si="11"/>
        <v>0.34027199074074077</v>
      </c>
      <c r="K53">
        <f t="shared" si="12"/>
        <v>52</v>
      </c>
      <c r="L53" t="str">
        <f t="shared" si="6"/>
        <v>AT-RISK PERFORMERS</v>
      </c>
    </row>
    <row r="54" spans="1:12" x14ac:dyDescent="0.25">
      <c r="A54" t="s">
        <v>262</v>
      </c>
      <c r="B54">
        <v>11</v>
      </c>
      <c r="C54">
        <v>36</v>
      </c>
      <c r="D54" s="14">
        <f t="shared" si="7"/>
        <v>0.30555555555555558</v>
      </c>
      <c r="E54">
        <v>0.92449074074074078</v>
      </c>
      <c r="F54">
        <f t="shared" si="8"/>
        <v>22.187777777777779</v>
      </c>
      <c r="G54">
        <v>72</v>
      </c>
      <c r="H54" s="14">
        <f t="shared" si="9"/>
        <v>0.30816358024691359</v>
      </c>
      <c r="I54" s="14">
        <f t="shared" si="10"/>
        <v>0.30816358024691359</v>
      </c>
      <c r="J54" s="14">
        <f t="shared" si="11"/>
        <v>0.30685956790123459</v>
      </c>
      <c r="K54">
        <f t="shared" si="12"/>
        <v>53</v>
      </c>
      <c r="L54" t="str">
        <f t="shared" si="6"/>
        <v>AT-RISK PERFORMERS</v>
      </c>
    </row>
    <row r="55" spans="1:12" x14ac:dyDescent="0.25">
      <c r="A55" t="s">
        <v>570</v>
      </c>
      <c r="B55">
        <v>10</v>
      </c>
      <c r="C55">
        <v>36</v>
      </c>
      <c r="D55" s="14">
        <f t="shared" si="7"/>
        <v>0.27777777777777779</v>
      </c>
      <c r="E55">
        <v>0.88497685185185193</v>
      </c>
      <c r="F55">
        <f t="shared" si="8"/>
        <v>21.239444444444445</v>
      </c>
      <c r="G55">
        <v>72</v>
      </c>
      <c r="H55" s="14">
        <f t="shared" si="9"/>
        <v>0.29499228395061727</v>
      </c>
      <c r="I55" s="14">
        <f t="shared" si="10"/>
        <v>0.29499228395061727</v>
      </c>
      <c r="J55" s="14">
        <f t="shared" si="11"/>
        <v>0.28638503086419753</v>
      </c>
      <c r="K55">
        <f t="shared" si="12"/>
        <v>54</v>
      </c>
      <c r="L55" t="str">
        <f t="shared" si="6"/>
        <v>AT-RISK PERFORMERS</v>
      </c>
    </row>
    <row r="56" spans="1:12" x14ac:dyDescent="0.25">
      <c r="A56" t="s">
        <v>267</v>
      </c>
      <c r="B56">
        <v>10</v>
      </c>
      <c r="C56">
        <v>36</v>
      </c>
      <c r="D56" s="14">
        <f t="shared" si="7"/>
        <v>0.27777777777777779</v>
      </c>
      <c r="E56">
        <v>0.84255787037037044</v>
      </c>
      <c r="F56">
        <f t="shared" si="8"/>
        <v>20.221388888888889</v>
      </c>
      <c r="G56">
        <v>72</v>
      </c>
      <c r="H56" s="14">
        <f t="shared" si="9"/>
        <v>0.28085262345679013</v>
      </c>
      <c r="I56" s="14">
        <f t="shared" si="10"/>
        <v>0.28085262345679013</v>
      </c>
      <c r="J56" s="14">
        <f t="shared" si="11"/>
        <v>0.27931520061728399</v>
      </c>
      <c r="K56">
        <f t="shared" si="12"/>
        <v>55</v>
      </c>
      <c r="L56" t="str">
        <f t="shared" si="6"/>
        <v>AT-RISK PERFORMERS</v>
      </c>
    </row>
    <row r="57" spans="1:12" x14ac:dyDescent="0.25">
      <c r="A57" t="s">
        <v>222</v>
      </c>
      <c r="B57">
        <v>10</v>
      </c>
      <c r="C57">
        <v>36</v>
      </c>
      <c r="D57" s="14">
        <f t="shared" si="7"/>
        <v>0.27777777777777779</v>
      </c>
      <c r="E57">
        <v>0.82620370370370377</v>
      </c>
      <c r="F57">
        <f t="shared" si="8"/>
        <v>19.828888888888891</v>
      </c>
      <c r="G57">
        <v>72</v>
      </c>
      <c r="H57" s="14">
        <f t="shared" si="9"/>
        <v>0.27540123456790128</v>
      </c>
      <c r="I57" s="14">
        <f t="shared" si="10"/>
        <v>0.27540123456790128</v>
      </c>
      <c r="J57" s="14">
        <f t="shared" si="11"/>
        <v>0.27658950617283951</v>
      </c>
      <c r="K57">
        <f t="shared" si="12"/>
        <v>56</v>
      </c>
      <c r="L57" t="str">
        <f t="shared" si="6"/>
        <v>AT-RISK PERFORMERS</v>
      </c>
    </row>
    <row r="58" spans="1:12" x14ac:dyDescent="0.25">
      <c r="A58" t="s">
        <v>506</v>
      </c>
      <c r="B58">
        <v>9</v>
      </c>
      <c r="C58">
        <v>36</v>
      </c>
      <c r="D58" s="14">
        <f t="shared" si="7"/>
        <v>0.25</v>
      </c>
      <c r="E58">
        <v>0.82265046296296296</v>
      </c>
      <c r="F58">
        <f t="shared" si="8"/>
        <v>19.743611111111111</v>
      </c>
      <c r="G58">
        <v>72</v>
      </c>
      <c r="H58" s="14">
        <f t="shared" si="9"/>
        <v>0.27421682098765432</v>
      </c>
      <c r="I58" s="14">
        <f t="shared" si="10"/>
        <v>0.27421682098765432</v>
      </c>
      <c r="J58" s="14">
        <f t="shared" si="11"/>
        <v>0.26210841049382716</v>
      </c>
      <c r="K58">
        <f t="shared" si="12"/>
        <v>57</v>
      </c>
      <c r="L58" t="str">
        <f t="shared" si="6"/>
        <v>AT-RISK PERFORMERS</v>
      </c>
    </row>
    <row r="59" spans="1:12" x14ac:dyDescent="0.25">
      <c r="A59" t="s">
        <v>138</v>
      </c>
      <c r="B59">
        <v>9</v>
      </c>
      <c r="C59">
        <v>36</v>
      </c>
      <c r="D59" s="14">
        <f t="shared" si="7"/>
        <v>0.25</v>
      </c>
      <c r="E59">
        <v>0.79221064814814812</v>
      </c>
      <c r="F59">
        <f t="shared" si="8"/>
        <v>19.013055555555553</v>
      </c>
      <c r="G59">
        <v>72</v>
      </c>
      <c r="H59" s="14">
        <f t="shared" si="9"/>
        <v>0.26407021604938269</v>
      </c>
      <c r="I59" s="14">
        <f t="shared" si="10"/>
        <v>0.26407021604938269</v>
      </c>
      <c r="J59" s="14">
        <f t="shared" si="11"/>
        <v>0.25703510802469132</v>
      </c>
      <c r="K59">
        <f t="shared" si="12"/>
        <v>58</v>
      </c>
      <c r="L59" t="str">
        <f t="shared" si="6"/>
        <v>AT-RISK PERFORMERS</v>
      </c>
    </row>
    <row r="60" spans="1:12" x14ac:dyDescent="0.25">
      <c r="A60" t="s">
        <v>213</v>
      </c>
      <c r="B60">
        <v>9</v>
      </c>
      <c r="C60">
        <v>36</v>
      </c>
      <c r="D60" s="14">
        <f t="shared" si="7"/>
        <v>0.25</v>
      </c>
      <c r="E60">
        <v>0.78620370370370363</v>
      </c>
      <c r="F60">
        <f t="shared" si="8"/>
        <v>18.868888888888886</v>
      </c>
      <c r="G60">
        <v>72</v>
      </c>
      <c r="H60" s="14">
        <f t="shared" si="9"/>
        <v>0.26206790123456786</v>
      </c>
      <c r="I60" s="14">
        <f t="shared" si="10"/>
        <v>0.26206790123456786</v>
      </c>
      <c r="J60" s="14">
        <f t="shared" si="11"/>
        <v>0.25603395061728396</v>
      </c>
      <c r="K60">
        <f t="shared" si="12"/>
        <v>59</v>
      </c>
      <c r="L60" t="str">
        <f t="shared" si="6"/>
        <v>AT-RISK PERFORMERS</v>
      </c>
    </row>
    <row r="61" spans="1:12" x14ac:dyDescent="0.25">
      <c r="A61" t="s">
        <v>511</v>
      </c>
      <c r="B61">
        <v>9</v>
      </c>
      <c r="C61">
        <v>36</v>
      </c>
      <c r="D61" s="14">
        <f t="shared" si="7"/>
        <v>0.25</v>
      </c>
      <c r="E61">
        <v>0.78350694444444446</v>
      </c>
      <c r="F61">
        <f t="shared" si="8"/>
        <v>18.804166666666667</v>
      </c>
      <c r="G61">
        <v>72</v>
      </c>
      <c r="H61" s="14">
        <f t="shared" si="9"/>
        <v>0.26116898148148149</v>
      </c>
      <c r="I61" s="14">
        <f t="shared" si="10"/>
        <v>0.26116898148148149</v>
      </c>
      <c r="J61" s="14">
        <f t="shared" si="11"/>
        <v>0.25558449074074074</v>
      </c>
      <c r="K61">
        <f t="shared" si="12"/>
        <v>60</v>
      </c>
      <c r="L61" t="str">
        <f t="shared" si="6"/>
        <v>AT-RISK PERFORMERS</v>
      </c>
    </row>
    <row r="62" spans="1:12" x14ac:dyDescent="0.25">
      <c r="A62" t="s">
        <v>134</v>
      </c>
      <c r="B62">
        <v>9</v>
      </c>
      <c r="C62">
        <v>36</v>
      </c>
      <c r="D62" s="14">
        <f t="shared" si="7"/>
        <v>0.25</v>
      </c>
      <c r="E62">
        <v>0.69800925925925927</v>
      </c>
      <c r="F62">
        <f t="shared" si="8"/>
        <v>16.752222222222223</v>
      </c>
      <c r="G62">
        <v>72</v>
      </c>
      <c r="H62" s="14">
        <f t="shared" si="9"/>
        <v>0.23266975308641977</v>
      </c>
      <c r="I62" s="14">
        <f t="shared" si="10"/>
        <v>0.23266975308641977</v>
      </c>
      <c r="J62" s="14">
        <f t="shared" si="11"/>
        <v>0.2413348765432099</v>
      </c>
      <c r="K62">
        <f t="shared" si="12"/>
        <v>61</v>
      </c>
      <c r="L62" t="str">
        <f t="shared" si="6"/>
        <v>AT-RISK PERFORMERS</v>
      </c>
    </row>
    <row r="63" spans="1:12" x14ac:dyDescent="0.25">
      <c r="A63" t="s">
        <v>55</v>
      </c>
      <c r="B63">
        <v>8</v>
      </c>
      <c r="C63">
        <v>36</v>
      </c>
      <c r="D63" s="14">
        <f t="shared" si="7"/>
        <v>0.22222222222222221</v>
      </c>
      <c r="E63">
        <v>0.72842592592592592</v>
      </c>
      <c r="F63">
        <f t="shared" si="8"/>
        <v>17.482222222222223</v>
      </c>
      <c r="G63">
        <v>72</v>
      </c>
      <c r="H63" s="14">
        <f t="shared" si="9"/>
        <v>0.24280864197530866</v>
      </c>
      <c r="I63" s="14">
        <f t="shared" si="10"/>
        <v>0.24280864197530866</v>
      </c>
      <c r="J63" s="14">
        <f t="shared" si="11"/>
        <v>0.23251543209876543</v>
      </c>
      <c r="K63">
        <f t="shared" si="12"/>
        <v>62</v>
      </c>
      <c r="L63" t="str">
        <f t="shared" si="6"/>
        <v>AT-RISK PERFORMERS</v>
      </c>
    </row>
    <row r="64" spans="1:12" x14ac:dyDescent="0.25">
      <c r="A64" t="s">
        <v>538</v>
      </c>
      <c r="B64">
        <v>8</v>
      </c>
      <c r="C64">
        <v>36</v>
      </c>
      <c r="D64" s="14">
        <f t="shared" si="7"/>
        <v>0.22222222222222221</v>
      </c>
      <c r="E64">
        <v>0.69039351851851849</v>
      </c>
      <c r="F64">
        <f t="shared" si="8"/>
        <v>16.569444444444443</v>
      </c>
      <c r="G64">
        <v>72</v>
      </c>
      <c r="H64" s="14">
        <f t="shared" si="9"/>
        <v>0.23013117283950615</v>
      </c>
      <c r="I64" s="14">
        <f t="shared" si="10"/>
        <v>0.23013117283950615</v>
      </c>
      <c r="J64" s="14">
        <f t="shared" si="11"/>
        <v>0.22617669753086417</v>
      </c>
      <c r="K64">
        <f t="shared" si="12"/>
        <v>63</v>
      </c>
      <c r="L64" t="str">
        <f t="shared" si="6"/>
        <v>AT-RISK PERFORMERS</v>
      </c>
    </row>
    <row r="65" spans="1:12" x14ac:dyDescent="0.25">
      <c r="A65" t="s">
        <v>549</v>
      </c>
      <c r="B65">
        <v>8</v>
      </c>
      <c r="C65">
        <v>36</v>
      </c>
      <c r="D65" s="14">
        <f t="shared" si="7"/>
        <v>0.22222222222222221</v>
      </c>
      <c r="E65">
        <v>0.65927083333333336</v>
      </c>
      <c r="F65">
        <f t="shared" si="8"/>
        <v>15.822500000000002</v>
      </c>
      <c r="G65">
        <v>72</v>
      </c>
      <c r="H65" s="14">
        <f t="shared" si="9"/>
        <v>0.21975694444444446</v>
      </c>
      <c r="I65" s="14">
        <f t="shared" si="10"/>
        <v>0.21975694444444446</v>
      </c>
      <c r="J65" s="14">
        <f t="shared" si="11"/>
        <v>0.22098958333333335</v>
      </c>
      <c r="K65">
        <f t="shared" si="12"/>
        <v>64</v>
      </c>
      <c r="L65" t="str">
        <f t="shared" si="6"/>
        <v>AT-RISK PERFORMERS</v>
      </c>
    </row>
    <row r="66" spans="1:12" x14ac:dyDescent="0.25">
      <c r="A66" t="s">
        <v>410</v>
      </c>
      <c r="B66">
        <v>7</v>
      </c>
      <c r="C66">
        <v>36</v>
      </c>
      <c r="D66" s="14">
        <f t="shared" ref="D66:D97" si="13">B66/C66</f>
        <v>0.19444444444444445</v>
      </c>
      <c r="E66">
        <v>0.64781250000000001</v>
      </c>
      <c r="F66">
        <f t="shared" ref="F66:F97" si="14">E66*24</f>
        <v>15.547499999999999</v>
      </c>
      <c r="G66">
        <v>72</v>
      </c>
      <c r="H66" s="14">
        <f t="shared" ref="H66:H97" si="15">F66/G66</f>
        <v>0.2159375</v>
      </c>
      <c r="I66" s="14">
        <f t="shared" ref="I66:I97" si="16">MIN(100%,H66)</f>
        <v>0.2159375</v>
      </c>
      <c r="J66" s="14">
        <f t="shared" ref="J66:J97" si="17">(D66*0.5)+(I66*0.5)</f>
        <v>0.20519097222222221</v>
      </c>
      <c r="K66">
        <f t="shared" ref="K66:K97" si="18">RANK(J66,J:J,)</f>
        <v>65</v>
      </c>
      <c r="L66" t="str">
        <f t="shared" si="6"/>
        <v>AT-RISK PERFORMERS</v>
      </c>
    </row>
    <row r="67" spans="1:12" x14ac:dyDescent="0.25">
      <c r="A67" t="s">
        <v>335</v>
      </c>
      <c r="B67">
        <v>7</v>
      </c>
      <c r="C67">
        <v>36</v>
      </c>
      <c r="D67" s="14">
        <f t="shared" si="13"/>
        <v>0.19444444444444445</v>
      </c>
      <c r="E67">
        <v>0.59949074074074071</v>
      </c>
      <c r="F67">
        <f t="shared" si="14"/>
        <v>14.387777777777778</v>
      </c>
      <c r="G67">
        <v>72</v>
      </c>
      <c r="H67" s="14">
        <f t="shared" si="15"/>
        <v>0.19983024691358026</v>
      </c>
      <c r="I67" s="14">
        <f t="shared" si="16"/>
        <v>0.19983024691358026</v>
      </c>
      <c r="J67" s="14">
        <f t="shared" si="17"/>
        <v>0.19713734567901237</v>
      </c>
      <c r="K67">
        <f t="shared" si="18"/>
        <v>66</v>
      </c>
      <c r="L67" t="str">
        <f t="shared" ref="L67:L106" si="19">IF(J67&gt;=75%,"HIGH PERFORMERS",IF(J67&gt;=50%,"MODERATE PERFORMERS","AT-RISK PERFORMERS"))</f>
        <v>AT-RISK PERFORMERS</v>
      </c>
    </row>
    <row r="68" spans="1:12" x14ac:dyDescent="0.25">
      <c r="A68" t="s">
        <v>101</v>
      </c>
      <c r="B68">
        <v>7</v>
      </c>
      <c r="C68">
        <v>36</v>
      </c>
      <c r="D68" s="14">
        <f t="shared" si="13"/>
        <v>0.19444444444444445</v>
      </c>
      <c r="E68">
        <v>0.59924768518518523</v>
      </c>
      <c r="F68">
        <f t="shared" si="14"/>
        <v>14.381944444444446</v>
      </c>
      <c r="G68">
        <v>72</v>
      </c>
      <c r="H68" s="14">
        <f t="shared" si="15"/>
        <v>0.19974922839506176</v>
      </c>
      <c r="I68" s="14">
        <f t="shared" si="16"/>
        <v>0.19974922839506176</v>
      </c>
      <c r="J68" s="14">
        <f t="shared" si="17"/>
        <v>0.19709683641975312</v>
      </c>
      <c r="K68">
        <f t="shared" si="18"/>
        <v>67</v>
      </c>
      <c r="L68" t="str">
        <f t="shared" si="19"/>
        <v>AT-RISK PERFORMERS</v>
      </c>
    </row>
    <row r="69" spans="1:12" x14ac:dyDescent="0.25">
      <c r="A69" t="s">
        <v>13</v>
      </c>
      <c r="B69">
        <v>7</v>
      </c>
      <c r="C69">
        <v>36</v>
      </c>
      <c r="D69" s="14">
        <f t="shared" si="13"/>
        <v>0.19444444444444445</v>
      </c>
      <c r="E69">
        <v>0.5827430555555555</v>
      </c>
      <c r="F69">
        <f t="shared" si="14"/>
        <v>13.985833333333332</v>
      </c>
      <c r="G69">
        <v>72</v>
      </c>
      <c r="H69" s="14">
        <f t="shared" si="15"/>
        <v>0.19424768518518518</v>
      </c>
      <c r="I69" s="14">
        <f t="shared" si="16"/>
        <v>0.19424768518518518</v>
      </c>
      <c r="J69" s="14">
        <f t="shared" si="17"/>
        <v>0.19434606481481481</v>
      </c>
      <c r="K69">
        <f t="shared" si="18"/>
        <v>68</v>
      </c>
      <c r="L69" t="str">
        <f t="shared" si="19"/>
        <v>AT-RISK PERFORMERS</v>
      </c>
    </row>
    <row r="70" spans="1:12" x14ac:dyDescent="0.25">
      <c r="A70" t="s">
        <v>530</v>
      </c>
      <c r="B70">
        <v>7</v>
      </c>
      <c r="C70">
        <v>36</v>
      </c>
      <c r="D70" s="14">
        <f t="shared" si="13"/>
        <v>0.19444444444444445</v>
      </c>
      <c r="E70">
        <v>0.58204861111111117</v>
      </c>
      <c r="F70">
        <f t="shared" si="14"/>
        <v>13.969166666666668</v>
      </c>
      <c r="G70">
        <v>72</v>
      </c>
      <c r="H70" s="14">
        <f t="shared" si="15"/>
        <v>0.19401620370370373</v>
      </c>
      <c r="I70" s="14">
        <f t="shared" si="16"/>
        <v>0.19401620370370373</v>
      </c>
      <c r="J70" s="14">
        <f t="shared" si="17"/>
        <v>0.19423032407407409</v>
      </c>
      <c r="K70">
        <f t="shared" si="18"/>
        <v>69</v>
      </c>
      <c r="L70" t="str">
        <f t="shared" si="19"/>
        <v>AT-RISK PERFORMERS</v>
      </c>
    </row>
    <row r="71" spans="1:12" x14ac:dyDescent="0.25">
      <c r="A71" t="s">
        <v>384</v>
      </c>
      <c r="B71">
        <v>7</v>
      </c>
      <c r="C71">
        <v>36</v>
      </c>
      <c r="D71" s="14">
        <f t="shared" si="13"/>
        <v>0.19444444444444445</v>
      </c>
      <c r="E71">
        <v>0.58012731481481483</v>
      </c>
      <c r="F71">
        <f t="shared" si="14"/>
        <v>13.923055555555557</v>
      </c>
      <c r="G71">
        <v>72</v>
      </c>
      <c r="H71" s="14">
        <f t="shared" si="15"/>
        <v>0.1933757716049383</v>
      </c>
      <c r="I71" s="14">
        <f t="shared" si="16"/>
        <v>0.1933757716049383</v>
      </c>
      <c r="J71" s="14">
        <f t="shared" si="17"/>
        <v>0.19391010802469139</v>
      </c>
      <c r="K71">
        <f t="shared" si="18"/>
        <v>70</v>
      </c>
      <c r="L71" t="str">
        <f t="shared" si="19"/>
        <v>AT-RISK PERFORMERS</v>
      </c>
    </row>
    <row r="72" spans="1:12" x14ac:dyDescent="0.25">
      <c r="A72" t="s">
        <v>261</v>
      </c>
      <c r="B72">
        <v>7</v>
      </c>
      <c r="C72">
        <v>36</v>
      </c>
      <c r="D72" s="14">
        <f t="shared" si="13"/>
        <v>0.19444444444444445</v>
      </c>
      <c r="E72">
        <v>0.53628472222222223</v>
      </c>
      <c r="F72">
        <f t="shared" si="14"/>
        <v>12.870833333333334</v>
      </c>
      <c r="G72">
        <v>72</v>
      </c>
      <c r="H72" s="14">
        <f t="shared" si="15"/>
        <v>0.17876157407407409</v>
      </c>
      <c r="I72" s="14">
        <f t="shared" si="16"/>
        <v>0.17876157407407409</v>
      </c>
      <c r="J72" s="14">
        <f t="shared" si="17"/>
        <v>0.18660300925925927</v>
      </c>
      <c r="K72">
        <f t="shared" si="18"/>
        <v>71</v>
      </c>
      <c r="L72" t="str">
        <f t="shared" si="19"/>
        <v>AT-RISK PERFORMERS</v>
      </c>
    </row>
    <row r="73" spans="1:12" x14ac:dyDescent="0.25">
      <c r="A73" t="s">
        <v>546</v>
      </c>
      <c r="B73">
        <v>6</v>
      </c>
      <c r="C73">
        <v>36</v>
      </c>
      <c r="D73" s="14">
        <f t="shared" si="13"/>
        <v>0.16666666666666666</v>
      </c>
      <c r="E73">
        <v>0.50312500000000004</v>
      </c>
      <c r="F73">
        <f t="shared" si="14"/>
        <v>12.075000000000001</v>
      </c>
      <c r="G73">
        <v>72</v>
      </c>
      <c r="H73" s="14">
        <f t="shared" si="15"/>
        <v>0.16770833333333335</v>
      </c>
      <c r="I73" s="14">
        <f t="shared" si="16"/>
        <v>0.16770833333333335</v>
      </c>
      <c r="J73" s="14">
        <f t="shared" si="17"/>
        <v>0.16718749999999999</v>
      </c>
      <c r="K73">
        <f t="shared" si="18"/>
        <v>72</v>
      </c>
      <c r="L73" t="str">
        <f t="shared" si="19"/>
        <v>AT-RISK PERFORMERS</v>
      </c>
    </row>
    <row r="74" spans="1:12" x14ac:dyDescent="0.25">
      <c r="A74" t="s">
        <v>200</v>
      </c>
      <c r="B74">
        <v>6</v>
      </c>
      <c r="C74">
        <v>36</v>
      </c>
      <c r="D74" s="14">
        <f t="shared" si="13"/>
        <v>0.16666666666666666</v>
      </c>
      <c r="E74">
        <v>0.46819444444444447</v>
      </c>
      <c r="F74">
        <f t="shared" si="14"/>
        <v>11.236666666666668</v>
      </c>
      <c r="G74">
        <v>72</v>
      </c>
      <c r="H74" s="14">
        <f t="shared" si="15"/>
        <v>0.15606481481481482</v>
      </c>
      <c r="I74" s="14">
        <f t="shared" si="16"/>
        <v>0.15606481481481482</v>
      </c>
      <c r="J74" s="14">
        <f t="shared" si="17"/>
        <v>0.16136574074074073</v>
      </c>
      <c r="K74">
        <f t="shared" si="18"/>
        <v>73</v>
      </c>
      <c r="L74" t="str">
        <f t="shared" si="19"/>
        <v>AT-RISK PERFORMERS</v>
      </c>
    </row>
    <row r="75" spans="1:12" x14ac:dyDescent="0.25">
      <c r="A75" t="s">
        <v>236</v>
      </c>
      <c r="B75">
        <v>5</v>
      </c>
      <c r="C75">
        <v>36</v>
      </c>
      <c r="D75" s="14">
        <f t="shared" si="13"/>
        <v>0.1388888888888889</v>
      </c>
      <c r="E75">
        <v>0.49251157407407409</v>
      </c>
      <c r="F75">
        <f t="shared" si="14"/>
        <v>11.820277777777779</v>
      </c>
      <c r="G75">
        <v>72</v>
      </c>
      <c r="H75" s="14">
        <f t="shared" si="15"/>
        <v>0.16417052469135804</v>
      </c>
      <c r="I75" s="14">
        <f t="shared" si="16"/>
        <v>0.16417052469135804</v>
      </c>
      <c r="J75" s="14">
        <f t="shared" si="17"/>
        <v>0.15152970679012345</v>
      </c>
      <c r="K75">
        <f t="shared" si="18"/>
        <v>74</v>
      </c>
      <c r="L75" t="str">
        <f t="shared" si="19"/>
        <v>AT-RISK PERFORMERS</v>
      </c>
    </row>
    <row r="76" spans="1:12" x14ac:dyDescent="0.25">
      <c r="A76" t="s">
        <v>585</v>
      </c>
      <c r="B76">
        <v>5</v>
      </c>
      <c r="C76">
        <v>36</v>
      </c>
      <c r="D76" s="14">
        <f t="shared" si="13"/>
        <v>0.1388888888888889</v>
      </c>
      <c r="E76">
        <v>0.46737268518518521</v>
      </c>
      <c r="F76">
        <f t="shared" si="14"/>
        <v>11.216944444444445</v>
      </c>
      <c r="G76">
        <v>72</v>
      </c>
      <c r="H76" s="14">
        <f t="shared" si="15"/>
        <v>0.15579089506172841</v>
      </c>
      <c r="I76" s="14">
        <f t="shared" si="16"/>
        <v>0.15579089506172841</v>
      </c>
      <c r="J76" s="14">
        <f t="shared" si="17"/>
        <v>0.14733989197530867</v>
      </c>
      <c r="K76">
        <f t="shared" si="18"/>
        <v>75</v>
      </c>
      <c r="L76" t="str">
        <f t="shared" si="19"/>
        <v>AT-RISK PERFORMERS</v>
      </c>
    </row>
    <row r="77" spans="1:12" x14ac:dyDescent="0.25">
      <c r="A77" t="s">
        <v>516</v>
      </c>
      <c r="B77">
        <v>5</v>
      </c>
      <c r="C77">
        <v>36</v>
      </c>
      <c r="D77" s="14">
        <f t="shared" si="13"/>
        <v>0.1388888888888889</v>
      </c>
      <c r="E77">
        <v>0.44266203703703705</v>
      </c>
      <c r="F77">
        <f t="shared" si="14"/>
        <v>10.623888888888889</v>
      </c>
      <c r="G77">
        <v>72</v>
      </c>
      <c r="H77" s="14">
        <f t="shared" si="15"/>
        <v>0.147554012345679</v>
      </c>
      <c r="I77" s="14">
        <f t="shared" si="16"/>
        <v>0.147554012345679</v>
      </c>
      <c r="J77" s="14">
        <f t="shared" si="17"/>
        <v>0.14322145061728395</v>
      </c>
      <c r="K77">
        <f t="shared" si="18"/>
        <v>76</v>
      </c>
      <c r="L77" t="str">
        <f t="shared" si="19"/>
        <v>AT-RISK PERFORMERS</v>
      </c>
    </row>
    <row r="78" spans="1:12" x14ac:dyDescent="0.25">
      <c r="A78" t="s">
        <v>534</v>
      </c>
      <c r="B78">
        <v>5</v>
      </c>
      <c r="C78">
        <v>36</v>
      </c>
      <c r="D78" s="14">
        <f t="shared" si="13"/>
        <v>0.1388888888888889</v>
      </c>
      <c r="E78">
        <v>0.42208333333333331</v>
      </c>
      <c r="F78">
        <f t="shared" si="14"/>
        <v>10.129999999999999</v>
      </c>
      <c r="G78">
        <v>72</v>
      </c>
      <c r="H78" s="14">
        <f t="shared" si="15"/>
        <v>0.14069444444444443</v>
      </c>
      <c r="I78" s="14">
        <f t="shared" si="16"/>
        <v>0.14069444444444443</v>
      </c>
      <c r="J78" s="14">
        <f t="shared" si="17"/>
        <v>0.13979166666666665</v>
      </c>
      <c r="K78">
        <f t="shared" si="18"/>
        <v>77</v>
      </c>
      <c r="L78" t="str">
        <f t="shared" si="19"/>
        <v>AT-RISK PERFORMERS</v>
      </c>
    </row>
    <row r="79" spans="1:12" x14ac:dyDescent="0.25">
      <c r="A79" t="s">
        <v>78</v>
      </c>
      <c r="B79">
        <v>5</v>
      </c>
      <c r="C79">
        <v>36</v>
      </c>
      <c r="D79" s="14">
        <f t="shared" si="13"/>
        <v>0.1388888888888889</v>
      </c>
      <c r="E79">
        <v>0.41204861111111113</v>
      </c>
      <c r="F79">
        <f t="shared" si="14"/>
        <v>9.889166666666668</v>
      </c>
      <c r="G79">
        <v>72</v>
      </c>
      <c r="H79" s="14">
        <f t="shared" si="15"/>
        <v>0.13734953703703706</v>
      </c>
      <c r="I79" s="14">
        <f t="shared" si="16"/>
        <v>0.13734953703703706</v>
      </c>
      <c r="J79" s="14">
        <f t="shared" si="17"/>
        <v>0.13811921296296298</v>
      </c>
      <c r="K79">
        <f t="shared" si="18"/>
        <v>78</v>
      </c>
      <c r="L79" t="str">
        <f t="shared" si="19"/>
        <v>AT-RISK PERFORMERS</v>
      </c>
    </row>
    <row r="80" spans="1:12" x14ac:dyDescent="0.25">
      <c r="A80" t="s">
        <v>540</v>
      </c>
      <c r="B80">
        <v>5</v>
      </c>
      <c r="C80">
        <v>36</v>
      </c>
      <c r="D80" s="14">
        <f t="shared" si="13"/>
        <v>0.1388888888888889</v>
      </c>
      <c r="E80">
        <v>0.40134259259259258</v>
      </c>
      <c r="F80">
        <f t="shared" si="14"/>
        <v>9.6322222222222216</v>
      </c>
      <c r="G80">
        <v>72</v>
      </c>
      <c r="H80" s="14">
        <f t="shared" si="15"/>
        <v>0.13378086419753085</v>
      </c>
      <c r="I80" s="14">
        <f t="shared" si="16"/>
        <v>0.13378086419753085</v>
      </c>
      <c r="J80" s="14">
        <f t="shared" si="17"/>
        <v>0.13633487654320986</v>
      </c>
      <c r="K80">
        <f t="shared" si="18"/>
        <v>79</v>
      </c>
      <c r="L80" t="str">
        <f t="shared" si="19"/>
        <v>AT-RISK PERFORMERS</v>
      </c>
    </row>
    <row r="81" spans="1:12" x14ac:dyDescent="0.25">
      <c r="A81" t="s">
        <v>636</v>
      </c>
      <c r="B81">
        <v>4</v>
      </c>
      <c r="C81">
        <v>36</v>
      </c>
      <c r="D81" s="14">
        <f t="shared" si="13"/>
        <v>0.1111111111111111</v>
      </c>
      <c r="E81">
        <v>0.40590277777777778</v>
      </c>
      <c r="F81">
        <f t="shared" si="14"/>
        <v>9.7416666666666671</v>
      </c>
      <c r="G81">
        <v>72</v>
      </c>
      <c r="H81" s="14">
        <f t="shared" si="15"/>
        <v>0.13530092592592594</v>
      </c>
      <c r="I81" s="14">
        <f t="shared" si="16"/>
        <v>0.13530092592592594</v>
      </c>
      <c r="J81" s="14">
        <f t="shared" si="17"/>
        <v>0.12320601851851852</v>
      </c>
      <c r="K81">
        <f t="shared" si="18"/>
        <v>80</v>
      </c>
      <c r="L81" t="str">
        <f t="shared" si="19"/>
        <v>AT-RISK PERFORMERS</v>
      </c>
    </row>
    <row r="82" spans="1:12" x14ac:dyDescent="0.25">
      <c r="A82" t="s">
        <v>39</v>
      </c>
      <c r="B82">
        <v>4</v>
      </c>
      <c r="C82">
        <v>36</v>
      </c>
      <c r="D82" s="14">
        <f t="shared" si="13"/>
        <v>0.1111111111111111</v>
      </c>
      <c r="E82">
        <v>0.34006944444444448</v>
      </c>
      <c r="F82">
        <f t="shared" si="14"/>
        <v>8.1616666666666671</v>
      </c>
      <c r="G82">
        <v>72</v>
      </c>
      <c r="H82" s="14">
        <f t="shared" si="15"/>
        <v>0.11335648148148149</v>
      </c>
      <c r="I82" s="14">
        <f t="shared" si="16"/>
        <v>0.11335648148148149</v>
      </c>
      <c r="J82" s="14">
        <f t="shared" si="17"/>
        <v>0.11223379629629629</v>
      </c>
      <c r="K82">
        <f t="shared" si="18"/>
        <v>81</v>
      </c>
      <c r="L82" t="str">
        <f t="shared" si="19"/>
        <v>AT-RISK PERFORMERS</v>
      </c>
    </row>
    <row r="83" spans="1:12" x14ac:dyDescent="0.25">
      <c r="A83" t="s">
        <v>112</v>
      </c>
      <c r="B83">
        <v>4</v>
      </c>
      <c r="C83">
        <v>36</v>
      </c>
      <c r="D83" s="14">
        <f t="shared" si="13"/>
        <v>0.1111111111111111</v>
      </c>
      <c r="E83">
        <v>0.27579861111111115</v>
      </c>
      <c r="F83">
        <f t="shared" si="14"/>
        <v>6.6191666666666675</v>
      </c>
      <c r="G83">
        <v>72</v>
      </c>
      <c r="H83" s="14">
        <f t="shared" si="15"/>
        <v>9.1932870370370387E-2</v>
      </c>
      <c r="I83" s="14">
        <f t="shared" si="16"/>
        <v>9.1932870370370387E-2</v>
      </c>
      <c r="J83" s="14">
        <f t="shared" si="17"/>
        <v>0.10152199074074075</v>
      </c>
      <c r="K83">
        <f t="shared" si="18"/>
        <v>82</v>
      </c>
      <c r="L83" t="str">
        <f t="shared" si="19"/>
        <v>AT-RISK PERFORMERS</v>
      </c>
    </row>
    <row r="84" spans="1:12" x14ac:dyDescent="0.25">
      <c r="A84" t="s">
        <v>486</v>
      </c>
      <c r="B84">
        <v>2</v>
      </c>
      <c r="C84">
        <v>36</v>
      </c>
      <c r="D84" s="14">
        <f t="shared" si="13"/>
        <v>5.5555555555555552E-2</v>
      </c>
      <c r="E84">
        <v>0.20599537037037036</v>
      </c>
      <c r="F84">
        <f t="shared" si="14"/>
        <v>4.943888888888889</v>
      </c>
      <c r="G84">
        <v>72</v>
      </c>
      <c r="H84" s="14">
        <f t="shared" si="15"/>
        <v>6.8665123456790128E-2</v>
      </c>
      <c r="I84" s="14">
        <f t="shared" si="16"/>
        <v>6.8665123456790128E-2</v>
      </c>
      <c r="J84" s="14">
        <f t="shared" si="17"/>
        <v>6.211033950617284E-2</v>
      </c>
      <c r="K84">
        <f t="shared" si="18"/>
        <v>83</v>
      </c>
      <c r="L84" t="str">
        <f t="shared" si="19"/>
        <v>AT-RISK PERFORMERS</v>
      </c>
    </row>
    <row r="85" spans="1:12" x14ac:dyDescent="0.25">
      <c r="A85" t="s">
        <v>503</v>
      </c>
      <c r="B85">
        <v>2</v>
      </c>
      <c r="C85">
        <v>36</v>
      </c>
      <c r="D85" s="14">
        <f t="shared" si="13"/>
        <v>5.5555555555555552E-2</v>
      </c>
      <c r="E85">
        <v>0.19674768518518518</v>
      </c>
      <c r="F85">
        <f t="shared" si="14"/>
        <v>4.7219444444444445</v>
      </c>
      <c r="G85">
        <v>72</v>
      </c>
      <c r="H85" s="14">
        <f t="shared" si="15"/>
        <v>6.5582561728395064E-2</v>
      </c>
      <c r="I85" s="14">
        <f t="shared" si="16"/>
        <v>6.5582561728395064E-2</v>
      </c>
      <c r="J85" s="14">
        <f t="shared" si="17"/>
        <v>6.0569058641975308E-2</v>
      </c>
      <c r="K85">
        <f t="shared" si="18"/>
        <v>84</v>
      </c>
      <c r="L85" t="str">
        <f t="shared" si="19"/>
        <v>AT-RISK PERFORMERS</v>
      </c>
    </row>
    <row r="86" spans="1:12" x14ac:dyDescent="0.25">
      <c r="A86" t="s">
        <v>407</v>
      </c>
      <c r="B86">
        <v>2</v>
      </c>
      <c r="C86">
        <v>36</v>
      </c>
      <c r="D86" s="14">
        <f t="shared" si="13"/>
        <v>5.5555555555555552E-2</v>
      </c>
      <c r="E86">
        <v>0.17310185185185184</v>
      </c>
      <c r="F86">
        <f t="shared" si="14"/>
        <v>4.1544444444444437</v>
      </c>
      <c r="G86">
        <v>72</v>
      </c>
      <c r="H86" s="14">
        <f t="shared" si="15"/>
        <v>5.7700617283950609E-2</v>
      </c>
      <c r="I86" s="14">
        <f t="shared" si="16"/>
        <v>5.7700617283950609E-2</v>
      </c>
      <c r="J86" s="14">
        <f t="shared" si="17"/>
        <v>5.6628086419753081E-2</v>
      </c>
      <c r="K86">
        <f t="shared" si="18"/>
        <v>85</v>
      </c>
      <c r="L86" t="str">
        <f t="shared" si="19"/>
        <v>AT-RISK PERFORMERS</v>
      </c>
    </row>
    <row r="87" spans="1:12" x14ac:dyDescent="0.25">
      <c r="A87" t="s">
        <v>625</v>
      </c>
      <c r="B87">
        <v>2</v>
      </c>
      <c r="C87">
        <v>36</v>
      </c>
      <c r="D87" s="14">
        <f t="shared" si="13"/>
        <v>5.5555555555555552E-2</v>
      </c>
      <c r="E87">
        <v>0.16621527777777778</v>
      </c>
      <c r="F87">
        <f t="shared" si="14"/>
        <v>3.9891666666666667</v>
      </c>
      <c r="G87">
        <v>72</v>
      </c>
      <c r="H87" s="14">
        <f t="shared" si="15"/>
        <v>5.5405092592592596E-2</v>
      </c>
      <c r="I87" s="14">
        <f t="shared" si="16"/>
        <v>5.5405092592592596E-2</v>
      </c>
      <c r="J87" s="14">
        <f t="shared" si="17"/>
        <v>5.5480324074074078E-2</v>
      </c>
      <c r="K87">
        <f t="shared" si="18"/>
        <v>86</v>
      </c>
      <c r="L87" t="str">
        <f t="shared" si="19"/>
        <v>AT-RISK PERFORMERS</v>
      </c>
    </row>
    <row r="88" spans="1:12" x14ac:dyDescent="0.25">
      <c r="A88" t="s">
        <v>129</v>
      </c>
      <c r="B88">
        <v>2</v>
      </c>
      <c r="C88">
        <v>36</v>
      </c>
      <c r="D88" s="14">
        <f t="shared" si="13"/>
        <v>5.5555555555555552E-2</v>
      </c>
      <c r="E88">
        <v>0.15494212962962961</v>
      </c>
      <c r="F88">
        <f t="shared" si="14"/>
        <v>3.7186111111111106</v>
      </c>
      <c r="G88">
        <v>72</v>
      </c>
      <c r="H88" s="14">
        <f t="shared" si="15"/>
        <v>5.1647376543209868E-2</v>
      </c>
      <c r="I88" s="14">
        <f t="shared" si="16"/>
        <v>5.1647376543209868E-2</v>
      </c>
      <c r="J88" s="14">
        <f t="shared" si="17"/>
        <v>5.3601466049382707E-2</v>
      </c>
      <c r="K88">
        <f t="shared" si="18"/>
        <v>87</v>
      </c>
      <c r="L88" t="str">
        <f t="shared" si="19"/>
        <v>AT-RISK PERFORMERS</v>
      </c>
    </row>
    <row r="89" spans="1:12" x14ac:dyDescent="0.25">
      <c r="A89" t="s">
        <v>243</v>
      </c>
      <c r="B89">
        <v>2</v>
      </c>
      <c r="C89">
        <v>36</v>
      </c>
      <c r="D89" s="14">
        <f t="shared" si="13"/>
        <v>5.5555555555555552E-2</v>
      </c>
      <c r="E89">
        <v>0.15128472222222222</v>
      </c>
      <c r="F89">
        <f t="shared" si="14"/>
        <v>3.6308333333333334</v>
      </c>
      <c r="G89">
        <v>72</v>
      </c>
      <c r="H89" s="14">
        <f t="shared" si="15"/>
        <v>5.0428240740740739E-2</v>
      </c>
      <c r="I89" s="14">
        <f t="shared" si="16"/>
        <v>5.0428240740740739E-2</v>
      </c>
      <c r="J89" s="14">
        <f t="shared" si="17"/>
        <v>5.2991898148148142E-2</v>
      </c>
      <c r="K89">
        <f t="shared" si="18"/>
        <v>88</v>
      </c>
      <c r="L89" t="str">
        <f t="shared" si="19"/>
        <v>AT-RISK PERFORMERS</v>
      </c>
    </row>
    <row r="90" spans="1:12" x14ac:dyDescent="0.25">
      <c r="A90" t="s">
        <v>412</v>
      </c>
      <c r="B90">
        <v>2</v>
      </c>
      <c r="C90">
        <v>36</v>
      </c>
      <c r="D90" s="14">
        <f t="shared" si="13"/>
        <v>5.5555555555555552E-2</v>
      </c>
      <c r="E90">
        <v>0.14520833333333333</v>
      </c>
      <c r="F90">
        <f t="shared" si="14"/>
        <v>3.4849999999999999</v>
      </c>
      <c r="G90">
        <v>72</v>
      </c>
      <c r="H90" s="14">
        <f t="shared" si="15"/>
        <v>4.8402777777777774E-2</v>
      </c>
      <c r="I90" s="14">
        <f t="shared" si="16"/>
        <v>4.8402777777777774E-2</v>
      </c>
      <c r="J90" s="14">
        <f t="shared" si="17"/>
        <v>5.197916666666666E-2</v>
      </c>
      <c r="K90">
        <f t="shared" si="18"/>
        <v>89</v>
      </c>
      <c r="L90" t="str">
        <f t="shared" si="19"/>
        <v>AT-RISK PERFORMERS</v>
      </c>
    </row>
    <row r="91" spans="1:12" x14ac:dyDescent="0.25">
      <c r="A91" t="s">
        <v>592</v>
      </c>
      <c r="B91">
        <v>2</v>
      </c>
      <c r="C91">
        <v>36</v>
      </c>
      <c r="D91" s="14">
        <f t="shared" si="13"/>
        <v>5.5555555555555552E-2</v>
      </c>
      <c r="E91">
        <v>0.14476851851851852</v>
      </c>
      <c r="F91">
        <f t="shared" si="14"/>
        <v>3.4744444444444444</v>
      </c>
      <c r="G91">
        <v>72</v>
      </c>
      <c r="H91" s="14">
        <f t="shared" si="15"/>
        <v>4.8256172839506173E-2</v>
      </c>
      <c r="I91" s="14">
        <f t="shared" si="16"/>
        <v>4.8256172839506173E-2</v>
      </c>
      <c r="J91" s="14">
        <f t="shared" si="17"/>
        <v>5.1905864197530863E-2</v>
      </c>
      <c r="K91">
        <f t="shared" si="18"/>
        <v>90</v>
      </c>
      <c r="L91" t="str">
        <f t="shared" si="19"/>
        <v>AT-RISK PERFORMERS</v>
      </c>
    </row>
    <row r="92" spans="1:12" x14ac:dyDescent="0.25">
      <c r="A92" t="s">
        <v>483</v>
      </c>
      <c r="B92">
        <v>1</v>
      </c>
      <c r="C92">
        <v>36</v>
      </c>
      <c r="D92" s="14">
        <f t="shared" si="13"/>
        <v>2.7777777777777776E-2</v>
      </c>
      <c r="E92">
        <v>9.9895833333333336E-2</v>
      </c>
      <c r="F92">
        <f t="shared" si="14"/>
        <v>2.3975</v>
      </c>
      <c r="G92">
        <v>72</v>
      </c>
      <c r="H92" s="14">
        <f t="shared" si="15"/>
        <v>3.3298611111111112E-2</v>
      </c>
      <c r="I92" s="14">
        <f t="shared" si="16"/>
        <v>3.3298611111111112E-2</v>
      </c>
      <c r="J92" s="14">
        <f t="shared" si="17"/>
        <v>3.0538194444444444E-2</v>
      </c>
      <c r="K92">
        <f t="shared" si="18"/>
        <v>91</v>
      </c>
      <c r="L92" t="str">
        <f t="shared" si="19"/>
        <v>AT-RISK PERFORMERS</v>
      </c>
    </row>
    <row r="93" spans="1:12" x14ac:dyDescent="0.25">
      <c r="A93" t="s">
        <v>223</v>
      </c>
      <c r="B93">
        <v>1</v>
      </c>
      <c r="C93">
        <v>36</v>
      </c>
      <c r="D93" s="14">
        <f t="shared" si="13"/>
        <v>2.7777777777777776E-2</v>
      </c>
      <c r="E93">
        <v>9.6956018518518525E-2</v>
      </c>
      <c r="F93">
        <f t="shared" si="14"/>
        <v>2.3269444444444445</v>
      </c>
      <c r="G93">
        <v>72</v>
      </c>
      <c r="H93" s="14">
        <f t="shared" si="15"/>
        <v>3.2318672839506173E-2</v>
      </c>
      <c r="I93" s="14">
        <f t="shared" si="16"/>
        <v>3.2318672839506173E-2</v>
      </c>
      <c r="J93" s="14">
        <f t="shared" si="17"/>
        <v>3.0048225308641974E-2</v>
      </c>
      <c r="K93">
        <f t="shared" si="18"/>
        <v>92</v>
      </c>
      <c r="L93" t="str">
        <f t="shared" si="19"/>
        <v>AT-RISK PERFORMERS</v>
      </c>
    </row>
    <row r="94" spans="1:12" x14ac:dyDescent="0.25">
      <c r="A94" t="s">
        <v>668</v>
      </c>
      <c r="B94">
        <v>1</v>
      </c>
      <c r="C94">
        <v>36</v>
      </c>
      <c r="D94" s="14">
        <f t="shared" si="13"/>
        <v>2.7777777777777776E-2</v>
      </c>
      <c r="E94">
        <v>8.925925925925926E-2</v>
      </c>
      <c r="F94">
        <f t="shared" si="14"/>
        <v>2.1422222222222222</v>
      </c>
      <c r="G94">
        <v>72</v>
      </c>
      <c r="H94" s="14">
        <f t="shared" si="15"/>
        <v>2.9753086419753088E-2</v>
      </c>
      <c r="I94" s="14">
        <f t="shared" si="16"/>
        <v>2.9753086419753088E-2</v>
      </c>
      <c r="J94" s="14">
        <f t="shared" si="17"/>
        <v>2.8765432098765434E-2</v>
      </c>
      <c r="K94">
        <f t="shared" si="18"/>
        <v>93</v>
      </c>
      <c r="L94" t="str">
        <f t="shared" si="19"/>
        <v>AT-RISK PERFORMERS</v>
      </c>
    </row>
    <row r="95" spans="1:12" x14ac:dyDescent="0.25">
      <c r="A95" t="s">
        <v>671</v>
      </c>
      <c r="B95">
        <v>1</v>
      </c>
      <c r="C95">
        <v>36</v>
      </c>
      <c r="D95" s="14">
        <f t="shared" si="13"/>
        <v>2.7777777777777776E-2</v>
      </c>
      <c r="E95">
        <v>8.925925925925926E-2</v>
      </c>
      <c r="F95">
        <f t="shared" si="14"/>
        <v>2.1422222222222222</v>
      </c>
      <c r="G95">
        <v>72</v>
      </c>
      <c r="H95" s="14">
        <f t="shared" si="15"/>
        <v>2.9753086419753088E-2</v>
      </c>
      <c r="I95" s="14">
        <f t="shared" si="16"/>
        <v>2.9753086419753088E-2</v>
      </c>
      <c r="J95" s="14">
        <f t="shared" si="17"/>
        <v>2.8765432098765434E-2</v>
      </c>
      <c r="K95">
        <f t="shared" si="18"/>
        <v>93</v>
      </c>
      <c r="L95" t="str">
        <f t="shared" si="19"/>
        <v>AT-RISK PERFORMERS</v>
      </c>
    </row>
    <row r="96" spans="1:12" x14ac:dyDescent="0.25">
      <c r="A96" t="s">
        <v>575</v>
      </c>
      <c r="B96">
        <v>1</v>
      </c>
      <c r="C96">
        <v>36</v>
      </c>
      <c r="D96" s="14">
        <f t="shared" si="13"/>
        <v>2.7777777777777776E-2</v>
      </c>
      <c r="E96">
        <v>8.3715277777777777E-2</v>
      </c>
      <c r="F96">
        <f t="shared" si="14"/>
        <v>2.0091666666666668</v>
      </c>
      <c r="G96">
        <v>72</v>
      </c>
      <c r="H96" s="14">
        <f t="shared" si="15"/>
        <v>2.7905092592592592E-2</v>
      </c>
      <c r="I96" s="14">
        <f t="shared" si="16"/>
        <v>2.7905092592592592E-2</v>
      </c>
      <c r="J96" s="14">
        <f t="shared" si="17"/>
        <v>2.7841435185185184E-2</v>
      </c>
      <c r="K96">
        <f t="shared" si="18"/>
        <v>95</v>
      </c>
      <c r="L96" t="str">
        <f t="shared" si="19"/>
        <v>AT-RISK PERFORMERS</v>
      </c>
    </row>
    <row r="97" spans="1:12" x14ac:dyDescent="0.25">
      <c r="A97" t="s">
        <v>686</v>
      </c>
      <c r="B97">
        <v>1</v>
      </c>
      <c r="C97">
        <v>36</v>
      </c>
      <c r="D97" s="14">
        <f t="shared" si="13"/>
        <v>2.7777777777777776E-2</v>
      </c>
      <c r="E97">
        <v>7.8877314814814817E-2</v>
      </c>
      <c r="F97">
        <f t="shared" si="14"/>
        <v>1.8930555555555557</v>
      </c>
      <c r="G97">
        <v>72</v>
      </c>
      <c r="H97" s="14">
        <f t="shared" si="15"/>
        <v>2.6292438271604941E-2</v>
      </c>
      <c r="I97" s="14">
        <f t="shared" si="16"/>
        <v>2.6292438271604941E-2</v>
      </c>
      <c r="J97" s="14">
        <f t="shared" si="17"/>
        <v>2.7035108024691359E-2</v>
      </c>
      <c r="K97">
        <f t="shared" si="18"/>
        <v>96</v>
      </c>
      <c r="L97" t="str">
        <f t="shared" si="19"/>
        <v>AT-RISK PERFORMERS</v>
      </c>
    </row>
    <row r="98" spans="1:12" x14ac:dyDescent="0.25">
      <c r="A98" t="s">
        <v>689</v>
      </c>
      <c r="B98">
        <v>1</v>
      </c>
      <c r="C98">
        <v>36</v>
      </c>
      <c r="D98" s="14">
        <f t="shared" ref="D98:D129" si="20">B98/C98</f>
        <v>2.7777777777777776E-2</v>
      </c>
      <c r="E98">
        <v>7.8877314814814817E-2</v>
      </c>
      <c r="F98">
        <f t="shared" ref="F98:F129" si="21">E98*24</f>
        <v>1.8930555555555557</v>
      </c>
      <c r="G98">
        <v>72</v>
      </c>
      <c r="H98" s="14">
        <f t="shared" ref="H98:H129" si="22">F98/G98</f>
        <v>2.6292438271604941E-2</v>
      </c>
      <c r="I98" s="14">
        <f t="shared" ref="I98:I129" si="23">MIN(100%,H98)</f>
        <v>2.6292438271604941E-2</v>
      </c>
      <c r="J98" s="14">
        <f t="shared" ref="J98:J129" si="24">(D98*0.5)+(I98*0.5)</f>
        <v>2.7035108024691359E-2</v>
      </c>
      <c r="K98">
        <f t="shared" ref="K98:K129" si="25">RANK(J98,J:J,)</f>
        <v>96</v>
      </c>
      <c r="L98" t="str">
        <f t="shared" si="19"/>
        <v>AT-RISK PERFORMERS</v>
      </c>
    </row>
    <row r="99" spans="1:12" x14ac:dyDescent="0.25">
      <c r="A99" t="s">
        <v>706</v>
      </c>
      <c r="B99">
        <v>1</v>
      </c>
      <c r="C99">
        <v>36</v>
      </c>
      <c r="D99" s="14">
        <f t="shared" si="20"/>
        <v>2.7777777777777776E-2</v>
      </c>
      <c r="E99">
        <v>7.8877314814814817E-2</v>
      </c>
      <c r="F99">
        <f t="shared" si="21"/>
        <v>1.8930555555555557</v>
      </c>
      <c r="G99">
        <v>72</v>
      </c>
      <c r="H99" s="14">
        <f t="shared" si="22"/>
        <v>2.6292438271604941E-2</v>
      </c>
      <c r="I99" s="14">
        <f t="shared" si="23"/>
        <v>2.6292438271604941E-2</v>
      </c>
      <c r="J99" s="14">
        <f t="shared" si="24"/>
        <v>2.7035108024691359E-2</v>
      </c>
      <c r="K99">
        <f t="shared" si="25"/>
        <v>96</v>
      </c>
      <c r="L99" t="str">
        <f t="shared" si="19"/>
        <v>AT-RISK PERFORMERS</v>
      </c>
    </row>
    <row r="100" spans="1:12" x14ac:dyDescent="0.25">
      <c r="A100" t="s">
        <v>651</v>
      </c>
      <c r="B100">
        <v>1</v>
      </c>
      <c r="C100">
        <v>36</v>
      </c>
      <c r="D100" s="14">
        <f t="shared" si="20"/>
        <v>2.7777777777777776E-2</v>
      </c>
      <c r="E100">
        <v>7.6249999999999998E-2</v>
      </c>
      <c r="F100">
        <f t="shared" si="21"/>
        <v>1.83</v>
      </c>
      <c r="G100">
        <v>72</v>
      </c>
      <c r="H100" s="14">
        <f t="shared" si="22"/>
        <v>2.5416666666666667E-2</v>
      </c>
      <c r="I100" s="14">
        <f t="shared" si="23"/>
        <v>2.5416666666666667E-2</v>
      </c>
      <c r="J100" s="14">
        <f t="shared" si="24"/>
        <v>2.6597222222222223E-2</v>
      </c>
      <c r="K100">
        <f t="shared" si="25"/>
        <v>99</v>
      </c>
      <c r="L100" t="str">
        <f t="shared" si="19"/>
        <v>AT-RISK PERFORMERS</v>
      </c>
    </row>
    <row r="101" spans="1:12" x14ac:dyDescent="0.25">
      <c r="A101" t="s">
        <v>315</v>
      </c>
      <c r="B101">
        <v>1</v>
      </c>
      <c r="C101">
        <v>36</v>
      </c>
      <c r="D101" s="14">
        <f t="shared" si="20"/>
        <v>2.7777777777777776E-2</v>
      </c>
      <c r="E101">
        <v>7.604166666666666E-2</v>
      </c>
      <c r="F101">
        <f t="shared" si="21"/>
        <v>1.8249999999999997</v>
      </c>
      <c r="G101">
        <v>72</v>
      </c>
      <c r="H101" s="14">
        <f t="shared" si="22"/>
        <v>2.5347222222222219E-2</v>
      </c>
      <c r="I101" s="14">
        <f t="shared" si="23"/>
        <v>2.5347222222222219E-2</v>
      </c>
      <c r="J101" s="14">
        <f t="shared" si="24"/>
        <v>2.6562499999999996E-2</v>
      </c>
      <c r="K101">
        <f t="shared" si="25"/>
        <v>100</v>
      </c>
      <c r="L101" t="str">
        <f t="shared" si="19"/>
        <v>AT-RISK PERFORMERS</v>
      </c>
    </row>
    <row r="102" spans="1:12" x14ac:dyDescent="0.25">
      <c r="A102" t="s">
        <v>394</v>
      </c>
      <c r="B102">
        <v>1</v>
      </c>
      <c r="C102">
        <v>36</v>
      </c>
      <c r="D102" s="14">
        <f t="shared" si="20"/>
        <v>2.7777777777777776E-2</v>
      </c>
      <c r="E102">
        <v>7.2048611111111105E-2</v>
      </c>
      <c r="F102">
        <f t="shared" si="21"/>
        <v>1.7291666666666665</v>
      </c>
      <c r="G102">
        <v>72</v>
      </c>
      <c r="H102" s="14">
        <f t="shared" si="22"/>
        <v>2.4016203703703703E-2</v>
      </c>
      <c r="I102" s="14">
        <f t="shared" si="23"/>
        <v>2.4016203703703703E-2</v>
      </c>
      <c r="J102" s="14">
        <f t="shared" si="24"/>
        <v>2.5896990740740741E-2</v>
      </c>
      <c r="K102">
        <f t="shared" si="25"/>
        <v>101</v>
      </c>
      <c r="L102" t="str">
        <f t="shared" si="19"/>
        <v>AT-RISK PERFORMERS</v>
      </c>
    </row>
    <row r="103" spans="1:12" x14ac:dyDescent="0.25">
      <c r="A103" t="s">
        <v>379</v>
      </c>
      <c r="B103">
        <v>1</v>
      </c>
      <c r="C103">
        <v>36</v>
      </c>
      <c r="D103" s="14">
        <f t="shared" si="20"/>
        <v>2.7777777777777776E-2</v>
      </c>
      <c r="E103">
        <v>6.895833333333333E-2</v>
      </c>
      <c r="F103">
        <f t="shared" si="21"/>
        <v>1.6549999999999998</v>
      </c>
      <c r="G103">
        <v>72</v>
      </c>
      <c r="H103" s="14">
        <f t="shared" si="22"/>
        <v>2.298611111111111E-2</v>
      </c>
      <c r="I103" s="14">
        <f t="shared" si="23"/>
        <v>2.298611111111111E-2</v>
      </c>
      <c r="J103" s="14">
        <f t="shared" si="24"/>
        <v>2.5381944444444443E-2</v>
      </c>
      <c r="K103">
        <f t="shared" si="25"/>
        <v>102</v>
      </c>
      <c r="L103" t="str">
        <f t="shared" si="19"/>
        <v>AT-RISK PERFORMERS</v>
      </c>
    </row>
    <row r="104" spans="1:12" x14ac:dyDescent="0.25">
      <c r="A104" t="s">
        <v>587</v>
      </c>
      <c r="B104">
        <v>1</v>
      </c>
      <c r="C104">
        <v>36</v>
      </c>
      <c r="D104" s="14">
        <f t="shared" si="20"/>
        <v>2.7777777777777776E-2</v>
      </c>
      <c r="E104">
        <v>6.5891203703703702E-2</v>
      </c>
      <c r="F104">
        <f t="shared" si="21"/>
        <v>1.5813888888888887</v>
      </c>
      <c r="G104">
        <v>72</v>
      </c>
      <c r="H104" s="14">
        <f t="shared" si="22"/>
        <v>2.1963734567901232E-2</v>
      </c>
      <c r="I104" s="14">
        <f t="shared" si="23"/>
        <v>2.1963734567901232E-2</v>
      </c>
      <c r="J104" s="14">
        <f t="shared" si="24"/>
        <v>2.4870756172839504E-2</v>
      </c>
      <c r="K104">
        <f t="shared" si="25"/>
        <v>103</v>
      </c>
      <c r="L104" t="str">
        <f t="shared" si="19"/>
        <v>AT-RISK PERFORMERS</v>
      </c>
    </row>
    <row r="105" spans="1:12" x14ac:dyDescent="0.25">
      <c r="A105" t="s">
        <v>596</v>
      </c>
      <c r="B105">
        <v>1</v>
      </c>
      <c r="C105">
        <v>36</v>
      </c>
      <c r="D105" s="14">
        <f t="shared" si="20"/>
        <v>2.7777777777777776E-2</v>
      </c>
      <c r="E105">
        <v>6.5891203703703702E-2</v>
      </c>
      <c r="F105">
        <f t="shared" si="21"/>
        <v>1.5813888888888887</v>
      </c>
      <c r="G105">
        <v>72</v>
      </c>
      <c r="H105" s="14">
        <f t="shared" si="22"/>
        <v>2.1963734567901232E-2</v>
      </c>
      <c r="I105" s="14">
        <f t="shared" si="23"/>
        <v>2.1963734567901232E-2</v>
      </c>
      <c r="J105" s="14">
        <f t="shared" si="24"/>
        <v>2.4870756172839504E-2</v>
      </c>
      <c r="K105">
        <f t="shared" si="25"/>
        <v>103</v>
      </c>
      <c r="L105" t="str">
        <f t="shared" si="19"/>
        <v>AT-RISK PERFORMERS</v>
      </c>
    </row>
    <row r="106" spans="1:12" x14ac:dyDescent="0.25">
      <c r="A106" t="s">
        <v>122</v>
      </c>
      <c r="B106">
        <v>1</v>
      </c>
      <c r="C106">
        <v>36</v>
      </c>
      <c r="D106" s="14">
        <f t="shared" si="20"/>
        <v>2.7777777777777776E-2</v>
      </c>
      <c r="E106">
        <v>6.5439814814814812E-2</v>
      </c>
      <c r="F106">
        <f t="shared" si="21"/>
        <v>1.5705555555555555</v>
      </c>
      <c r="G106">
        <v>72</v>
      </c>
      <c r="H106" s="14">
        <f t="shared" si="22"/>
        <v>2.1813271604938272E-2</v>
      </c>
      <c r="I106" s="14">
        <f t="shared" si="23"/>
        <v>2.1813271604938272E-2</v>
      </c>
      <c r="J106" s="14">
        <f t="shared" si="24"/>
        <v>2.4795524691358026E-2</v>
      </c>
      <c r="K106">
        <f t="shared" si="25"/>
        <v>105</v>
      </c>
      <c r="L106" t="str">
        <f t="shared" si="19"/>
        <v>AT-RISK PERFORMERS</v>
      </c>
    </row>
    <row r="114" spans="1:5" x14ac:dyDescent="0.25">
      <c r="A114" t="s">
        <v>736</v>
      </c>
      <c r="B114" t="s">
        <v>808</v>
      </c>
      <c r="C114" t="s">
        <v>811</v>
      </c>
      <c r="D114" s="14" t="s">
        <v>809</v>
      </c>
      <c r="E114" t="s">
        <v>797</v>
      </c>
    </row>
    <row r="115" spans="1:5" x14ac:dyDescent="0.25">
      <c r="A115" t="s">
        <v>16</v>
      </c>
      <c r="B115" s="14">
        <v>1</v>
      </c>
      <c r="C115" s="14">
        <v>1</v>
      </c>
      <c r="D115" s="14">
        <v>1</v>
      </c>
      <c r="E115">
        <v>1</v>
      </c>
    </row>
    <row r="116" spans="1:5" x14ac:dyDescent="0.25">
      <c r="A116" t="s">
        <v>22</v>
      </c>
      <c r="B116" s="14">
        <v>0.97222222222222221</v>
      </c>
      <c r="C116" s="14">
        <v>1</v>
      </c>
      <c r="D116" s="14">
        <v>0.98611111111111116</v>
      </c>
      <c r="E116">
        <v>2</v>
      </c>
    </row>
    <row r="117" spans="1:5" x14ac:dyDescent="0.25">
      <c r="A117" t="s">
        <v>11</v>
      </c>
      <c r="B117" s="14">
        <v>0.97222222222222221</v>
      </c>
      <c r="C117" s="14">
        <v>0.97462577160493835</v>
      </c>
      <c r="D117" s="14">
        <v>0.97342399691358028</v>
      </c>
      <c r="E117">
        <v>3</v>
      </c>
    </row>
    <row r="118" spans="1:5" x14ac:dyDescent="0.25">
      <c r="A118" t="s">
        <v>53</v>
      </c>
      <c r="B118" s="14">
        <v>0.94444444444444442</v>
      </c>
      <c r="C118" s="14">
        <v>0.97396990740740741</v>
      </c>
      <c r="D118" s="14">
        <v>0.95920717592592597</v>
      </c>
      <c r="E118">
        <v>4</v>
      </c>
    </row>
    <row r="119" spans="1:5" x14ac:dyDescent="0.25">
      <c r="A119" t="s">
        <v>18</v>
      </c>
      <c r="B119" s="14">
        <v>0.91666666666666663</v>
      </c>
      <c r="C119" s="14">
        <v>0.94011959876543194</v>
      </c>
      <c r="D119" s="14">
        <v>0.92839313271604929</v>
      </c>
      <c r="E119">
        <v>5</v>
      </c>
    </row>
    <row r="120" spans="1:5" x14ac:dyDescent="0.25">
      <c r="A120" t="s">
        <v>46</v>
      </c>
      <c r="B120" s="14">
        <v>0.91666666666666663</v>
      </c>
      <c r="C120" s="14">
        <v>0.93147376543209881</v>
      </c>
      <c r="D120" s="14">
        <v>0.92407021604938278</v>
      </c>
      <c r="E120">
        <v>6</v>
      </c>
    </row>
    <row r="121" spans="1:5" x14ac:dyDescent="0.25">
      <c r="A121" t="s">
        <v>20</v>
      </c>
      <c r="B121" s="14">
        <v>0.91666666666666663</v>
      </c>
      <c r="C121" s="14">
        <v>0.92771990740740717</v>
      </c>
      <c r="D121" s="14">
        <v>0.92219328703703685</v>
      </c>
      <c r="E121">
        <v>7</v>
      </c>
    </row>
    <row r="122" spans="1:5" x14ac:dyDescent="0.25">
      <c r="A122" t="s">
        <v>41</v>
      </c>
      <c r="B122" s="14">
        <v>0.86111111111111116</v>
      </c>
      <c r="C122" s="14">
        <v>0.87085262345679026</v>
      </c>
      <c r="D122" s="14">
        <v>0.86598186728395077</v>
      </c>
      <c r="E122">
        <v>8</v>
      </c>
    </row>
    <row r="123" spans="1:5" x14ac:dyDescent="0.25">
      <c r="A123" t="s">
        <v>36</v>
      </c>
      <c r="B123" s="14">
        <v>0.83333333333333337</v>
      </c>
      <c r="C123" s="14">
        <v>0.85536265432098757</v>
      </c>
      <c r="D123" s="14">
        <v>0.84434799382716053</v>
      </c>
      <c r="E123">
        <v>9</v>
      </c>
    </row>
    <row r="124" spans="1:5" x14ac:dyDescent="0.25">
      <c r="A124" t="s">
        <v>5</v>
      </c>
      <c r="B124" s="14">
        <v>0.69444444444444442</v>
      </c>
      <c r="C124" s="14">
        <v>0.9801350308641974</v>
      </c>
      <c r="D124" s="14">
        <v>0.83728973765432091</v>
      </c>
      <c r="E124">
        <v>10</v>
      </c>
    </row>
  </sheetData>
  <sortState xmlns:xlrd2="http://schemas.microsoft.com/office/spreadsheetml/2017/richdata2" ref="A2:K106">
    <sortCondition ref="K2:K10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286"/>
  <sheetViews>
    <sheetView topLeftCell="A330" zoomScale="123" workbookViewId="0">
      <selection activeCell="D338" sqref="D338:E373"/>
    </sheetView>
  </sheetViews>
  <sheetFormatPr defaultRowHeight="15" x14ac:dyDescent="0.25"/>
  <cols>
    <col min="1" max="1" width="17.7109375" customWidth="1"/>
    <col min="2" max="2" width="16.85546875" customWidth="1"/>
    <col min="4" max="4" width="12.5703125" customWidth="1"/>
    <col min="5" max="5" width="15.7109375" customWidth="1"/>
    <col min="14" max="14" width="14.28515625" bestFit="1" customWidth="1"/>
    <col min="15" max="15" width="25.42578125" bestFit="1" customWidth="1"/>
  </cols>
  <sheetData>
    <row r="1" spans="1:38" x14ac:dyDescent="0.25">
      <c r="A1" s="1" t="s">
        <v>714</v>
      </c>
      <c r="B1" s="1" t="s">
        <v>717</v>
      </c>
    </row>
    <row r="2" spans="1:38" x14ac:dyDescent="0.25">
      <c r="A2" s="1" t="s">
        <v>715</v>
      </c>
      <c r="B2" t="s">
        <v>676</v>
      </c>
      <c r="C2" t="s">
        <v>554</v>
      </c>
      <c r="D2" t="s">
        <v>523</v>
      </c>
      <c r="E2" t="s">
        <v>491</v>
      </c>
      <c r="F2" t="s">
        <v>477</v>
      </c>
      <c r="G2" t="s">
        <v>444</v>
      </c>
      <c r="H2" t="s">
        <v>416</v>
      </c>
      <c r="I2" t="s">
        <v>401</v>
      </c>
      <c r="J2" t="s">
        <v>389</v>
      </c>
      <c r="K2" t="s">
        <v>375</v>
      </c>
      <c r="L2" t="s">
        <v>353</v>
      </c>
      <c r="M2" t="s">
        <v>665</v>
      </c>
      <c r="N2" t="s">
        <v>324</v>
      </c>
      <c r="O2" t="s">
        <v>293</v>
      </c>
      <c r="P2" t="s">
        <v>271</v>
      </c>
      <c r="Q2" t="s">
        <v>265</v>
      </c>
      <c r="R2" t="s">
        <v>255</v>
      </c>
      <c r="S2" t="s">
        <v>226</v>
      </c>
      <c r="T2" t="s">
        <v>216</v>
      </c>
      <c r="U2" t="s">
        <v>203</v>
      </c>
      <c r="V2" t="s">
        <v>198</v>
      </c>
      <c r="W2" t="s">
        <v>176</v>
      </c>
      <c r="X2" t="s">
        <v>653</v>
      </c>
      <c r="Y2" t="s">
        <v>143</v>
      </c>
      <c r="Z2" t="s">
        <v>105</v>
      </c>
      <c r="AA2" t="s">
        <v>93</v>
      </c>
      <c r="AB2" t="s">
        <v>65</v>
      </c>
      <c r="AC2" t="s">
        <v>58</v>
      </c>
      <c r="AD2" t="s">
        <v>32</v>
      </c>
      <c r="AE2" t="s">
        <v>8</v>
      </c>
      <c r="AF2" t="s">
        <v>648</v>
      </c>
      <c r="AG2" t="s">
        <v>635</v>
      </c>
      <c r="AH2" t="s">
        <v>618</v>
      </c>
      <c r="AI2" t="s">
        <v>612</v>
      </c>
      <c r="AJ2" t="s">
        <v>603</v>
      </c>
      <c r="AK2" t="s">
        <v>582</v>
      </c>
      <c r="AL2" t="s">
        <v>716</v>
      </c>
    </row>
    <row r="3" spans="1:38" x14ac:dyDescent="0.25">
      <c r="A3" s="2" t="s">
        <v>29</v>
      </c>
      <c r="B3">
        <v>1</v>
      </c>
      <c r="C3">
        <v>1</v>
      </c>
      <c r="E3">
        <v>1</v>
      </c>
      <c r="G3">
        <v>1</v>
      </c>
      <c r="I3">
        <v>1</v>
      </c>
      <c r="J3">
        <v>1</v>
      </c>
      <c r="K3">
        <v>1</v>
      </c>
      <c r="P3">
        <v>1</v>
      </c>
      <c r="Q3">
        <v>1</v>
      </c>
      <c r="U3">
        <v>1</v>
      </c>
      <c r="Y3">
        <v>1</v>
      </c>
      <c r="AD3">
        <v>1</v>
      </c>
      <c r="AI3">
        <v>1</v>
      </c>
      <c r="AL3">
        <v>13</v>
      </c>
    </row>
    <row r="4" spans="1:38" x14ac:dyDescent="0.25">
      <c r="A4" s="2" t="s">
        <v>5</v>
      </c>
      <c r="B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U4">
        <v>1</v>
      </c>
      <c r="V4">
        <v>1</v>
      </c>
      <c r="W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L4">
        <v>25</v>
      </c>
    </row>
    <row r="5" spans="1:38" x14ac:dyDescent="0.25">
      <c r="A5" s="2" t="s">
        <v>9</v>
      </c>
      <c r="C5">
        <v>1</v>
      </c>
      <c r="D5">
        <v>1</v>
      </c>
      <c r="E5">
        <v>1</v>
      </c>
      <c r="F5">
        <v>1</v>
      </c>
      <c r="G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T5">
        <v>1</v>
      </c>
      <c r="U5">
        <v>1</v>
      </c>
      <c r="V5">
        <v>1</v>
      </c>
      <c r="W5">
        <v>1</v>
      </c>
      <c r="X5">
        <v>1</v>
      </c>
      <c r="Z5">
        <v>1</v>
      </c>
      <c r="AA5">
        <v>1</v>
      </c>
      <c r="AB5">
        <v>1</v>
      </c>
      <c r="AD5">
        <v>1</v>
      </c>
      <c r="AE5">
        <v>1</v>
      </c>
      <c r="AF5">
        <v>1</v>
      </c>
      <c r="AJ5">
        <v>1</v>
      </c>
      <c r="AK5">
        <v>1</v>
      </c>
      <c r="AL5">
        <v>27</v>
      </c>
    </row>
    <row r="6" spans="1:38" x14ac:dyDescent="0.25">
      <c r="A6" s="2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H6">
        <v>1</v>
      </c>
      <c r="AI6">
        <v>1</v>
      </c>
      <c r="AJ6">
        <v>1</v>
      </c>
      <c r="AK6">
        <v>1</v>
      </c>
      <c r="AL6">
        <v>35</v>
      </c>
    </row>
    <row r="7" spans="1:38" x14ac:dyDescent="0.25">
      <c r="A7" s="2" t="s">
        <v>296</v>
      </c>
      <c r="B7">
        <v>1</v>
      </c>
      <c r="C7">
        <v>1</v>
      </c>
      <c r="D7">
        <v>1</v>
      </c>
      <c r="E7">
        <v>1</v>
      </c>
      <c r="H7">
        <v>1</v>
      </c>
      <c r="I7">
        <v>1</v>
      </c>
      <c r="J7">
        <v>1</v>
      </c>
      <c r="M7">
        <v>1</v>
      </c>
      <c r="O7">
        <v>1</v>
      </c>
      <c r="X7">
        <v>1</v>
      </c>
      <c r="AF7">
        <v>1</v>
      </c>
      <c r="AG7">
        <v>1</v>
      </c>
      <c r="AH7">
        <v>1</v>
      </c>
      <c r="AK7">
        <v>1</v>
      </c>
      <c r="AL7">
        <v>14</v>
      </c>
    </row>
    <row r="8" spans="1:38" x14ac:dyDescent="0.25">
      <c r="A8" s="2" t="s">
        <v>13</v>
      </c>
      <c r="R8">
        <v>1</v>
      </c>
      <c r="W8">
        <v>1</v>
      </c>
      <c r="Z8">
        <v>1</v>
      </c>
      <c r="AB8">
        <v>1</v>
      </c>
      <c r="AD8">
        <v>1</v>
      </c>
      <c r="AE8">
        <v>1</v>
      </c>
      <c r="AI8">
        <v>1</v>
      </c>
      <c r="AL8">
        <v>7</v>
      </c>
    </row>
    <row r="9" spans="1:38" x14ac:dyDescent="0.25">
      <c r="A9" s="2" t="s">
        <v>35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X9">
        <v>1</v>
      </c>
      <c r="AA9">
        <v>1</v>
      </c>
      <c r="AB9">
        <v>1</v>
      </c>
      <c r="AC9">
        <v>1</v>
      </c>
      <c r="AD9">
        <v>1</v>
      </c>
      <c r="AF9">
        <v>1</v>
      </c>
      <c r="AH9">
        <v>1</v>
      </c>
      <c r="AI9">
        <v>1</v>
      </c>
      <c r="AJ9">
        <v>1</v>
      </c>
      <c r="AK9">
        <v>1</v>
      </c>
      <c r="AL9">
        <v>29</v>
      </c>
    </row>
    <row r="10" spans="1:38" x14ac:dyDescent="0.25">
      <c r="A10" s="2" t="s">
        <v>636</v>
      </c>
      <c r="M10">
        <v>1</v>
      </c>
      <c r="X10">
        <v>1</v>
      </c>
      <c r="AF10">
        <v>1</v>
      </c>
      <c r="AG10">
        <v>1</v>
      </c>
      <c r="AL10">
        <v>4</v>
      </c>
    </row>
    <row r="11" spans="1:38" x14ac:dyDescent="0.25">
      <c r="A11" s="2" t="s">
        <v>585</v>
      </c>
      <c r="X11">
        <v>1</v>
      </c>
      <c r="AG11">
        <v>1</v>
      </c>
      <c r="AH11">
        <v>1</v>
      </c>
      <c r="AI11">
        <v>1</v>
      </c>
      <c r="AK11">
        <v>1</v>
      </c>
      <c r="AL11">
        <v>5</v>
      </c>
    </row>
    <row r="12" spans="1:38" x14ac:dyDescent="0.25">
      <c r="A12" s="2" t="s">
        <v>379</v>
      </c>
      <c r="K12">
        <v>1</v>
      </c>
      <c r="AL12">
        <v>1</v>
      </c>
    </row>
    <row r="13" spans="1:38" x14ac:dyDescent="0.25">
      <c r="A13" s="2" t="s">
        <v>15</v>
      </c>
      <c r="B13">
        <v>1</v>
      </c>
      <c r="D13">
        <v>1</v>
      </c>
      <c r="F13">
        <v>1</v>
      </c>
      <c r="I13">
        <v>1</v>
      </c>
      <c r="L13">
        <v>1</v>
      </c>
      <c r="M13">
        <v>1</v>
      </c>
      <c r="N13">
        <v>1</v>
      </c>
      <c r="P13">
        <v>1</v>
      </c>
      <c r="Q13">
        <v>1</v>
      </c>
      <c r="V13">
        <v>1</v>
      </c>
      <c r="W13">
        <v>1</v>
      </c>
      <c r="X13">
        <v>1</v>
      </c>
      <c r="Z13">
        <v>1</v>
      </c>
      <c r="AA13">
        <v>1</v>
      </c>
      <c r="AB13">
        <v>1</v>
      </c>
      <c r="AD13">
        <v>1</v>
      </c>
      <c r="AE13">
        <v>1</v>
      </c>
      <c r="AF13">
        <v>1</v>
      </c>
      <c r="AH13">
        <v>1</v>
      </c>
      <c r="AI13">
        <v>1</v>
      </c>
      <c r="AJ13">
        <v>1</v>
      </c>
      <c r="AK13">
        <v>1</v>
      </c>
      <c r="AL13">
        <v>22</v>
      </c>
    </row>
    <row r="14" spans="1:38" x14ac:dyDescent="0.25">
      <c r="A14" s="2" t="s">
        <v>70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F14">
        <v>1</v>
      </c>
      <c r="AH14">
        <v>1</v>
      </c>
      <c r="AK14">
        <v>1</v>
      </c>
      <c r="AL14">
        <v>29</v>
      </c>
    </row>
    <row r="15" spans="1:38" x14ac:dyDescent="0.25">
      <c r="A15" s="2" t="s">
        <v>394</v>
      </c>
      <c r="J15">
        <v>1</v>
      </c>
      <c r="AL15">
        <v>1</v>
      </c>
    </row>
    <row r="16" spans="1:38" x14ac:dyDescent="0.25">
      <c r="A16" s="2" t="s">
        <v>59</v>
      </c>
      <c r="B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K16">
        <v>1</v>
      </c>
      <c r="L16">
        <v>1</v>
      </c>
      <c r="M16">
        <v>1</v>
      </c>
      <c r="N16">
        <v>1</v>
      </c>
      <c r="P16">
        <v>1</v>
      </c>
      <c r="Q16">
        <v>1</v>
      </c>
      <c r="V16">
        <v>1</v>
      </c>
      <c r="X16">
        <v>1</v>
      </c>
      <c r="Y16">
        <v>1</v>
      </c>
      <c r="Z16">
        <v>1</v>
      </c>
      <c r="AC16">
        <v>1</v>
      </c>
      <c r="AF16">
        <v>1</v>
      </c>
      <c r="AG16">
        <v>1</v>
      </c>
      <c r="AI16">
        <v>1</v>
      </c>
      <c r="AJ16">
        <v>1</v>
      </c>
      <c r="AL16">
        <v>22</v>
      </c>
    </row>
    <row r="17" spans="1:38" x14ac:dyDescent="0.25">
      <c r="A17" s="2" t="s">
        <v>97</v>
      </c>
      <c r="E17">
        <v>1</v>
      </c>
      <c r="G17">
        <v>1</v>
      </c>
      <c r="H17">
        <v>1</v>
      </c>
      <c r="L17">
        <v>1</v>
      </c>
      <c r="N17">
        <v>1</v>
      </c>
      <c r="O17">
        <v>1</v>
      </c>
      <c r="P17">
        <v>1</v>
      </c>
      <c r="Q17">
        <v>1</v>
      </c>
      <c r="S17">
        <v>1</v>
      </c>
      <c r="T17">
        <v>1</v>
      </c>
      <c r="U17">
        <v>1</v>
      </c>
      <c r="Y17">
        <v>1</v>
      </c>
      <c r="Z17">
        <v>1</v>
      </c>
      <c r="AA17">
        <v>1</v>
      </c>
      <c r="AL17">
        <v>14</v>
      </c>
    </row>
    <row r="18" spans="1:38" x14ac:dyDescent="0.25">
      <c r="A18" s="2" t="s">
        <v>380</v>
      </c>
      <c r="B18">
        <v>1</v>
      </c>
      <c r="H18">
        <v>1</v>
      </c>
      <c r="I18">
        <v>1</v>
      </c>
      <c r="J18">
        <v>1</v>
      </c>
      <c r="K18">
        <v>1</v>
      </c>
      <c r="X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12</v>
      </c>
    </row>
    <row r="19" spans="1:38" x14ac:dyDescent="0.25">
      <c r="A19" s="2" t="s">
        <v>407</v>
      </c>
      <c r="G19">
        <v>1</v>
      </c>
      <c r="I19">
        <v>1</v>
      </c>
      <c r="AL19">
        <v>2</v>
      </c>
    </row>
    <row r="20" spans="1:38" x14ac:dyDescent="0.25">
      <c r="A20" s="2" t="s">
        <v>112</v>
      </c>
      <c r="Q20">
        <v>1</v>
      </c>
      <c r="R20">
        <v>1</v>
      </c>
      <c r="S20">
        <v>1</v>
      </c>
      <c r="Z20">
        <v>1</v>
      </c>
      <c r="AL20">
        <v>4</v>
      </c>
    </row>
    <row r="21" spans="1:38" x14ac:dyDescent="0.25">
      <c r="A21" s="2" t="s">
        <v>181</v>
      </c>
      <c r="B21">
        <v>1</v>
      </c>
      <c r="C21">
        <v>1</v>
      </c>
      <c r="D21">
        <v>1</v>
      </c>
      <c r="E21">
        <v>1</v>
      </c>
      <c r="F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25</v>
      </c>
    </row>
    <row r="22" spans="1:38" x14ac:dyDescent="0.25">
      <c r="A22" s="2" t="s">
        <v>359</v>
      </c>
      <c r="C22">
        <v>1</v>
      </c>
      <c r="G22">
        <v>1</v>
      </c>
      <c r="L22">
        <v>1</v>
      </c>
      <c r="AF22">
        <v>1</v>
      </c>
      <c r="AK22">
        <v>1</v>
      </c>
      <c r="AL22">
        <v>5</v>
      </c>
    </row>
    <row r="23" spans="1:38" x14ac:dyDescent="0.25">
      <c r="A23" s="2" t="s">
        <v>36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V23">
        <v>1</v>
      </c>
      <c r="W23">
        <v>1</v>
      </c>
      <c r="X23">
        <v>1</v>
      </c>
      <c r="AB23">
        <v>1</v>
      </c>
      <c r="AC23">
        <v>1</v>
      </c>
      <c r="AD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30</v>
      </c>
    </row>
    <row r="24" spans="1:38" x14ac:dyDescent="0.25">
      <c r="A24" s="2" t="s">
        <v>530</v>
      </c>
      <c r="B24">
        <v>1</v>
      </c>
      <c r="C24">
        <v>1</v>
      </c>
      <c r="D24">
        <v>1</v>
      </c>
      <c r="M24">
        <v>1</v>
      </c>
      <c r="X24">
        <v>1</v>
      </c>
      <c r="AF24">
        <v>1</v>
      </c>
      <c r="AI24">
        <v>1</v>
      </c>
      <c r="AL24">
        <v>7</v>
      </c>
    </row>
    <row r="25" spans="1:38" x14ac:dyDescent="0.25">
      <c r="A25" s="2" t="s">
        <v>587</v>
      </c>
      <c r="AK25">
        <v>1</v>
      </c>
      <c r="AL25">
        <v>1</v>
      </c>
    </row>
    <row r="26" spans="1:38" x14ac:dyDescent="0.25">
      <c r="A26" s="2" t="s">
        <v>208</v>
      </c>
      <c r="B26">
        <v>1</v>
      </c>
      <c r="C26">
        <v>1</v>
      </c>
      <c r="E26">
        <v>1</v>
      </c>
      <c r="F26">
        <v>1</v>
      </c>
      <c r="H26">
        <v>1</v>
      </c>
      <c r="I26">
        <v>1</v>
      </c>
      <c r="J26">
        <v>1</v>
      </c>
      <c r="M26">
        <v>1</v>
      </c>
      <c r="U26">
        <v>1</v>
      </c>
      <c r="X26">
        <v>1</v>
      </c>
      <c r="AF26">
        <v>1</v>
      </c>
      <c r="AJ26">
        <v>1</v>
      </c>
      <c r="AL26">
        <v>12</v>
      </c>
    </row>
    <row r="27" spans="1:38" x14ac:dyDescent="0.25">
      <c r="A27" s="2" t="s">
        <v>222</v>
      </c>
      <c r="B27">
        <v>1</v>
      </c>
      <c r="H27">
        <v>1</v>
      </c>
      <c r="K27">
        <v>1</v>
      </c>
      <c r="L27">
        <v>1</v>
      </c>
      <c r="N27">
        <v>1</v>
      </c>
      <c r="O27">
        <v>1</v>
      </c>
      <c r="Q27">
        <v>1</v>
      </c>
      <c r="R27">
        <v>1</v>
      </c>
      <c r="T27">
        <v>1</v>
      </c>
      <c r="AH27">
        <v>1</v>
      </c>
      <c r="AL27">
        <v>10</v>
      </c>
    </row>
    <row r="28" spans="1:38" x14ac:dyDescent="0.25">
      <c r="A28" s="2" t="s">
        <v>37</v>
      </c>
      <c r="C28">
        <v>1</v>
      </c>
      <c r="D28">
        <v>1</v>
      </c>
      <c r="G28">
        <v>1</v>
      </c>
      <c r="I28">
        <v>1</v>
      </c>
      <c r="J28">
        <v>1</v>
      </c>
      <c r="K28">
        <v>1</v>
      </c>
      <c r="O28">
        <v>1</v>
      </c>
      <c r="P28">
        <v>1</v>
      </c>
      <c r="Q28">
        <v>1</v>
      </c>
      <c r="U28">
        <v>1</v>
      </c>
      <c r="V28">
        <v>1</v>
      </c>
      <c r="Y28">
        <v>1</v>
      </c>
      <c r="Z28">
        <v>1</v>
      </c>
      <c r="AB28">
        <v>1</v>
      </c>
      <c r="AD28">
        <v>1</v>
      </c>
      <c r="AH28">
        <v>1</v>
      </c>
      <c r="AI28">
        <v>1</v>
      </c>
      <c r="AJ28">
        <v>1</v>
      </c>
      <c r="AK28">
        <v>1</v>
      </c>
      <c r="AL28">
        <v>19</v>
      </c>
    </row>
    <row r="29" spans="1:38" x14ac:dyDescent="0.25">
      <c r="A29" s="2" t="s">
        <v>16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36</v>
      </c>
    </row>
    <row r="30" spans="1:38" x14ac:dyDescent="0.25">
      <c r="A30" s="2" t="s">
        <v>39</v>
      </c>
      <c r="AA30">
        <v>1</v>
      </c>
      <c r="AB30">
        <v>1</v>
      </c>
      <c r="AC30">
        <v>1</v>
      </c>
      <c r="AD30">
        <v>1</v>
      </c>
      <c r="AL30">
        <v>4</v>
      </c>
    </row>
    <row r="31" spans="1:38" x14ac:dyDescent="0.25">
      <c r="A31" s="2" t="s">
        <v>686</v>
      </c>
      <c r="B31">
        <v>1</v>
      </c>
      <c r="AL31">
        <v>1</v>
      </c>
    </row>
    <row r="32" spans="1:38" x14ac:dyDescent="0.25">
      <c r="A32" s="2" t="s">
        <v>184</v>
      </c>
      <c r="B32">
        <v>1</v>
      </c>
      <c r="C32">
        <v>1</v>
      </c>
      <c r="D32">
        <v>1</v>
      </c>
      <c r="E32">
        <v>1</v>
      </c>
      <c r="H32">
        <v>1</v>
      </c>
      <c r="L32">
        <v>1</v>
      </c>
      <c r="M32">
        <v>1</v>
      </c>
      <c r="N32">
        <v>1</v>
      </c>
      <c r="R32">
        <v>1</v>
      </c>
      <c r="S32">
        <v>1</v>
      </c>
      <c r="T32">
        <v>1</v>
      </c>
      <c r="W32">
        <v>1</v>
      </c>
      <c r="AF32">
        <v>1</v>
      </c>
      <c r="AK32">
        <v>1</v>
      </c>
      <c r="AL32">
        <v>14</v>
      </c>
    </row>
    <row r="33" spans="1:38" x14ac:dyDescent="0.25">
      <c r="A33" s="2" t="s">
        <v>534</v>
      </c>
      <c r="B33">
        <v>1</v>
      </c>
      <c r="D33">
        <v>1</v>
      </c>
      <c r="M33">
        <v>1</v>
      </c>
      <c r="X33">
        <v>1</v>
      </c>
      <c r="AI33">
        <v>1</v>
      </c>
      <c r="AL33">
        <v>5</v>
      </c>
    </row>
    <row r="34" spans="1:38" x14ac:dyDescent="0.25">
      <c r="A34" s="2" t="s">
        <v>186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W34">
        <v>1</v>
      </c>
      <c r="X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25</v>
      </c>
    </row>
    <row r="35" spans="1:38" x14ac:dyDescent="0.25">
      <c r="A35" s="2" t="s">
        <v>689</v>
      </c>
      <c r="B35">
        <v>1</v>
      </c>
      <c r="AL35">
        <v>1</v>
      </c>
    </row>
    <row r="36" spans="1:38" x14ac:dyDescent="0.25">
      <c r="A36" s="2" t="s">
        <v>625</v>
      </c>
      <c r="AF36">
        <v>1</v>
      </c>
      <c r="AH36">
        <v>1</v>
      </c>
      <c r="AL36">
        <v>2</v>
      </c>
    </row>
    <row r="37" spans="1:38" x14ac:dyDescent="0.25">
      <c r="A37" s="2" t="s">
        <v>409</v>
      </c>
      <c r="B37">
        <v>1</v>
      </c>
      <c r="C37">
        <v>1</v>
      </c>
      <c r="D37">
        <v>1</v>
      </c>
      <c r="E37">
        <v>1</v>
      </c>
      <c r="H37">
        <v>1</v>
      </c>
      <c r="I37">
        <v>1</v>
      </c>
      <c r="M37">
        <v>1</v>
      </c>
      <c r="X37">
        <v>1</v>
      </c>
      <c r="AH37">
        <v>1</v>
      </c>
      <c r="AI37">
        <v>1</v>
      </c>
      <c r="AJ37">
        <v>1</v>
      </c>
      <c r="AK37">
        <v>1</v>
      </c>
      <c r="AL37">
        <v>12</v>
      </c>
    </row>
    <row r="38" spans="1:38" x14ac:dyDescent="0.25">
      <c r="A38" s="2" t="s">
        <v>503</v>
      </c>
      <c r="D38">
        <v>1</v>
      </c>
      <c r="E38">
        <v>1</v>
      </c>
      <c r="AL38">
        <v>2</v>
      </c>
    </row>
    <row r="39" spans="1:38" x14ac:dyDescent="0.25">
      <c r="A39" s="2" t="s">
        <v>538</v>
      </c>
      <c r="B39">
        <v>1</v>
      </c>
      <c r="C39">
        <v>1</v>
      </c>
      <c r="D39">
        <v>1</v>
      </c>
      <c r="M39">
        <v>1</v>
      </c>
      <c r="X39">
        <v>1</v>
      </c>
      <c r="AF39">
        <v>1</v>
      </c>
      <c r="AH39">
        <v>1</v>
      </c>
      <c r="AJ39">
        <v>1</v>
      </c>
      <c r="AL39">
        <v>8</v>
      </c>
    </row>
    <row r="40" spans="1:38" x14ac:dyDescent="0.25">
      <c r="A40" s="2" t="s">
        <v>114</v>
      </c>
      <c r="B40">
        <v>1</v>
      </c>
      <c r="F40">
        <v>1</v>
      </c>
      <c r="H40">
        <v>1</v>
      </c>
      <c r="I40">
        <v>1</v>
      </c>
      <c r="J40">
        <v>1</v>
      </c>
      <c r="K40">
        <v>1</v>
      </c>
      <c r="M40">
        <v>1</v>
      </c>
      <c r="O40">
        <v>1</v>
      </c>
      <c r="X40">
        <v>1</v>
      </c>
      <c r="Z40">
        <v>1</v>
      </c>
      <c r="AF40">
        <v>1</v>
      </c>
      <c r="AG40">
        <v>1</v>
      </c>
      <c r="AH40">
        <v>1</v>
      </c>
      <c r="AI40">
        <v>1</v>
      </c>
      <c r="AL40">
        <v>14</v>
      </c>
    </row>
    <row r="41" spans="1:38" x14ac:dyDescent="0.25">
      <c r="A41" s="2" t="s">
        <v>410</v>
      </c>
      <c r="B41">
        <v>1</v>
      </c>
      <c r="C41">
        <v>1</v>
      </c>
      <c r="I41">
        <v>1</v>
      </c>
      <c r="M41">
        <v>1</v>
      </c>
      <c r="X41">
        <v>1</v>
      </c>
      <c r="AF41">
        <v>1</v>
      </c>
      <c r="AG41">
        <v>1</v>
      </c>
      <c r="AL41">
        <v>7</v>
      </c>
    </row>
    <row r="42" spans="1:38" x14ac:dyDescent="0.25">
      <c r="A42" s="2" t="s">
        <v>668</v>
      </c>
      <c r="M42">
        <v>1</v>
      </c>
      <c r="AL42">
        <v>1</v>
      </c>
    </row>
    <row r="43" spans="1:38" x14ac:dyDescent="0.25">
      <c r="A43" s="2" t="s">
        <v>335</v>
      </c>
      <c r="C43">
        <v>1</v>
      </c>
      <c r="E43">
        <v>1</v>
      </c>
      <c r="H43">
        <v>1</v>
      </c>
      <c r="I43">
        <v>1</v>
      </c>
      <c r="J43">
        <v>1</v>
      </c>
      <c r="N43">
        <v>1</v>
      </c>
      <c r="AK43">
        <v>1</v>
      </c>
      <c r="AL43">
        <v>7</v>
      </c>
    </row>
    <row r="44" spans="1:38" x14ac:dyDescent="0.25">
      <c r="A44" s="2" t="s">
        <v>18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33</v>
      </c>
    </row>
    <row r="45" spans="1:38" x14ac:dyDescent="0.25">
      <c r="A45" s="2" t="s">
        <v>41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X45">
        <v>1</v>
      </c>
      <c r="Y45">
        <v>1</v>
      </c>
      <c r="Z45">
        <v>1</v>
      </c>
      <c r="AA45">
        <v>1</v>
      </c>
      <c r="AB45">
        <v>1</v>
      </c>
      <c r="AD45">
        <v>1</v>
      </c>
      <c r="AF45">
        <v>1</v>
      </c>
      <c r="AH45">
        <v>1</v>
      </c>
      <c r="AI45">
        <v>1</v>
      </c>
      <c r="AJ45">
        <v>1</v>
      </c>
      <c r="AK45">
        <v>1</v>
      </c>
      <c r="AL45">
        <v>31</v>
      </c>
    </row>
    <row r="46" spans="1:38" x14ac:dyDescent="0.25">
      <c r="A46" s="2" t="s">
        <v>267</v>
      </c>
      <c r="C46">
        <v>1</v>
      </c>
      <c r="F46">
        <v>1</v>
      </c>
      <c r="G46">
        <v>1</v>
      </c>
      <c r="H46">
        <v>1</v>
      </c>
      <c r="I46">
        <v>1</v>
      </c>
      <c r="O46">
        <v>1</v>
      </c>
      <c r="Q46">
        <v>1</v>
      </c>
      <c r="X46">
        <v>1</v>
      </c>
      <c r="AF46">
        <v>1</v>
      </c>
      <c r="AK46">
        <v>1</v>
      </c>
      <c r="AL46">
        <v>10</v>
      </c>
    </row>
    <row r="47" spans="1:38" x14ac:dyDescent="0.25">
      <c r="A47" s="2" t="s">
        <v>506</v>
      </c>
      <c r="B47">
        <v>1</v>
      </c>
      <c r="C47">
        <v>1</v>
      </c>
      <c r="E47">
        <v>1</v>
      </c>
      <c r="M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9</v>
      </c>
    </row>
    <row r="48" spans="1:38" x14ac:dyDescent="0.25">
      <c r="A48" s="2" t="s">
        <v>118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M48">
        <v>1</v>
      </c>
      <c r="Q48">
        <v>1</v>
      </c>
      <c r="U48">
        <v>1</v>
      </c>
      <c r="W48">
        <v>1</v>
      </c>
      <c r="Z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19</v>
      </c>
    </row>
    <row r="49" spans="1:38" x14ac:dyDescent="0.25">
      <c r="A49" s="2" t="s">
        <v>383</v>
      </c>
      <c r="C49">
        <v>1</v>
      </c>
      <c r="D49">
        <v>1</v>
      </c>
      <c r="F49">
        <v>1</v>
      </c>
      <c r="G49">
        <v>1</v>
      </c>
      <c r="H49">
        <v>1</v>
      </c>
      <c r="I49">
        <v>1</v>
      </c>
      <c r="K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12</v>
      </c>
    </row>
    <row r="50" spans="1:38" x14ac:dyDescent="0.25">
      <c r="A50" s="2" t="s">
        <v>60</v>
      </c>
      <c r="C50">
        <v>1</v>
      </c>
      <c r="E50">
        <v>1</v>
      </c>
      <c r="G50">
        <v>1</v>
      </c>
      <c r="H50">
        <v>1</v>
      </c>
      <c r="K50">
        <v>1</v>
      </c>
      <c r="L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Z50">
        <v>1</v>
      </c>
      <c r="AC50">
        <v>1</v>
      </c>
      <c r="AI50">
        <v>1</v>
      </c>
      <c r="AJ50">
        <v>1</v>
      </c>
      <c r="AK50">
        <v>1</v>
      </c>
      <c r="AL50">
        <v>20</v>
      </c>
    </row>
    <row r="51" spans="1:38" x14ac:dyDescent="0.25">
      <c r="A51" s="2" t="s">
        <v>236</v>
      </c>
      <c r="E51">
        <v>1</v>
      </c>
      <c r="F51">
        <v>1</v>
      </c>
      <c r="S51">
        <v>1</v>
      </c>
      <c r="AG51">
        <v>1</v>
      </c>
      <c r="AK51">
        <v>1</v>
      </c>
      <c r="AL51">
        <v>5</v>
      </c>
    </row>
    <row r="52" spans="1:38" x14ac:dyDescent="0.25">
      <c r="A52" s="2" t="s">
        <v>592</v>
      </c>
      <c r="B52">
        <v>1</v>
      </c>
      <c r="AK52">
        <v>1</v>
      </c>
      <c r="AL52">
        <v>2</v>
      </c>
    </row>
    <row r="53" spans="1:38" x14ac:dyDescent="0.25">
      <c r="A53" s="2" t="s">
        <v>20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D53">
        <v>1</v>
      </c>
      <c r="AE53">
        <v>1</v>
      </c>
      <c r="AF53">
        <v>1</v>
      </c>
      <c r="AH53">
        <v>1</v>
      </c>
      <c r="AI53">
        <v>1</v>
      </c>
      <c r="AJ53">
        <v>1</v>
      </c>
      <c r="AK53">
        <v>1</v>
      </c>
      <c r="AL53">
        <v>33</v>
      </c>
    </row>
    <row r="54" spans="1:38" x14ac:dyDescent="0.25">
      <c r="A54" s="2" t="s">
        <v>540</v>
      </c>
      <c r="C54">
        <v>1</v>
      </c>
      <c r="D54">
        <v>1</v>
      </c>
      <c r="AH54">
        <v>1</v>
      </c>
      <c r="AI54">
        <v>1</v>
      </c>
      <c r="AK54">
        <v>1</v>
      </c>
      <c r="AL54">
        <v>5</v>
      </c>
    </row>
    <row r="55" spans="1:38" x14ac:dyDescent="0.25">
      <c r="A55" s="2" t="s">
        <v>43</v>
      </c>
      <c r="B55">
        <v>1</v>
      </c>
      <c r="G55">
        <v>1</v>
      </c>
      <c r="H55">
        <v>1</v>
      </c>
      <c r="I55">
        <v>1</v>
      </c>
      <c r="J55">
        <v>1</v>
      </c>
      <c r="K55">
        <v>1</v>
      </c>
      <c r="M55">
        <v>1</v>
      </c>
      <c r="O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C55">
        <v>1</v>
      </c>
      <c r="AD55">
        <v>1</v>
      </c>
      <c r="AJ55">
        <v>1</v>
      </c>
      <c r="AL55">
        <v>17</v>
      </c>
    </row>
    <row r="56" spans="1:38" x14ac:dyDescent="0.25">
      <c r="A56" s="2" t="s">
        <v>223</v>
      </c>
      <c r="T56">
        <v>1</v>
      </c>
      <c r="AL56">
        <v>1</v>
      </c>
    </row>
    <row r="57" spans="1:38" x14ac:dyDescent="0.25">
      <c r="A57" s="2" t="s">
        <v>122</v>
      </c>
      <c r="Z57">
        <v>1</v>
      </c>
      <c r="AL57">
        <v>1</v>
      </c>
    </row>
    <row r="58" spans="1:38" x14ac:dyDescent="0.25">
      <c r="A58" s="2" t="s">
        <v>44</v>
      </c>
      <c r="H58">
        <v>1</v>
      </c>
      <c r="I58">
        <v>1</v>
      </c>
      <c r="L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L58">
        <v>19</v>
      </c>
    </row>
    <row r="59" spans="1:38" x14ac:dyDescent="0.25">
      <c r="A59" s="2" t="s">
        <v>671</v>
      </c>
      <c r="M59">
        <v>1</v>
      </c>
      <c r="AL59">
        <v>1</v>
      </c>
    </row>
    <row r="60" spans="1:38" x14ac:dyDescent="0.25">
      <c r="A60" s="2" t="s">
        <v>99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M60">
        <v>1</v>
      </c>
      <c r="P60">
        <v>1</v>
      </c>
      <c r="Q60">
        <v>1</v>
      </c>
      <c r="R60">
        <v>1</v>
      </c>
      <c r="X60">
        <v>1</v>
      </c>
      <c r="Y60">
        <v>1</v>
      </c>
      <c r="AA60">
        <v>1</v>
      </c>
      <c r="AF60">
        <v>1</v>
      </c>
      <c r="AH60">
        <v>1</v>
      </c>
      <c r="AI60">
        <v>1</v>
      </c>
      <c r="AJ60">
        <v>1</v>
      </c>
      <c r="AK60">
        <v>1</v>
      </c>
      <c r="AL60">
        <v>18</v>
      </c>
    </row>
    <row r="61" spans="1:38" x14ac:dyDescent="0.25">
      <c r="A61" s="2" t="s">
        <v>156</v>
      </c>
      <c r="B61">
        <v>1</v>
      </c>
      <c r="C61">
        <v>1</v>
      </c>
      <c r="D61">
        <v>1</v>
      </c>
      <c r="F61">
        <v>1</v>
      </c>
      <c r="G61">
        <v>1</v>
      </c>
      <c r="I61">
        <v>1</v>
      </c>
      <c r="J61">
        <v>1</v>
      </c>
      <c r="L61">
        <v>1</v>
      </c>
      <c r="M61">
        <v>1</v>
      </c>
      <c r="O61">
        <v>1</v>
      </c>
      <c r="P61">
        <v>1</v>
      </c>
      <c r="Q61">
        <v>1</v>
      </c>
      <c r="R61">
        <v>1</v>
      </c>
      <c r="X61">
        <v>1</v>
      </c>
      <c r="Y61">
        <v>1</v>
      </c>
      <c r="AF61">
        <v>1</v>
      </c>
      <c r="AI61">
        <v>1</v>
      </c>
      <c r="AJ61">
        <v>1</v>
      </c>
      <c r="AK61">
        <v>1</v>
      </c>
      <c r="AL61">
        <v>19</v>
      </c>
    </row>
    <row r="62" spans="1:38" x14ac:dyDescent="0.25">
      <c r="A62" s="2" t="s">
        <v>384</v>
      </c>
      <c r="B62">
        <v>1</v>
      </c>
      <c r="C62">
        <v>1</v>
      </c>
      <c r="D62">
        <v>1</v>
      </c>
      <c r="K62">
        <v>1</v>
      </c>
      <c r="X62">
        <v>1</v>
      </c>
      <c r="AF62">
        <v>1</v>
      </c>
      <c r="AJ62">
        <v>1</v>
      </c>
      <c r="AL62">
        <v>7</v>
      </c>
    </row>
    <row r="63" spans="1:38" x14ac:dyDescent="0.25">
      <c r="A63" s="2" t="s">
        <v>238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O63">
        <v>1</v>
      </c>
      <c r="Q63">
        <v>1</v>
      </c>
      <c r="S63">
        <v>1</v>
      </c>
      <c r="X63">
        <v>1</v>
      </c>
      <c r="AF63">
        <v>1</v>
      </c>
      <c r="AH63">
        <v>1</v>
      </c>
      <c r="AI63">
        <v>1</v>
      </c>
      <c r="AJ63">
        <v>1</v>
      </c>
      <c r="AK63">
        <v>1</v>
      </c>
      <c r="AL63">
        <v>21</v>
      </c>
    </row>
    <row r="64" spans="1:38" x14ac:dyDescent="0.25">
      <c r="A64" s="2" t="s">
        <v>22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35</v>
      </c>
    </row>
    <row r="65" spans="1:38" x14ac:dyDescent="0.25">
      <c r="A65" s="2" t="s">
        <v>61</v>
      </c>
      <c r="B65">
        <v>1</v>
      </c>
      <c r="C65">
        <v>1</v>
      </c>
      <c r="D65">
        <v>1</v>
      </c>
      <c r="I65">
        <v>1</v>
      </c>
      <c r="K65">
        <v>1</v>
      </c>
      <c r="M65">
        <v>1</v>
      </c>
      <c r="O65">
        <v>1</v>
      </c>
      <c r="U65">
        <v>1</v>
      </c>
      <c r="X65">
        <v>1</v>
      </c>
      <c r="Y65">
        <v>1</v>
      </c>
      <c r="Z65">
        <v>1</v>
      </c>
      <c r="AB65">
        <v>1</v>
      </c>
      <c r="AC65">
        <v>1</v>
      </c>
      <c r="AH65">
        <v>1</v>
      </c>
      <c r="AI65">
        <v>1</v>
      </c>
      <c r="AJ65">
        <v>1</v>
      </c>
      <c r="AL65">
        <v>16</v>
      </c>
    </row>
    <row r="66" spans="1:38" x14ac:dyDescent="0.25">
      <c r="A66" s="2" t="s">
        <v>412</v>
      </c>
      <c r="I66">
        <v>1</v>
      </c>
      <c r="AK66">
        <v>1</v>
      </c>
      <c r="AL66">
        <v>2</v>
      </c>
    </row>
    <row r="67" spans="1:38" x14ac:dyDescent="0.25">
      <c r="A67" s="2" t="s">
        <v>46</v>
      </c>
      <c r="B67">
        <v>1</v>
      </c>
      <c r="C67">
        <v>1</v>
      </c>
      <c r="D67">
        <v>1</v>
      </c>
      <c r="F67">
        <v>1</v>
      </c>
      <c r="G67">
        <v>1</v>
      </c>
      <c r="H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33</v>
      </c>
    </row>
    <row r="68" spans="1:38" x14ac:dyDescent="0.25">
      <c r="A68" s="2" t="s">
        <v>596</v>
      </c>
      <c r="AK68">
        <v>1</v>
      </c>
      <c r="AL68">
        <v>1</v>
      </c>
    </row>
    <row r="69" spans="1:38" x14ac:dyDescent="0.25">
      <c r="A69" s="2" t="s">
        <v>100</v>
      </c>
      <c r="B69">
        <v>1</v>
      </c>
      <c r="C69">
        <v>1</v>
      </c>
      <c r="D69">
        <v>1</v>
      </c>
      <c r="E69">
        <v>1</v>
      </c>
      <c r="H69">
        <v>1</v>
      </c>
      <c r="I69">
        <v>1</v>
      </c>
      <c r="J69">
        <v>1</v>
      </c>
      <c r="Q69">
        <v>1</v>
      </c>
      <c r="U69">
        <v>1</v>
      </c>
      <c r="X69">
        <v>1</v>
      </c>
      <c r="Y69">
        <v>1</v>
      </c>
      <c r="AA69">
        <v>1</v>
      </c>
      <c r="AF69">
        <v>1</v>
      </c>
      <c r="AG69">
        <v>1</v>
      </c>
      <c r="AH69">
        <v>1</v>
      </c>
      <c r="AL69">
        <v>15</v>
      </c>
    </row>
    <row r="70" spans="1:38" x14ac:dyDescent="0.25">
      <c r="A70" s="2" t="s">
        <v>23</v>
      </c>
      <c r="B70">
        <v>1</v>
      </c>
      <c r="C70">
        <v>1</v>
      </c>
      <c r="D70">
        <v>1</v>
      </c>
      <c r="E70">
        <v>1</v>
      </c>
      <c r="F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R70">
        <v>1</v>
      </c>
      <c r="S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D70">
        <v>1</v>
      </c>
      <c r="AE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29</v>
      </c>
    </row>
    <row r="71" spans="1:38" x14ac:dyDescent="0.25">
      <c r="A71" s="2" t="s">
        <v>511</v>
      </c>
      <c r="C71">
        <v>1</v>
      </c>
      <c r="D71">
        <v>1</v>
      </c>
      <c r="E71">
        <v>1</v>
      </c>
      <c r="M71">
        <v>1</v>
      </c>
      <c r="X71">
        <v>1</v>
      </c>
      <c r="AF71">
        <v>1</v>
      </c>
      <c r="AH71">
        <v>1</v>
      </c>
      <c r="AJ71">
        <v>1</v>
      </c>
      <c r="AK71">
        <v>1</v>
      </c>
      <c r="AL71">
        <v>9</v>
      </c>
    </row>
    <row r="72" spans="1:38" x14ac:dyDescent="0.25">
      <c r="A72" s="2" t="s">
        <v>49</v>
      </c>
      <c r="C72">
        <v>1</v>
      </c>
      <c r="E72">
        <v>1</v>
      </c>
      <c r="I72">
        <v>1</v>
      </c>
      <c r="J72">
        <v>1</v>
      </c>
      <c r="Q72">
        <v>1</v>
      </c>
      <c r="R72">
        <v>1</v>
      </c>
      <c r="S72">
        <v>1</v>
      </c>
      <c r="T72">
        <v>1</v>
      </c>
      <c r="U72">
        <v>1</v>
      </c>
      <c r="X72">
        <v>1</v>
      </c>
      <c r="Y72">
        <v>1</v>
      </c>
      <c r="AD72">
        <v>1</v>
      </c>
      <c r="AF72">
        <v>1</v>
      </c>
      <c r="AH72">
        <v>1</v>
      </c>
      <c r="AI72">
        <v>1</v>
      </c>
      <c r="AJ72">
        <v>1</v>
      </c>
      <c r="AK72">
        <v>1</v>
      </c>
      <c r="AL72">
        <v>17</v>
      </c>
    </row>
    <row r="73" spans="1:38" x14ac:dyDescent="0.25">
      <c r="A73" s="2" t="s">
        <v>78</v>
      </c>
      <c r="L73">
        <v>1</v>
      </c>
      <c r="N73">
        <v>1</v>
      </c>
      <c r="Y73">
        <v>1</v>
      </c>
      <c r="Z73">
        <v>1</v>
      </c>
      <c r="AB73">
        <v>1</v>
      </c>
      <c r="AL73">
        <v>5</v>
      </c>
    </row>
    <row r="74" spans="1:38" x14ac:dyDescent="0.25">
      <c r="A74" s="2" t="s">
        <v>268</v>
      </c>
      <c r="B74">
        <v>1</v>
      </c>
      <c r="C74">
        <v>1</v>
      </c>
      <c r="D74">
        <v>1</v>
      </c>
      <c r="E74">
        <v>1</v>
      </c>
      <c r="G74">
        <v>1</v>
      </c>
      <c r="J74">
        <v>1</v>
      </c>
      <c r="K74">
        <v>1</v>
      </c>
      <c r="L74">
        <v>1</v>
      </c>
      <c r="Q74">
        <v>1</v>
      </c>
      <c r="X74">
        <v>1</v>
      </c>
      <c r="AI74">
        <v>1</v>
      </c>
      <c r="AJ74">
        <v>1</v>
      </c>
      <c r="AK74">
        <v>1</v>
      </c>
      <c r="AL74">
        <v>13</v>
      </c>
    </row>
    <row r="75" spans="1:38" x14ac:dyDescent="0.25">
      <c r="A75" s="2" t="s">
        <v>243</v>
      </c>
      <c r="B75">
        <v>1</v>
      </c>
      <c r="S75">
        <v>1</v>
      </c>
      <c r="AL75">
        <v>2</v>
      </c>
    </row>
    <row r="76" spans="1:38" x14ac:dyDescent="0.25">
      <c r="A76" s="2" t="s">
        <v>129</v>
      </c>
      <c r="Z76">
        <v>1</v>
      </c>
      <c r="AJ76">
        <v>1</v>
      </c>
      <c r="AL76">
        <v>2</v>
      </c>
    </row>
    <row r="77" spans="1:38" x14ac:dyDescent="0.25">
      <c r="A77" s="2" t="s">
        <v>200</v>
      </c>
      <c r="K77">
        <v>1</v>
      </c>
      <c r="L77">
        <v>1</v>
      </c>
      <c r="O77">
        <v>1</v>
      </c>
      <c r="Q77">
        <v>1</v>
      </c>
      <c r="T77">
        <v>1</v>
      </c>
      <c r="V77">
        <v>1</v>
      </c>
      <c r="AL77">
        <v>6</v>
      </c>
    </row>
    <row r="78" spans="1:38" x14ac:dyDescent="0.25">
      <c r="A78" s="2" t="s">
        <v>25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N78">
        <v>1</v>
      </c>
      <c r="O78">
        <v>1</v>
      </c>
      <c r="P78">
        <v>1</v>
      </c>
      <c r="Q78">
        <v>1</v>
      </c>
      <c r="R78">
        <v>1</v>
      </c>
      <c r="T78">
        <v>1</v>
      </c>
      <c r="U78">
        <v>1</v>
      </c>
      <c r="V78">
        <v>1</v>
      </c>
      <c r="W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L78">
        <v>26</v>
      </c>
    </row>
    <row r="79" spans="1:38" x14ac:dyDescent="0.25">
      <c r="A79" s="2" t="s">
        <v>546</v>
      </c>
      <c r="B79">
        <v>1</v>
      </c>
      <c r="C79">
        <v>1</v>
      </c>
      <c r="D79">
        <v>1</v>
      </c>
      <c r="M79">
        <v>1</v>
      </c>
      <c r="AI79">
        <v>1</v>
      </c>
      <c r="AJ79">
        <v>1</v>
      </c>
      <c r="AL79">
        <v>6</v>
      </c>
    </row>
    <row r="80" spans="1:38" x14ac:dyDescent="0.25">
      <c r="A80" s="2" t="s">
        <v>193</v>
      </c>
      <c r="B80">
        <v>1</v>
      </c>
      <c r="C80">
        <v>1</v>
      </c>
      <c r="D80">
        <v>1</v>
      </c>
      <c r="E80">
        <v>1</v>
      </c>
      <c r="G80">
        <v>1</v>
      </c>
      <c r="H80">
        <v>1</v>
      </c>
      <c r="I80">
        <v>1</v>
      </c>
      <c r="J80">
        <v>1</v>
      </c>
      <c r="M80">
        <v>1</v>
      </c>
      <c r="P80">
        <v>1</v>
      </c>
      <c r="U80">
        <v>1</v>
      </c>
      <c r="W80">
        <v>1</v>
      </c>
      <c r="AF80">
        <v>1</v>
      </c>
      <c r="AH80">
        <v>1</v>
      </c>
      <c r="AK80">
        <v>1</v>
      </c>
      <c r="AL80">
        <v>15</v>
      </c>
    </row>
    <row r="81" spans="1:38" x14ac:dyDescent="0.25">
      <c r="A81" s="2" t="s">
        <v>213</v>
      </c>
      <c r="C81">
        <v>1</v>
      </c>
      <c r="G81">
        <v>1</v>
      </c>
      <c r="H81">
        <v>1</v>
      </c>
      <c r="I81">
        <v>1</v>
      </c>
      <c r="M81">
        <v>1</v>
      </c>
      <c r="U81">
        <v>1</v>
      </c>
      <c r="X81">
        <v>1</v>
      </c>
      <c r="AH81">
        <v>1</v>
      </c>
      <c r="AK81">
        <v>1</v>
      </c>
      <c r="AL81">
        <v>9</v>
      </c>
    </row>
    <row r="82" spans="1:38" x14ac:dyDescent="0.25">
      <c r="A82" s="2" t="s">
        <v>50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K82">
        <v>1</v>
      </c>
      <c r="L82">
        <v>1</v>
      </c>
      <c r="M82">
        <v>1</v>
      </c>
      <c r="O82">
        <v>1</v>
      </c>
      <c r="P82">
        <v>1</v>
      </c>
      <c r="Q82">
        <v>1</v>
      </c>
      <c r="S82">
        <v>1</v>
      </c>
      <c r="T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F82">
        <v>1</v>
      </c>
      <c r="AH82">
        <v>1</v>
      </c>
      <c r="AI82">
        <v>1</v>
      </c>
      <c r="AJ82">
        <v>1</v>
      </c>
      <c r="AK82">
        <v>1</v>
      </c>
      <c r="AL82">
        <v>30</v>
      </c>
    </row>
    <row r="83" spans="1:38" x14ac:dyDescent="0.25">
      <c r="A83" s="2" t="s">
        <v>570</v>
      </c>
      <c r="B83">
        <v>1</v>
      </c>
      <c r="C83">
        <v>1</v>
      </c>
      <c r="M83">
        <v>1</v>
      </c>
      <c r="X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10</v>
      </c>
    </row>
    <row r="84" spans="1:38" x14ac:dyDescent="0.25">
      <c r="A84" s="2" t="s">
        <v>62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M84">
        <v>1</v>
      </c>
      <c r="N84">
        <v>1</v>
      </c>
      <c r="O84">
        <v>1</v>
      </c>
      <c r="P84">
        <v>1</v>
      </c>
      <c r="Q84">
        <v>1</v>
      </c>
      <c r="S84">
        <v>1</v>
      </c>
      <c r="U84">
        <v>1</v>
      </c>
      <c r="X84">
        <v>1</v>
      </c>
      <c r="Y84">
        <v>1</v>
      </c>
      <c r="AB84">
        <v>1</v>
      </c>
      <c r="AC84">
        <v>1</v>
      </c>
      <c r="AF84">
        <v>1</v>
      </c>
      <c r="AH84">
        <v>1</v>
      </c>
      <c r="AI84">
        <v>1</v>
      </c>
      <c r="AJ84">
        <v>1</v>
      </c>
      <c r="AK84">
        <v>1</v>
      </c>
      <c r="AL84">
        <v>26</v>
      </c>
    </row>
    <row r="85" spans="1:38" x14ac:dyDescent="0.25">
      <c r="A85" s="2" t="s">
        <v>483</v>
      </c>
      <c r="F85">
        <v>1</v>
      </c>
      <c r="AL85">
        <v>1</v>
      </c>
    </row>
    <row r="86" spans="1:38" x14ac:dyDescent="0.25">
      <c r="A86" s="2" t="s">
        <v>516</v>
      </c>
      <c r="B86">
        <v>1</v>
      </c>
      <c r="E86">
        <v>1</v>
      </c>
      <c r="M86">
        <v>1</v>
      </c>
      <c r="X86">
        <v>1</v>
      </c>
      <c r="AF86">
        <v>1</v>
      </c>
      <c r="AL86">
        <v>5</v>
      </c>
    </row>
    <row r="87" spans="1:38" x14ac:dyDescent="0.25">
      <c r="A87" s="2" t="s">
        <v>315</v>
      </c>
      <c r="O87">
        <v>1</v>
      </c>
      <c r="AL87">
        <v>1</v>
      </c>
    </row>
    <row r="88" spans="1:38" x14ac:dyDescent="0.25">
      <c r="A88" s="2" t="s">
        <v>51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M88">
        <v>1</v>
      </c>
      <c r="P88">
        <v>1</v>
      </c>
      <c r="R88">
        <v>1</v>
      </c>
      <c r="S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C88">
        <v>1</v>
      </c>
      <c r="AD88">
        <v>1</v>
      </c>
      <c r="AF88">
        <v>1</v>
      </c>
      <c r="AJ88">
        <v>1</v>
      </c>
      <c r="AL88">
        <v>25</v>
      </c>
    </row>
    <row r="89" spans="1:38" x14ac:dyDescent="0.25">
      <c r="A89" s="2" t="s">
        <v>82</v>
      </c>
      <c r="L89">
        <v>1</v>
      </c>
      <c r="N89">
        <v>1</v>
      </c>
      <c r="AB89">
        <v>1</v>
      </c>
      <c r="AI89">
        <v>1</v>
      </c>
      <c r="AK89">
        <v>1</v>
      </c>
      <c r="AL89">
        <v>5</v>
      </c>
    </row>
    <row r="90" spans="1:38" x14ac:dyDescent="0.25">
      <c r="A90" s="2" t="s">
        <v>83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Y90">
        <v>1</v>
      </c>
      <c r="Z90">
        <v>1</v>
      </c>
      <c r="AA90">
        <v>1</v>
      </c>
      <c r="AB90">
        <v>1</v>
      </c>
      <c r="AH90">
        <v>1</v>
      </c>
      <c r="AI90">
        <v>1</v>
      </c>
      <c r="AJ90">
        <v>1</v>
      </c>
      <c r="AK90">
        <v>1</v>
      </c>
      <c r="AL90">
        <v>29</v>
      </c>
    </row>
    <row r="91" spans="1:38" x14ac:dyDescent="0.25">
      <c r="A91" s="2" t="s">
        <v>706</v>
      </c>
      <c r="B91">
        <v>1</v>
      </c>
      <c r="AL91">
        <v>1</v>
      </c>
    </row>
    <row r="92" spans="1:38" x14ac:dyDescent="0.25">
      <c r="A92" s="2" t="s">
        <v>261</v>
      </c>
      <c r="I92">
        <v>1</v>
      </c>
      <c r="J92">
        <v>1</v>
      </c>
      <c r="K92">
        <v>1</v>
      </c>
      <c r="L92">
        <v>1</v>
      </c>
      <c r="N92">
        <v>1</v>
      </c>
      <c r="O92">
        <v>1</v>
      </c>
      <c r="R92">
        <v>1</v>
      </c>
      <c r="AL92">
        <v>7</v>
      </c>
    </row>
    <row r="93" spans="1:38" x14ac:dyDescent="0.25">
      <c r="A93" s="2" t="s">
        <v>549</v>
      </c>
      <c r="C93">
        <v>1</v>
      </c>
      <c r="D93">
        <v>1</v>
      </c>
      <c r="X93">
        <v>1</v>
      </c>
      <c r="AF93">
        <v>1</v>
      </c>
      <c r="AH93">
        <v>1</v>
      </c>
      <c r="AI93">
        <v>1</v>
      </c>
      <c r="AJ93">
        <v>1</v>
      </c>
      <c r="AK93">
        <v>1</v>
      </c>
      <c r="AL93">
        <v>8</v>
      </c>
    </row>
    <row r="94" spans="1:38" x14ac:dyDescent="0.25">
      <c r="A94" s="2" t="s">
        <v>85</v>
      </c>
      <c r="B94">
        <v>1</v>
      </c>
      <c r="E94">
        <v>1</v>
      </c>
      <c r="F94">
        <v>1</v>
      </c>
      <c r="G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U94">
        <v>1</v>
      </c>
      <c r="V94">
        <v>1</v>
      </c>
      <c r="Y94">
        <v>1</v>
      </c>
      <c r="Z94">
        <v>1</v>
      </c>
      <c r="AB94">
        <v>1</v>
      </c>
      <c r="AL94">
        <v>20</v>
      </c>
    </row>
    <row r="95" spans="1:38" x14ac:dyDescent="0.25">
      <c r="A95" s="2" t="s">
        <v>134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Z95">
        <v>1</v>
      </c>
      <c r="AL95">
        <v>9</v>
      </c>
    </row>
    <row r="96" spans="1:38" x14ac:dyDescent="0.25">
      <c r="A96" s="2" t="s">
        <v>101</v>
      </c>
      <c r="H96">
        <v>1</v>
      </c>
      <c r="J96">
        <v>1</v>
      </c>
      <c r="N96">
        <v>1</v>
      </c>
      <c r="Y96">
        <v>1</v>
      </c>
      <c r="AA96">
        <v>1</v>
      </c>
      <c r="AF96">
        <v>1</v>
      </c>
      <c r="AH96">
        <v>1</v>
      </c>
      <c r="AL96">
        <v>7</v>
      </c>
    </row>
    <row r="97" spans="1:38" x14ac:dyDescent="0.25">
      <c r="A97" s="2" t="s">
        <v>53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D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34</v>
      </c>
    </row>
    <row r="98" spans="1:38" x14ac:dyDescent="0.25">
      <c r="A98" s="2" t="s">
        <v>651</v>
      </c>
      <c r="AF98">
        <v>1</v>
      </c>
      <c r="AL98">
        <v>1</v>
      </c>
    </row>
    <row r="99" spans="1:38" x14ac:dyDescent="0.25">
      <c r="A99" s="2" t="s">
        <v>262</v>
      </c>
      <c r="B99">
        <v>1</v>
      </c>
      <c r="E99">
        <v>1</v>
      </c>
      <c r="G99">
        <v>1</v>
      </c>
      <c r="H99">
        <v>1</v>
      </c>
      <c r="I99">
        <v>1</v>
      </c>
      <c r="Q99">
        <v>1</v>
      </c>
      <c r="R99">
        <v>1</v>
      </c>
      <c r="X99">
        <v>1</v>
      </c>
      <c r="AH99">
        <v>1</v>
      </c>
      <c r="AI99">
        <v>1</v>
      </c>
      <c r="AK99">
        <v>1</v>
      </c>
      <c r="AL99">
        <v>11</v>
      </c>
    </row>
    <row r="100" spans="1:38" x14ac:dyDescent="0.25">
      <c r="A100" s="2" t="s">
        <v>54</v>
      </c>
      <c r="B100">
        <v>1</v>
      </c>
      <c r="C100">
        <v>1</v>
      </c>
      <c r="D100">
        <v>1</v>
      </c>
      <c r="G100">
        <v>1</v>
      </c>
      <c r="M100">
        <v>1</v>
      </c>
      <c r="Q100">
        <v>1</v>
      </c>
      <c r="X100">
        <v>1</v>
      </c>
      <c r="Y100">
        <v>1</v>
      </c>
      <c r="AA100">
        <v>1</v>
      </c>
      <c r="AB100">
        <v>1</v>
      </c>
      <c r="AD100">
        <v>1</v>
      </c>
      <c r="AF100">
        <v>1</v>
      </c>
      <c r="AH100">
        <v>1</v>
      </c>
      <c r="AL100">
        <v>13</v>
      </c>
    </row>
    <row r="101" spans="1:38" x14ac:dyDescent="0.25">
      <c r="A101" s="2" t="s">
        <v>470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M101">
        <v>1</v>
      </c>
      <c r="X101">
        <v>1</v>
      </c>
      <c r="AF101">
        <v>1</v>
      </c>
      <c r="AH101">
        <v>1</v>
      </c>
      <c r="AI101">
        <v>1</v>
      </c>
      <c r="AJ101">
        <v>1</v>
      </c>
      <c r="AK101">
        <v>1</v>
      </c>
      <c r="AL101">
        <v>13</v>
      </c>
    </row>
    <row r="102" spans="1:38" x14ac:dyDescent="0.25">
      <c r="A102" s="2" t="s">
        <v>397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J102">
        <v>1</v>
      </c>
      <c r="M102">
        <v>1</v>
      </c>
      <c r="X102">
        <v>1</v>
      </c>
      <c r="AF102">
        <v>1</v>
      </c>
      <c r="AH102">
        <v>1</v>
      </c>
      <c r="AI102">
        <v>1</v>
      </c>
      <c r="AJ102">
        <v>1</v>
      </c>
      <c r="AK102">
        <v>1</v>
      </c>
      <c r="AL102">
        <v>14</v>
      </c>
    </row>
    <row r="103" spans="1:38" x14ac:dyDescent="0.25">
      <c r="A103" s="2" t="s">
        <v>575</v>
      </c>
      <c r="C103">
        <v>1</v>
      </c>
      <c r="AL103">
        <v>1</v>
      </c>
    </row>
    <row r="104" spans="1:38" x14ac:dyDescent="0.25">
      <c r="A104" s="2" t="s">
        <v>486</v>
      </c>
      <c r="E104">
        <v>1</v>
      </c>
      <c r="F104">
        <v>1</v>
      </c>
      <c r="AL104">
        <v>2</v>
      </c>
    </row>
    <row r="105" spans="1:38" x14ac:dyDescent="0.25">
      <c r="A105" s="2" t="s">
        <v>89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L105">
        <v>1</v>
      </c>
      <c r="M105">
        <v>1</v>
      </c>
      <c r="R105">
        <v>1</v>
      </c>
      <c r="S105">
        <v>1</v>
      </c>
      <c r="T105">
        <v>1</v>
      </c>
      <c r="X105">
        <v>1</v>
      </c>
      <c r="Z105">
        <v>1</v>
      </c>
      <c r="AB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22</v>
      </c>
    </row>
    <row r="106" spans="1:38" x14ac:dyDescent="0.25">
      <c r="A106" s="2" t="s">
        <v>138</v>
      </c>
      <c r="C106">
        <v>1</v>
      </c>
      <c r="E106">
        <v>1</v>
      </c>
      <c r="F106">
        <v>1</v>
      </c>
      <c r="G106">
        <v>1</v>
      </c>
      <c r="H106">
        <v>1</v>
      </c>
      <c r="T106">
        <v>1</v>
      </c>
      <c r="Z106">
        <v>1</v>
      </c>
      <c r="AI106">
        <v>1</v>
      </c>
      <c r="AK106">
        <v>1</v>
      </c>
      <c r="AL106">
        <v>9</v>
      </c>
    </row>
    <row r="107" spans="1:38" x14ac:dyDescent="0.25">
      <c r="A107" s="2" t="s">
        <v>348</v>
      </c>
      <c r="B107">
        <v>1</v>
      </c>
      <c r="C107">
        <v>1</v>
      </c>
      <c r="E107">
        <v>1</v>
      </c>
      <c r="F107">
        <v>1</v>
      </c>
      <c r="H107">
        <v>1</v>
      </c>
      <c r="I107">
        <v>1</v>
      </c>
      <c r="J107">
        <v>1</v>
      </c>
      <c r="N107">
        <v>1</v>
      </c>
      <c r="X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14</v>
      </c>
    </row>
    <row r="108" spans="1:38" x14ac:dyDescent="0.25">
      <c r="A108" s="2" t="s">
        <v>321</v>
      </c>
      <c r="B108">
        <v>1</v>
      </c>
      <c r="C108">
        <v>1</v>
      </c>
      <c r="D108">
        <v>1</v>
      </c>
      <c r="E108">
        <v>1</v>
      </c>
      <c r="H108">
        <v>1</v>
      </c>
      <c r="I108">
        <v>1</v>
      </c>
      <c r="J108">
        <v>1</v>
      </c>
      <c r="K108">
        <v>1</v>
      </c>
      <c r="M108">
        <v>1</v>
      </c>
      <c r="N108">
        <v>1</v>
      </c>
      <c r="O108">
        <v>1</v>
      </c>
      <c r="X108">
        <v>1</v>
      </c>
      <c r="AF108">
        <v>1</v>
      </c>
      <c r="AH108">
        <v>1</v>
      </c>
      <c r="AJ108">
        <v>1</v>
      </c>
      <c r="AK108">
        <v>1</v>
      </c>
      <c r="AL108">
        <v>16</v>
      </c>
    </row>
    <row r="109" spans="1:38" x14ac:dyDescent="0.25">
      <c r="A109" s="2" t="s">
        <v>27</v>
      </c>
      <c r="E109">
        <v>1</v>
      </c>
      <c r="G109">
        <v>1</v>
      </c>
      <c r="H109">
        <v>1</v>
      </c>
      <c r="I109">
        <v>1</v>
      </c>
      <c r="K109">
        <v>1</v>
      </c>
      <c r="N109">
        <v>1</v>
      </c>
      <c r="Q109">
        <v>1</v>
      </c>
      <c r="R109">
        <v>1</v>
      </c>
      <c r="U109">
        <v>1</v>
      </c>
      <c r="Z109">
        <v>1</v>
      </c>
      <c r="AB109">
        <v>1</v>
      </c>
      <c r="AD109">
        <v>1</v>
      </c>
      <c r="AE109">
        <v>1</v>
      </c>
      <c r="AL109">
        <v>13</v>
      </c>
    </row>
    <row r="110" spans="1:38" x14ac:dyDescent="0.25">
      <c r="A110" s="2" t="s">
        <v>55</v>
      </c>
      <c r="B110">
        <v>1</v>
      </c>
      <c r="E110">
        <v>1</v>
      </c>
      <c r="H110">
        <v>1</v>
      </c>
      <c r="M110">
        <v>1</v>
      </c>
      <c r="S110">
        <v>1</v>
      </c>
      <c r="Y110">
        <v>1</v>
      </c>
      <c r="AD110">
        <v>1</v>
      </c>
      <c r="AH110">
        <v>1</v>
      </c>
      <c r="AL110">
        <v>8</v>
      </c>
    </row>
    <row r="111" spans="1:38" x14ac:dyDescent="0.25">
      <c r="A111" s="2" t="s">
        <v>716</v>
      </c>
      <c r="B111">
        <v>60</v>
      </c>
      <c r="C111">
        <v>58</v>
      </c>
      <c r="D111">
        <v>49</v>
      </c>
      <c r="E111">
        <v>52</v>
      </c>
      <c r="F111">
        <v>40</v>
      </c>
      <c r="G111">
        <v>44</v>
      </c>
      <c r="H111">
        <v>48</v>
      </c>
      <c r="I111">
        <v>53</v>
      </c>
      <c r="J111">
        <v>43</v>
      </c>
      <c r="K111">
        <v>39</v>
      </c>
      <c r="L111">
        <v>35</v>
      </c>
      <c r="M111">
        <v>53</v>
      </c>
      <c r="N111">
        <v>34</v>
      </c>
      <c r="O111">
        <v>38</v>
      </c>
      <c r="P111">
        <v>33</v>
      </c>
      <c r="Q111">
        <v>41</v>
      </c>
      <c r="R111">
        <v>34</v>
      </c>
      <c r="S111">
        <v>32</v>
      </c>
      <c r="T111">
        <v>27</v>
      </c>
      <c r="U111">
        <v>31</v>
      </c>
      <c r="V111">
        <v>25</v>
      </c>
      <c r="W111">
        <v>24</v>
      </c>
      <c r="X111">
        <v>53</v>
      </c>
      <c r="Y111">
        <v>31</v>
      </c>
      <c r="Z111">
        <v>36</v>
      </c>
      <c r="AA111">
        <v>24</v>
      </c>
      <c r="AB111">
        <v>29</v>
      </c>
      <c r="AC111">
        <v>18</v>
      </c>
      <c r="AD111">
        <v>27</v>
      </c>
      <c r="AE111">
        <v>12</v>
      </c>
      <c r="AF111">
        <v>45</v>
      </c>
      <c r="AG111">
        <v>24</v>
      </c>
      <c r="AH111">
        <v>50</v>
      </c>
      <c r="AI111">
        <v>48</v>
      </c>
      <c r="AJ111">
        <v>47</v>
      </c>
      <c r="AK111">
        <v>56</v>
      </c>
      <c r="AL111">
        <v>1393</v>
      </c>
    </row>
    <row r="113" spans="1:38" x14ac:dyDescent="0.25">
      <c r="A113" s="1" t="s">
        <v>719</v>
      </c>
      <c r="B113" s="1" t="s">
        <v>717</v>
      </c>
    </row>
    <row r="114" spans="1:38" x14ac:dyDescent="0.25">
      <c r="A114" s="1" t="s">
        <v>715</v>
      </c>
      <c r="B114" t="s">
        <v>676</v>
      </c>
      <c r="C114" t="s">
        <v>554</v>
      </c>
      <c r="D114" t="s">
        <v>523</v>
      </c>
      <c r="E114" t="s">
        <v>491</v>
      </c>
      <c r="F114" t="s">
        <v>477</v>
      </c>
      <c r="G114" t="s">
        <v>444</v>
      </c>
      <c r="H114" t="s">
        <v>416</v>
      </c>
      <c r="I114" t="s">
        <v>401</v>
      </c>
      <c r="J114" t="s">
        <v>389</v>
      </c>
      <c r="K114" t="s">
        <v>375</v>
      </c>
      <c r="L114" t="s">
        <v>353</v>
      </c>
      <c r="M114" t="s">
        <v>665</v>
      </c>
      <c r="N114" t="s">
        <v>324</v>
      </c>
      <c r="O114" t="s">
        <v>293</v>
      </c>
      <c r="P114" t="s">
        <v>271</v>
      </c>
      <c r="Q114" t="s">
        <v>265</v>
      </c>
      <c r="R114" t="s">
        <v>255</v>
      </c>
      <c r="S114" t="s">
        <v>226</v>
      </c>
      <c r="T114" t="s">
        <v>216</v>
      </c>
      <c r="U114" t="s">
        <v>203</v>
      </c>
      <c r="V114" t="s">
        <v>198</v>
      </c>
      <c r="W114" t="s">
        <v>176</v>
      </c>
      <c r="X114" t="s">
        <v>653</v>
      </c>
      <c r="Y114" t="s">
        <v>143</v>
      </c>
      <c r="Z114" t="s">
        <v>105</v>
      </c>
      <c r="AA114" t="s">
        <v>93</v>
      </c>
      <c r="AB114" t="s">
        <v>65</v>
      </c>
      <c r="AC114" t="s">
        <v>58</v>
      </c>
      <c r="AD114" t="s">
        <v>32</v>
      </c>
      <c r="AE114" t="s">
        <v>8</v>
      </c>
      <c r="AF114" t="s">
        <v>648</v>
      </c>
      <c r="AG114" t="s">
        <v>635</v>
      </c>
      <c r="AH114" t="s">
        <v>618</v>
      </c>
      <c r="AI114" t="s">
        <v>612</v>
      </c>
      <c r="AJ114" t="s">
        <v>603</v>
      </c>
      <c r="AK114" t="s">
        <v>582</v>
      </c>
      <c r="AL114" t="s">
        <v>716</v>
      </c>
    </row>
    <row r="115" spans="1:38" x14ac:dyDescent="0.25">
      <c r="A115" s="2" t="s">
        <v>29</v>
      </c>
      <c r="B115">
        <v>1</v>
      </c>
      <c r="C115">
        <v>1</v>
      </c>
      <c r="E115">
        <v>1</v>
      </c>
      <c r="G115">
        <v>1</v>
      </c>
      <c r="I115">
        <v>1</v>
      </c>
      <c r="J115">
        <v>1</v>
      </c>
      <c r="K115">
        <v>1</v>
      </c>
      <c r="P115">
        <v>1</v>
      </c>
      <c r="Q115">
        <v>1</v>
      </c>
      <c r="U115">
        <v>1</v>
      </c>
      <c r="Y115">
        <v>1</v>
      </c>
      <c r="AD115">
        <v>1</v>
      </c>
      <c r="AI115">
        <v>1</v>
      </c>
      <c r="AL115">
        <v>13</v>
      </c>
    </row>
    <row r="116" spans="1:38" x14ac:dyDescent="0.25">
      <c r="A116" s="2" t="s">
        <v>5</v>
      </c>
      <c r="B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U116">
        <v>1</v>
      </c>
      <c r="V116">
        <v>1</v>
      </c>
      <c r="W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L116">
        <v>25</v>
      </c>
    </row>
    <row r="117" spans="1:38" x14ac:dyDescent="0.25">
      <c r="A117" s="2" t="s">
        <v>9</v>
      </c>
      <c r="C117">
        <v>1</v>
      </c>
      <c r="D117">
        <v>1</v>
      </c>
      <c r="E117">
        <v>1</v>
      </c>
      <c r="F117">
        <v>1</v>
      </c>
      <c r="G117">
        <v>1</v>
      </c>
      <c r="I117">
        <v>1</v>
      </c>
      <c r="J117">
        <v>1</v>
      </c>
      <c r="K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Z117">
        <v>1</v>
      </c>
      <c r="AA117">
        <v>1</v>
      </c>
      <c r="AB117">
        <v>1</v>
      </c>
      <c r="AD117">
        <v>1</v>
      </c>
      <c r="AE117">
        <v>1</v>
      </c>
      <c r="AF117">
        <v>1</v>
      </c>
      <c r="AJ117">
        <v>1</v>
      </c>
      <c r="AK117">
        <v>1</v>
      </c>
      <c r="AL117">
        <v>27</v>
      </c>
    </row>
    <row r="118" spans="1:38" x14ac:dyDescent="0.25">
      <c r="A118" s="2" t="s">
        <v>11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H118">
        <v>1</v>
      </c>
      <c r="AI118">
        <v>1</v>
      </c>
      <c r="AJ118">
        <v>1</v>
      </c>
      <c r="AK118">
        <v>1</v>
      </c>
      <c r="AL118">
        <v>35</v>
      </c>
    </row>
    <row r="119" spans="1:38" x14ac:dyDescent="0.25">
      <c r="A119" s="2" t="s">
        <v>296</v>
      </c>
      <c r="B119">
        <v>1</v>
      </c>
      <c r="C119">
        <v>1</v>
      </c>
      <c r="D119">
        <v>1</v>
      </c>
      <c r="E119">
        <v>1</v>
      </c>
      <c r="H119">
        <v>1</v>
      </c>
      <c r="I119">
        <v>1</v>
      </c>
      <c r="J119">
        <v>1</v>
      </c>
      <c r="M119">
        <v>1</v>
      </c>
      <c r="O119">
        <v>1</v>
      </c>
      <c r="X119">
        <v>1</v>
      </c>
      <c r="AF119">
        <v>1</v>
      </c>
      <c r="AG119">
        <v>1</v>
      </c>
      <c r="AH119">
        <v>1</v>
      </c>
      <c r="AK119">
        <v>1</v>
      </c>
      <c r="AL119">
        <v>14</v>
      </c>
    </row>
    <row r="120" spans="1:38" x14ac:dyDescent="0.25">
      <c r="A120" s="2" t="s">
        <v>13</v>
      </c>
      <c r="R120">
        <v>1</v>
      </c>
      <c r="W120">
        <v>1</v>
      </c>
      <c r="Z120">
        <v>1</v>
      </c>
      <c r="AB120">
        <v>1</v>
      </c>
      <c r="AD120">
        <v>1</v>
      </c>
      <c r="AE120">
        <v>1</v>
      </c>
      <c r="AI120">
        <v>1</v>
      </c>
      <c r="AL120">
        <v>7</v>
      </c>
    </row>
    <row r="121" spans="1:38" x14ac:dyDescent="0.25">
      <c r="A121" s="2" t="s">
        <v>35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X121">
        <v>1</v>
      </c>
      <c r="AA121">
        <v>1</v>
      </c>
      <c r="AB121">
        <v>1</v>
      </c>
      <c r="AC121">
        <v>1</v>
      </c>
      <c r="AD121">
        <v>1</v>
      </c>
      <c r="AF121">
        <v>1</v>
      </c>
      <c r="AH121">
        <v>1</v>
      </c>
      <c r="AI121">
        <v>1</v>
      </c>
      <c r="AJ121">
        <v>1</v>
      </c>
      <c r="AK121">
        <v>1</v>
      </c>
      <c r="AL121">
        <v>29</v>
      </c>
    </row>
    <row r="122" spans="1:38" x14ac:dyDescent="0.25">
      <c r="A122" s="2" t="s">
        <v>636</v>
      </c>
      <c r="M122">
        <v>1</v>
      </c>
      <c r="X122">
        <v>1</v>
      </c>
      <c r="AF122">
        <v>1</v>
      </c>
      <c r="AG122">
        <v>1</v>
      </c>
      <c r="AL122">
        <v>4</v>
      </c>
    </row>
    <row r="123" spans="1:38" x14ac:dyDescent="0.25">
      <c r="A123" s="2" t="s">
        <v>585</v>
      </c>
      <c r="X123">
        <v>1</v>
      </c>
      <c r="AG123">
        <v>1</v>
      </c>
      <c r="AH123">
        <v>1</v>
      </c>
      <c r="AI123">
        <v>1</v>
      </c>
      <c r="AK123">
        <v>1</v>
      </c>
      <c r="AL123">
        <v>5</v>
      </c>
    </row>
    <row r="124" spans="1:38" x14ac:dyDescent="0.25">
      <c r="A124" s="2" t="s">
        <v>379</v>
      </c>
      <c r="K124">
        <v>1</v>
      </c>
      <c r="AL124">
        <v>1</v>
      </c>
    </row>
    <row r="125" spans="1:38" x14ac:dyDescent="0.25">
      <c r="A125" s="2" t="s">
        <v>15</v>
      </c>
      <c r="B125">
        <v>1</v>
      </c>
      <c r="D125">
        <v>1</v>
      </c>
      <c r="F125">
        <v>1</v>
      </c>
      <c r="I125">
        <v>1</v>
      </c>
      <c r="L125">
        <v>1</v>
      </c>
      <c r="M125">
        <v>1</v>
      </c>
      <c r="N125">
        <v>1</v>
      </c>
      <c r="P125">
        <v>1</v>
      </c>
      <c r="Q125">
        <v>1</v>
      </c>
      <c r="V125">
        <v>1</v>
      </c>
      <c r="W125">
        <v>1</v>
      </c>
      <c r="X125">
        <v>1</v>
      </c>
      <c r="Z125">
        <v>1</v>
      </c>
      <c r="AA125">
        <v>1</v>
      </c>
      <c r="AB125">
        <v>1</v>
      </c>
      <c r="AD125">
        <v>1</v>
      </c>
      <c r="AE125">
        <v>1</v>
      </c>
      <c r="AF125">
        <v>1</v>
      </c>
      <c r="AH125">
        <v>1</v>
      </c>
      <c r="AI125">
        <v>1</v>
      </c>
      <c r="AJ125">
        <v>1</v>
      </c>
      <c r="AK125">
        <v>1</v>
      </c>
      <c r="AL125">
        <v>22</v>
      </c>
    </row>
    <row r="126" spans="1:38" x14ac:dyDescent="0.25">
      <c r="A126" s="2" t="s">
        <v>70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F126">
        <v>1</v>
      </c>
      <c r="AH126">
        <v>1</v>
      </c>
      <c r="AK126">
        <v>1</v>
      </c>
      <c r="AL126">
        <v>29</v>
      </c>
    </row>
    <row r="127" spans="1:38" x14ac:dyDescent="0.25">
      <c r="A127" s="2" t="s">
        <v>394</v>
      </c>
      <c r="J127">
        <v>1</v>
      </c>
      <c r="AL127">
        <v>1</v>
      </c>
    </row>
    <row r="128" spans="1:38" x14ac:dyDescent="0.25">
      <c r="A128" s="2" t="s">
        <v>59</v>
      </c>
      <c r="B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K128">
        <v>1</v>
      </c>
      <c r="L128">
        <v>1</v>
      </c>
      <c r="M128">
        <v>1</v>
      </c>
      <c r="N128">
        <v>1</v>
      </c>
      <c r="P128">
        <v>1</v>
      </c>
      <c r="Q128">
        <v>1</v>
      </c>
      <c r="V128">
        <v>1</v>
      </c>
      <c r="X128">
        <v>1</v>
      </c>
      <c r="Y128">
        <v>1</v>
      </c>
      <c r="Z128">
        <v>1</v>
      </c>
      <c r="AC128">
        <v>1</v>
      </c>
      <c r="AF128">
        <v>1</v>
      </c>
      <c r="AG128">
        <v>1</v>
      </c>
      <c r="AI128">
        <v>1</v>
      </c>
      <c r="AJ128">
        <v>1</v>
      </c>
      <c r="AL128">
        <v>22</v>
      </c>
    </row>
    <row r="129" spans="1:38" x14ac:dyDescent="0.25">
      <c r="A129" s="2" t="s">
        <v>97</v>
      </c>
      <c r="E129">
        <v>1</v>
      </c>
      <c r="G129">
        <v>1</v>
      </c>
      <c r="H129">
        <v>1</v>
      </c>
      <c r="L129">
        <v>1</v>
      </c>
      <c r="N129">
        <v>1</v>
      </c>
      <c r="O129">
        <v>1</v>
      </c>
      <c r="P129">
        <v>1</v>
      </c>
      <c r="Q129">
        <v>1</v>
      </c>
      <c r="S129">
        <v>1</v>
      </c>
      <c r="T129">
        <v>1</v>
      </c>
      <c r="U129">
        <v>1</v>
      </c>
      <c r="Y129">
        <v>1</v>
      </c>
      <c r="Z129">
        <v>1</v>
      </c>
      <c r="AA129">
        <v>1</v>
      </c>
      <c r="AL129">
        <v>14</v>
      </c>
    </row>
    <row r="130" spans="1:38" x14ac:dyDescent="0.25">
      <c r="A130" s="2" t="s">
        <v>380</v>
      </c>
      <c r="B130">
        <v>1</v>
      </c>
      <c r="H130">
        <v>1</v>
      </c>
      <c r="I130">
        <v>1</v>
      </c>
      <c r="J130">
        <v>1</v>
      </c>
      <c r="K130">
        <v>1</v>
      </c>
      <c r="X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12</v>
      </c>
    </row>
    <row r="131" spans="1:38" x14ac:dyDescent="0.25">
      <c r="A131" s="2" t="s">
        <v>407</v>
      </c>
      <c r="G131">
        <v>1</v>
      </c>
      <c r="I131">
        <v>1</v>
      </c>
      <c r="AL131">
        <v>2</v>
      </c>
    </row>
    <row r="132" spans="1:38" x14ac:dyDescent="0.25">
      <c r="A132" s="2" t="s">
        <v>112</v>
      </c>
      <c r="Q132">
        <v>1</v>
      </c>
      <c r="R132">
        <v>1</v>
      </c>
      <c r="S132">
        <v>1</v>
      </c>
      <c r="Z132">
        <v>1</v>
      </c>
      <c r="AL132">
        <v>4</v>
      </c>
    </row>
    <row r="133" spans="1:38" x14ac:dyDescent="0.25">
      <c r="A133" s="2" t="s">
        <v>181</v>
      </c>
      <c r="B133">
        <v>1</v>
      </c>
      <c r="C133">
        <v>1</v>
      </c>
      <c r="D133">
        <v>1</v>
      </c>
      <c r="E133">
        <v>1</v>
      </c>
      <c r="F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W133">
        <v>1</v>
      </c>
      <c r="X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25</v>
      </c>
    </row>
    <row r="134" spans="1:38" x14ac:dyDescent="0.25">
      <c r="A134" s="2" t="s">
        <v>359</v>
      </c>
      <c r="C134">
        <v>1</v>
      </c>
      <c r="G134">
        <v>1</v>
      </c>
      <c r="L134">
        <v>1</v>
      </c>
      <c r="AF134">
        <v>1</v>
      </c>
      <c r="AK134">
        <v>1</v>
      </c>
      <c r="AL134">
        <v>5</v>
      </c>
    </row>
    <row r="135" spans="1:38" x14ac:dyDescent="0.25">
      <c r="A135" s="2" t="s">
        <v>36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V135">
        <v>1</v>
      </c>
      <c r="W135">
        <v>1</v>
      </c>
      <c r="X135">
        <v>1</v>
      </c>
      <c r="AB135">
        <v>1</v>
      </c>
      <c r="AC135">
        <v>1</v>
      </c>
      <c r="AD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30</v>
      </c>
    </row>
    <row r="136" spans="1:38" x14ac:dyDescent="0.25">
      <c r="A136" s="2" t="s">
        <v>530</v>
      </c>
      <c r="B136">
        <v>1</v>
      </c>
      <c r="C136">
        <v>1</v>
      </c>
      <c r="D136">
        <v>1</v>
      </c>
      <c r="M136">
        <v>1</v>
      </c>
      <c r="X136">
        <v>1</v>
      </c>
      <c r="AF136">
        <v>1</v>
      </c>
      <c r="AI136">
        <v>1</v>
      </c>
      <c r="AL136">
        <v>7</v>
      </c>
    </row>
    <row r="137" spans="1:38" x14ac:dyDescent="0.25">
      <c r="A137" s="2" t="s">
        <v>587</v>
      </c>
      <c r="AK137">
        <v>1</v>
      </c>
      <c r="AL137">
        <v>1</v>
      </c>
    </row>
    <row r="138" spans="1:38" x14ac:dyDescent="0.25">
      <c r="A138" s="2" t="s">
        <v>208</v>
      </c>
      <c r="B138">
        <v>1</v>
      </c>
      <c r="C138">
        <v>1</v>
      </c>
      <c r="E138">
        <v>1</v>
      </c>
      <c r="F138">
        <v>1</v>
      </c>
      <c r="H138">
        <v>1</v>
      </c>
      <c r="I138">
        <v>1</v>
      </c>
      <c r="J138">
        <v>1</v>
      </c>
      <c r="M138">
        <v>1</v>
      </c>
      <c r="U138">
        <v>1</v>
      </c>
      <c r="X138">
        <v>1</v>
      </c>
      <c r="AF138">
        <v>1</v>
      </c>
      <c r="AJ138">
        <v>1</v>
      </c>
      <c r="AL138">
        <v>12</v>
      </c>
    </row>
    <row r="139" spans="1:38" x14ac:dyDescent="0.25">
      <c r="A139" s="2" t="s">
        <v>222</v>
      </c>
      <c r="B139">
        <v>1</v>
      </c>
      <c r="H139">
        <v>1</v>
      </c>
      <c r="K139">
        <v>1</v>
      </c>
      <c r="L139">
        <v>1</v>
      </c>
      <c r="N139">
        <v>1</v>
      </c>
      <c r="O139">
        <v>1</v>
      </c>
      <c r="Q139">
        <v>1</v>
      </c>
      <c r="R139">
        <v>1</v>
      </c>
      <c r="T139">
        <v>1</v>
      </c>
      <c r="AH139">
        <v>1</v>
      </c>
      <c r="AL139">
        <v>10</v>
      </c>
    </row>
    <row r="140" spans="1:38" x14ac:dyDescent="0.25">
      <c r="A140" s="2" t="s">
        <v>37</v>
      </c>
      <c r="C140">
        <v>1</v>
      </c>
      <c r="D140">
        <v>1</v>
      </c>
      <c r="G140">
        <v>1</v>
      </c>
      <c r="I140">
        <v>1</v>
      </c>
      <c r="J140">
        <v>1</v>
      </c>
      <c r="K140">
        <v>1</v>
      </c>
      <c r="O140">
        <v>1</v>
      </c>
      <c r="P140">
        <v>1</v>
      </c>
      <c r="Q140">
        <v>1</v>
      </c>
      <c r="U140">
        <v>1</v>
      </c>
      <c r="V140">
        <v>1</v>
      </c>
      <c r="Y140">
        <v>1</v>
      </c>
      <c r="Z140">
        <v>1</v>
      </c>
      <c r="AB140">
        <v>1</v>
      </c>
      <c r="AD140">
        <v>1</v>
      </c>
      <c r="AH140">
        <v>1</v>
      </c>
      <c r="AI140">
        <v>1</v>
      </c>
      <c r="AJ140">
        <v>1</v>
      </c>
      <c r="AK140">
        <v>1</v>
      </c>
      <c r="AL140">
        <v>19</v>
      </c>
    </row>
    <row r="141" spans="1:38" x14ac:dyDescent="0.25">
      <c r="A141" s="2" t="s">
        <v>16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36</v>
      </c>
    </row>
    <row r="142" spans="1:38" x14ac:dyDescent="0.25">
      <c r="A142" s="2" t="s">
        <v>39</v>
      </c>
      <c r="AA142">
        <v>1</v>
      </c>
      <c r="AB142">
        <v>1</v>
      </c>
      <c r="AC142">
        <v>1</v>
      </c>
      <c r="AD142">
        <v>1</v>
      </c>
      <c r="AL142">
        <v>4</v>
      </c>
    </row>
    <row r="143" spans="1:38" x14ac:dyDescent="0.25">
      <c r="A143" s="2" t="s">
        <v>686</v>
      </c>
      <c r="B143">
        <v>1</v>
      </c>
      <c r="AL143">
        <v>1</v>
      </c>
    </row>
    <row r="144" spans="1:38" x14ac:dyDescent="0.25">
      <c r="A144" s="2" t="s">
        <v>184</v>
      </c>
      <c r="B144">
        <v>1</v>
      </c>
      <c r="C144">
        <v>1</v>
      </c>
      <c r="D144">
        <v>1</v>
      </c>
      <c r="E144">
        <v>1</v>
      </c>
      <c r="H144">
        <v>1</v>
      </c>
      <c r="L144">
        <v>1</v>
      </c>
      <c r="M144">
        <v>1</v>
      </c>
      <c r="N144">
        <v>1</v>
      </c>
      <c r="R144">
        <v>1</v>
      </c>
      <c r="S144">
        <v>1</v>
      </c>
      <c r="T144">
        <v>1</v>
      </c>
      <c r="W144">
        <v>1</v>
      </c>
      <c r="AF144">
        <v>1</v>
      </c>
      <c r="AK144">
        <v>1</v>
      </c>
      <c r="AL144">
        <v>14</v>
      </c>
    </row>
    <row r="145" spans="1:38" x14ac:dyDescent="0.25">
      <c r="A145" s="2" t="s">
        <v>534</v>
      </c>
      <c r="B145">
        <v>1</v>
      </c>
      <c r="D145">
        <v>1</v>
      </c>
      <c r="M145">
        <v>1</v>
      </c>
      <c r="X145">
        <v>1</v>
      </c>
      <c r="AI145">
        <v>1</v>
      </c>
      <c r="AL145">
        <v>5</v>
      </c>
    </row>
    <row r="146" spans="1:38" x14ac:dyDescent="0.25">
      <c r="A146" s="2" t="s">
        <v>186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W146">
        <v>1</v>
      </c>
      <c r="X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25</v>
      </c>
    </row>
    <row r="147" spans="1:38" x14ac:dyDescent="0.25">
      <c r="A147" s="2" t="s">
        <v>689</v>
      </c>
      <c r="B147">
        <v>1</v>
      </c>
      <c r="AL147">
        <v>1</v>
      </c>
    </row>
    <row r="148" spans="1:38" x14ac:dyDescent="0.25">
      <c r="A148" s="2" t="s">
        <v>625</v>
      </c>
      <c r="AF148">
        <v>1</v>
      </c>
      <c r="AH148">
        <v>1</v>
      </c>
      <c r="AL148">
        <v>2</v>
      </c>
    </row>
    <row r="149" spans="1:38" x14ac:dyDescent="0.25">
      <c r="A149" s="2" t="s">
        <v>409</v>
      </c>
      <c r="B149">
        <v>1</v>
      </c>
      <c r="C149">
        <v>1</v>
      </c>
      <c r="D149">
        <v>1</v>
      </c>
      <c r="E149">
        <v>1</v>
      </c>
      <c r="H149">
        <v>1</v>
      </c>
      <c r="I149">
        <v>1</v>
      </c>
      <c r="M149">
        <v>1</v>
      </c>
      <c r="X149">
        <v>1</v>
      </c>
      <c r="AH149">
        <v>1</v>
      </c>
      <c r="AI149">
        <v>1</v>
      </c>
      <c r="AJ149">
        <v>1</v>
      </c>
      <c r="AK149">
        <v>1</v>
      </c>
      <c r="AL149">
        <v>12</v>
      </c>
    </row>
    <row r="150" spans="1:38" x14ac:dyDescent="0.25">
      <c r="A150" s="2" t="s">
        <v>503</v>
      </c>
      <c r="D150">
        <v>1</v>
      </c>
      <c r="E150">
        <v>1</v>
      </c>
      <c r="AL150">
        <v>2</v>
      </c>
    </row>
    <row r="151" spans="1:38" x14ac:dyDescent="0.25">
      <c r="A151" s="2" t="s">
        <v>538</v>
      </c>
      <c r="B151">
        <v>1</v>
      </c>
      <c r="C151">
        <v>1</v>
      </c>
      <c r="D151">
        <v>1</v>
      </c>
      <c r="M151">
        <v>1</v>
      </c>
      <c r="X151">
        <v>1</v>
      </c>
      <c r="AF151">
        <v>1</v>
      </c>
      <c r="AH151">
        <v>1</v>
      </c>
      <c r="AJ151">
        <v>1</v>
      </c>
      <c r="AL151">
        <v>8</v>
      </c>
    </row>
    <row r="152" spans="1:38" x14ac:dyDescent="0.25">
      <c r="A152" s="2" t="s">
        <v>114</v>
      </c>
      <c r="B152">
        <v>1</v>
      </c>
      <c r="F152">
        <v>1</v>
      </c>
      <c r="H152">
        <v>1</v>
      </c>
      <c r="I152">
        <v>1</v>
      </c>
      <c r="J152">
        <v>1</v>
      </c>
      <c r="K152">
        <v>1</v>
      </c>
      <c r="M152">
        <v>1</v>
      </c>
      <c r="O152">
        <v>1</v>
      </c>
      <c r="X152">
        <v>1</v>
      </c>
      <c r="Z152">
        <v>1</v>
      </c>
      <c r="AF152">
        <v>1</v>
      </c>
      <c r="AG152">
        <v>1</v>
      </c>
      <c r="AH152">
        <v>1</v>
      </c>
      <c r="AI152">
        <v>1</v>
      </c>
      <c r="AL152">
        <v>14</v>
      </c>
    </row>
    <row r="153" spans="1:38" x14ac:dyDescent="0.25">
      <c r="A153" s="2" t="s">
        <v>410</v>
      </c>
      <c r="B153">
        <v>1</v>
      </c>
      <c r="C153">
        <v>1</v>
      </c>
      <c r="I153">
        <v>1</v>
      </c>
      <c r="M153">
        <v>1</v>
      </c>
      <c r="X153">
        <v>1</v>
      </c>
      <c r="AF153">
        <v>1</v>
      </c>
      <c r="AG153">
        <v>1</v>
      </c>
      <c r="AL153">
        <v>7</v>
      </c>
    </row>
    <row r="154" spans="1:38" x14ac:dyDescent="0.25">
      <c r="A154" s="2" t="s">
        <v>668</v>
      </c>
      <c r="M154">
        <v>1</v>
      </c>
      <c r="AL154">
        <v>1</v>
      </c>
    </row>
    <row r="155" spans="1:38" x14ac:dyDescent="0.25">
      <c r="A155" s="2" t="s">
        <v>335</v>
      </c>
      <c r="C155">
        <v>1</v>
      </c>
      <c r="E155">
        <v>1</v>
      </c>
      <c r="H155">
        <v>1</v>
      </c>
      <c r="I155">
        <v>1</v>
      </c>
      <c r="J155">
        <v>1</v>
      </c>
      <c r="N155">
        <v>1</v>
      </c>
      <c r="AK155">
        <v>1</v>
      </c>
      <c r="AL155">
        <v>7</v>
      </c>
    </row>
    <row r="156" spans="1:38" x14ac:dyDescent="0.25">
      <c r="A156" s="2" t="s">
        <v>18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33</v>
      </c>
    </row>
    <row r="157" spans="1:38" x14ac:dyDescent="0.25">
      <c r="A157" s="2" t="s">
        <v>41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D157">
        <v>1</v>
      </c>
      <c r="AF157">
        <v>1</v>
      </c>
      <c r="AH157">
        <v>1</v>
      </c>
      <c r="AI157">
        <v>1</v>
      </c>
      <c r="AJ157">
        <v>1</v>
      </c>
      <c r="AK157">
        <v>1</v>
      </c>
      <c r="AL157">
        <v>31</v>
      </c>
    </row>
    <row r="158" spans="1:38" x14ac:dyDescent="0.25">
      <c r="A158" s="2" t="s">
        <v>267</v>
      </c>
      <c r="C158">
        <v>1</v>
      </c>
      <c r="F158">
        <v>1</v>
      </c>
      <c r="G158">
        <v>1</v>
      </c>
      <c r="H158">
        <v>1</v>
      </c>
      <c r="I158">
        <v>1</v>
      </c>
      <c r="O158">
        <v>1</v>
      </c>
      <c r="Q158">
        <v>1</v>
      </c>
      <c r="X158">
        <v>1</v>
      </c>
      <c r="AF158">
        <v>1</v>
      </c>
      <c r="AK158">
        <v>1</v>
      </c>
      <c r="AL158">
        <v>10</v>
      </c>
    </row>
    <row r="159" spans="1:38" x14ac:dyDescent="0.25">
      <c r="A159" s="2" t="s">
        <v>506</v>
      </c>
      <c r="B159">
        <v>1</v>
      </c>
      <c r="C159">
        <v>1</v>
      </c>
      <c r="E159">
        <v>1</v>
      </c>
      <c r="M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9</v>
      </c>
    </row>
    <row r="160" spans="1:38" x14ac:dyDescent="0.25">
      <c r="A160" s="2" t="s">
        <v>118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M160">
        <v>1</v>
      </c>
      <c r="Q160">
        <v>1</v>
      </c>
      <c r="U160">
        <v>1</v>
      </c>
      <c r="W160">
        <v>1</v>
      </c>
      <c r="Z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19</v>
      </c>
    </row>
    <row r="161" spans="1:38" x14ac:dyDescent="0.25">
      <c r="A161" s="2" t="s">
        <v>383</v>
      </c>
      <c r="C161">
        <v>1</v>
      </c>
      <c r="D161">
        <v>1</v>
      </c>
      <c r="F161">
        <v>1</v>
      </c>
      <c r="G161">
        <v>1</v>
      </c>
      <c r="H161">
        <v>1</v>
      </c>
      <c r="I161">
        <v>1</v>
      </c>
      <c r="K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12</v>
      </c>
    </row>
    <row r="162" spans="1:38" x14ac:dyDescent="0.25">
      <c r="A162" s="2" t="s">
        <v>60</v>
      </c>
      <c r="C162">
        <v>1</v>
      </c>
      <c r="E162">
        <v>1</v>
      </c>
      <c r="G162">
        <v>1</v>
      </c>
      <c r="H162">
        <v>1</v>
      </c>
      <c r="K162">
        <v>1</v>
      </c>
      <c r="L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Z162">
        <v>1</v>
      </c>
      <c r="AC162">
        <v>1</v>
      </c>
      <c r="AI162">
        <v>1</v>
      </c>
      <c r="AJ162">
        <v>1</v>
      </c>
      <c r="AK162">
        <v>1</v>
      </c>
      <c r="AL162">
        <v>20</v>
      </c>
    </row>
    <row r="163" spans="1:38" x14ac:dyDescent="0.25">
      <c r="A163" s="2" t="s">
        <v>236</v>
      </c>
      <c r="E163">
        <v>1</v>
      </c>
      <c r="F163">
        <v>1</v>
      </c>
      <c r="S163">
        <v>1</v>
      </c>
      <c r="AG163">
        <v>1</v>
      </c>
      <c r="AK163">
        <v>1</v>
      </c>
      <c r="AL163">
        <v>5</v>
      </c>
    </row>
    <row r="164" spans="1:38" x14ac:dyDescent="0.25">
      <c r="A164" s="2" t="s">
        <v>592</v>
      </c>
      <c r="B164">
        <v>1</v>
      </c>
      <c r="AK164">
        <v>1</v>
      </c>
      <c r="AL164">
        <v>2</v>
      </c>
    </row>
    <row r="165" spans="1:38" x14ac:dyDescent="0.25">
      <c r="A165" s="2" t="s">
        <v>20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D165">
        <v>1</v>
      </c>
      <c r="AE165">
        <v>1</v>
      </c>
      <c r="AF165">
        <v>1</v>
      </c>
      <c r="AH165">
        <v>1</v>
      </c>
      <c r="AI165">
        <v>1</v>
      </c>
      <c r="AJ165">
        <v>1</v>
      </c>
      <c r="AK165">
        <v>1</v>
      </c>
      <c r="AL165">
        <v>33</v>
      </c>
    </row>
    <row r="166" spans="1:38" x14ac:dyDescent="0.25">
      <c r="A166" s="2" t="s">
        <v>540</v>
      </c>
      <c r="C166">
        <v>1</v>
      </c>
      <c r="D166">
        <v>1</v>
      </c>
      <c r="AH166">
        <v>1</v>
      </c>
      <c r="AI166">
        <v>1</v>
      </c>
      <c r="AK166">
        <v>1</v>
      </c>
      <c r="AL166">
        <v>5</v>
      </c>
    </row>
    <row r="167" spans="1:38" x14ac:dyDescent="0.25">
      <c r="A167" s="2" t="s">
        <v>43</v>
      </c>
      <c r="B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M167">
        <v>1</v>
      </c>
      <c r="O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C167">
        <v>1</v>
      </c>
      <c r="AD167">
        <v>1</v>
      </c>
      <c r="AJ167">
        <v>1</v>
      </c>
      <c r="AL167">
        <v>17</v>
      </c>
    </row>
    <row r="168" spans="1:38" x14ac:dyDescent="0.25">
      <c r="A168" s="2" t="s">
        <v>223</v>
      </c>
      <c r="T168">
        <v>1</v>
      </c>
      <c r="AL168">
        <v>1</v>
      </c>
    </row>
    <row r="169" spans="1:38" x14ac:dyDescent="0.25">
      <c r="A169" s="2" t="s">
        <v>122</v>
      </c>
      <c r="Z169">
        <v>1</v>
      </c>
      <c r="AL169">
        <v>1</v>
      </c>
    </row>
    <row r="170" spans="1:38" x14ac:dyDescent="0.25">
      <c r="A170" s="2" t="s">
        <v>44</v>
      </c>
      <c r="H170">
        <v>1</v>
      </c>
      <c r="I170">
        <v>1</v>
      </c>
      <c r="L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L170">
        <v>19</v>
      </c>
    </row>
    <row r="171" spans="1:38" x14ac:dyDescent="0.25">
      <c r="A171" s="2" t="s">
        <v>671</v>
      </c>
      <c r="M171">
        <v>1</v>
      </c>
      <c r="AL171">
        <v>1</v>
      </c>
    </row>
    <row r="172" spans="1:38" x14ac:dyDescent="0.25">
      <c r="A172" s="2" t="s">
        <v>99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M172">
        <v>1</v>
      </c>
      <c r="P172">
        <v>1</v>
      </c>
      <c r="Q172">
        <v>1</v>
      </c>
      <c r="R172">
        <v>1</v>
      </c>
      <c r="X172">
        <v>1</v>
      </c>
      <c r="Y172">
        <v>1</v>
      </c>
      <c r="AA172">
        <v>1</v>
      </c>
      <c r="AF172">
        <v>1</v>
      </c>
      <c r="AH172">
        <v>1</v>
      </c>
      <c r="AI172">
        <v>1</v>
      </c>
      <c r="AJ172">
        <v>1</v>
      </c>
      <c r="AK172">
        <v>1</v>
      </c>
      <c r="AL172">
        <v>18</v>
      </c>
    </row>
    <row r="173" spans="1:38" x14ac:dyDescent="0.25">
      <c r="A173" s="2" t="s">
        <v>156</v>
      </c>
      <c r="B173">
        <v>1</v>
      </c>
      <c r="C173">
        <v>1</v>
      </c>
      <c r="D173">
        <v>1</v>
      </c>
      <c r="F173">
        <v>1</v>
      </c>
      <c r="G173">
        <v>1</v>
      </c>
      <c r="I173">
        <v>1</v>
      </c>
      <c r="J173">
        <v>1</v>
      </c>
      <c r="L173">
        <v>1</v>
      </c>
      <c r="M173">
        <v>1</v>
      </c>
      <c r="O173">
        <v>1</v>
      </c>
      <c r="P173">
        <v>1</v>
      </c>
      <c r="Q173">
        <v>1</v>
      </c>
      <c r="R173">
        <v>1</v>
      </c>
      <c r="X173">
        <v>1</v>
      </c>
      <c r="Y173">
        <v>1</v>
      </c>
      <c r="AF173">
        <v>1</v>
      </c>
      <c r="AI173">
        <v>1</v>
      </c>
      <c r="AJ173">
        <v>1</v>
      </c>
      <c r="AK173">
        <v>1</v>
      </c>
      <c r="AL173">
        <v>19</v>
      </c>
    </row>
    <row r="174" spans="1:38" x14ac:dyDescent="0.25">
      <c r="A174" s="2" t="s">
        <v>384</v>
      </c>
      <c r="B174">
        <v>1</v>
      </c>
      <c r="C174">
        <v>1</v>
      </c>
      <c r="D174">
        <v>1</v>
      </c>
      <c r="K174">
        <v>1</v>
      </c>
      <c r="X174">
        <v>1</v>
      </c>
      <c r="AF174">
        <v>1</v>
      </c>
      <c r="AJ174">
        <v>1</v>
      </c>
      <c r="AL174">
        <v>7</v>
      </c>
    </row>
    <row r="175" spans="1:38" x14ac:dyDescent="0.25">
      <c r="A175" s="2" t="s">
        <v>238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O175">
        <v>1</v>
      </c>
      <c r="Q175">
        <v>1</v>
      </c>
      <c r="S175">
        <v>1</v>
      </c>
      <c r="X175">
        <v>1</v>
      </c>
      <c r="AF175">
        <v>1</v>
      </c>
      <c r="AH175">
        <v>1</v>
      </c>
      <c r="AI175">
        <v>1</v>
      </c>
      <c r="AJ175">
        <v>1</v>
      </c>
      <c r="AK175">
        <v>1</v>
      </c>
      <c r="AL175">
        <v>21</v>
      </c>
    </row>
    <row r="176" spans="1:38" x14ac:dyDescent="0.25">
      <c r="A176" s="2" t="s">
        <v>22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35</v>
      </c>
    </row>
    <row r="177" spans="1:38" x14ac:dyDescent="0.25">
      <c r="A177" s="2" t="s">
        <v>61</v>
      </c>
      <c r="B177">
        <v>1</v>
      </c>
      <c r="C177">
        <v>1</v>
      </c>
      <c r="D177">
        <v>1</v>
      </c>
      <c r="I177">
        <v>1</v>
      </c>
      <c r="K177">
        <v>1</v>
      </c>
      <c r="M177">
        <v>1</v>
      </c>
      <c r="O177">
        <v>1</v>
      </c>
      <c r="U177">
        <v>1</v>
      </c>
      <c r="X177">
        <v>1</v>
      </c>
      <c r="Y177">
        <v>1</v>
      </c>
      <c r="Z177">
        <v>1</v>
      </c>
      <c r="AB177">
        <v>1</v>
      </c>
      <c r="AC177">
        <v>1</v>
      </c>
      <c r="AH177">
        <v>1</v>
      </c>
      <c r="AI177">
        <v>1</v>
      </c>
      <c r="AJ177">
        <v>1</v>
      </c>
      <c r="AL177">
        <v>16</v>
      </c>
    </row>
    <row r="178" spans="1:38" x14ac:dyDescent="0.25">
      <c r="A178" s="2" t="s">
        <v>412</v>
      </c>
      <c r="I178">
        <v>1</v>
      </c>
      <c r="AK178">
        <v>1</v>
      </c>
      <c r="AL178">
        <v>2</v>
      </c>
    </row>
    <row r="179" spans="1:38" x14ac:dyDescent="0.25">
      <c r="A179" s="2" t="s">
        <v>46</v>
      </c>
      <c r="B179">
        <v>1</v>
      </c>
      <c r="C179">
        <v>1</v>
      </c>
      <c r="D179">
        <v>1</v>
      </c>
      <c r="F179">
        <v>1</v>
      </c>
      <c r="G179">
        <v>1</v>
      </c>
      <c r="H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33</v>
      </c>
    </row>
    <row r="180" spans="1:38" x14ac:dyDescent="0.25">
      <c r="A180" s="2" t="s">
        <v>596</v>
      </c>
      <c r="AK180">
        <v>1</v>
      </c>
      <c r="AL180">
        <v>1</v>
      </c>
    </row>
    <row r="181" spans="1:38" x14ac:dyDescent="0.25">
      <c r="A181" s="2" t="s">
        <v>100</v>
      </c>
      <c r="B181">
        <v>1</v>
      </c>
      <c r="C181">
        <v>1</v>
      </c>
      <c r="D181">
        <v>1</v>
      </c>
      <c r="E181">
        <v>1</v>
      </c>
      <c r="H181">
        <v>1</v>
      </c>
      <c r="I181">
        <v>1</v>
      </c>
      <c r="J181">
        <v>1</v>
      </c>
      <c r="Q181">
        <v>1</v>
      </c>
      <c r="U181">
        <v>1</v>
      </c>
      <c r="X181">
        <v>1</v>
      </c>
      <c r="Y181">
        <v>1</v>
      </c>
      <c r="AA181">
        <v>1</v>
      </c>
      <c r="AF181">
        <v>1</v>
      </c>
      <c r="AG181">
        <v>1</v>
      </c>
      <c r="AH181">
        <v>1</v>
      </c>
      <c r="AL181">
        <v>15</v>
      </c>
    </row>
    <row r="182" spans="1:38" x14ac:dyDescent="0.25">
      <c r="A182" s="2" t="s">
        <v>23</v>
      </c>
      <c r="B182">
        <v>1</v>
      </c>
      <c r="C182">
        <v>1</v>
      </c>
      <c r="D182">
        <v>1</v>
      </c>
      <c r="E182">
        <v>1</v>
      </c>
      <c r="F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R182">
        <v>1</v>
      </c>
      <c r="S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D182">
        <v>1</v>
      </c>
      <c r="AE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29</v>
      </c>
    </row>
    <row r="183" spans="1:38" x14ac:dyDescent="0.25">
      <c r="A183" s="2" t="s">
        <v>511</v>
      </c>
      <c r="C183">
        <v>1</v>
      </c>
      <c r="D183">
        <v>1</v>
      </c>
      <c r="E183">
        <v>1</v>
      </c>
      <c r="M183">
        <v>1</v>
      </c>
      <c r="X183">
        <v>1</v>
      </c>
      <c r="AF183">
        <v>1</v>
      </c>
      <c r="AH183">
        <v>1</v>
      </c>
      <c r="AJ183">
        <v>1</v>
      </c>
      <c r="AK183">
        <v>1</v>
      </c>
      <c r="AL183">
        <v>9</v>
      </c>
    </row>
    <row r="184" spans="1:38" x14ac:dyDescent="0.25">
      <c r="A184" s="2" t="s">
        <v>49</v>
      </c>
      <c r="C184">
        <v>1</v>
      </c>
      <c r="E184">
        <v>1</v>
      </c>
      <c r="I184">
        <v>1</v>
      </c>
      <c r="J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X184">
        <v>1</v>
      </c>
      <c r="Y184">
        <v>1</v>
      </c>
      <c r="AD184">
        <v>1</v>
      </c>
      <c r="AF184">
        <v>1</v>
      </c>
      <c r="AH184">
        <v>1</v>
      </c>
      <c r="AI184">
        <v>1</v>
      </c>
      <c r="AJ184">
        <v>1</v>
      </c>
      <c r="AK184">
        <v>1</v>
      </c>
      <c r="AL184">
        <v>17</v>
      </c>
    </row>
    <row r="185" spans="1:38" x14ac:dyDescent="0.25">
      <c r="A185" s="2" t="s">
        <v>78</v>
      </c>
      <c r="L185">
        <v>1</v>
      </c>
      <c r="N185">
        <v>1</v>
      </c>
      <c r="Y185">
        <v>1</v>
      </c>
      <c r="Z185">
        <v>1</v>
      </c>
      <c r="AB185">
        <v>1</v>
      </c>
      <c r="AL185">
        <v>5</v>
      </c>
    </row>
    <row r="186" spans="1:38" x14ac:dyDescent="0.25">
      <c r="A186" s="2" t="s">
        <v>268</v>
      </c>
      <c r="B186">
        <v>1</v>
      </c>
      <c r="C186">
        <v>1</v>
      </c>
      <c r="D186">
        <v>1</v>
      </c>
      <c r="E186">
        <v>1</v>
      </c>
      <c r="G186">
        <v>1</v>
      </c>
      <c r="J186">
        <v>1</v>
      </c>
      <c r="K186">
        <v>1</v>
      </c>
      <c r="L186">
        <v>1</v>
      </c>
      <c r="Q186">
        <v>1</v>
      </c>
      <c r="X186">
        <v>1</v>
      </c>
      <c r="AI186">
        <v>1</v>
      </c>
      <c r="AJ186">
        <v>1</v>
      </c>
      <c r="AK186">
        <v>1</v>
      </c>
      <c r="AL186">
        <v>13</v>
      </c>
    </row>
    <row r="187" spans="1:38" x14ac:dyDescent="0.25">
      <c r="A187" s="2" t="s">
        <v>243</v>
      </c>
      <c r="B187">
        <v>1</v>
      </c>
      <c r="S187">
        <v>1</v>
      </c>
      <c r="AL187">
        <v>2</v>
      </c>
    </row>
    <row r="188" spans="1:38" x14ac:dyDescent="0.25">
      <c r="A188" s="2" t="s">
        <v>129</v>
      </c>
      <c r="Z188">
        <v>1</v>
      </c>
      <c r="AJ188">
        <v>1</v>
      </c>
      <c r="AL188">
        <v>2</v>
      </c>
    </row>
    <row r="189" spans="1:38" x14ac:dyDescent="0.25">
      <c r="A189" s="2" t="s">
        <v>200</v>
      </c>
      <c r="K189">
        <v>1</v>
      </c>
      <c r="L189">
        <v>1</v>
      </c>
      <c r="O189">
        <v>1</v>
      </c>
      <c r="Q189">
        <v>1</v>
      </c>
      <c r="T189">
        <v>1</v>
      </c>
      <c r="V189">
        <v>1</v>
      </c>
      <c r="AL189">
        <v>6</v>
      </c>
    </row>
    <row r="190" spans="1:38" x14ac:dyDescent="0.25">
      <c r="A190" s="2" t="s">
        <v>25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T190">
        <v>1</v>
      </c>
      <c r="U190">
        <v>1</v>
      </c>
      <c r="V190">
        <v>1</v>
      </c>
      <c r="W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L190">
        <v>26</v>
      </c>
    </row>
    <row r="191" spans="1:38" x14ac:dyDescent="0.25">
      <c r="A191" s="2" t="s">
        <v>546</v>
      </c>
      <c r="B191">
        <v>1</v>
      </c>
      <c r="C191">
        <v>1</v>
      </c>
      <c r="D191">
        <v>1</v>
      </c>
      <c r="M191">
        <v>1</v>
      </c>
      <c r="AI191">
        <v>1</v>
      </c>
      <c r="AJ191">
        <v>1</v>
      </c>
      <c r="AL191">
        <v>6</v>
      </c>
    </row>
    <row r="192" spans="1:38" x14ac:dyDescent="0.25">
      <c r="A192" s="2" t="s">
        <v>193</v>
      </c>
      <c r="B192">
        <v>1</v>
      </c>
      <c r="C192">
        <v>1</v>
      </c>
      <c r="D192">
        <v>1</v>
      </c>
      <c r="E192">
        <v>1</v>
      </c>
      <c r="G192">
        <v>1</v>
      </c>
      <c r="H192">
        <v>1</v>
      </c>
      <c r="I192">
        <v>1</v>
      </c>
      <c r="J192">
        <v>1</v>
      </c>
      <c r="M192">
        <v>1</v>
      </c>
      <c r="P192">
        <v>1</v>
      </c>
      <c r="U192">
        <v>1</v>
      </c>
      <c r="W192">
        <v>1</v>
      </c>
      <c r="AF192">
        <v>1</v>
      </c>
      <c r="AH192">
        <v>1</v>
      </c>
      <c r="AK192">
        <v>1</v>
      </c>
      <c r="AL192">
        <v>15</v>
      </c>
    </row>
    <row r="193" spans="1:38" x14ac:dyDescent="0.25">
      <c r="A193" s="2" t="s">
        <v>213</v>
      </c>
      <c r="C193">
        <v>1</v>
      </c>
      <c r="G193">
        <v>1</v>
      </c>
      <c r="H193">
        <v>1</v>
      </c>
      <c r="I193">
        <v>1</v>
      </c>
      <c r="M193">
        <v>1</v>
      </c>
      <c r="U193">
        <v>1</v>
      </c>
      <c r="X193">
        <v>1</v>
      </c>
      <c r="AH193">
        <v>1</v>
      </c>
      <c r="AK193">
        <v>1</v>
      </c>
      <c r="AL193">
        <v>9</v>
      </c>
    </row>
    <row r="194" spans="1:38" x14ac:dyDescent="0.25">
      <c r="A194" s="2" t="s">
        <v>50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K194">
        <v>1</v>
      </c>
      <c r="L194">
        <v>1</v>
      </c>
      <c r="M194">
        <v>1</v>
      </c>
      <c r="O194">
        <v>1</v>
      </c>
      <c r="P194">
        <v>1</v>
      </c>
      <c r="Q194">
        <v>1</v>
      </c>
      <c r="S194">
        <v>1</v>
      </c>
      <c r="T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F194">
        <v>1</v>
      </c>
      <c r="AH194">
        <v>1</v>
      </c>
      <c r="AI194">
        <v>1</v>
      </c>
      <c r="AJ194">
        <v>1</v>
      </c>
      <c r="AK194">
        <v>1</v>
      </c>
      <c r="AL194">
        <v>30</v>
      </c>
    </row>
    <row r="195" spans="1:38" x14ac:dyDescent="0.25">
      <c r="A195" s="2" t="s">
        <v>570</v>
      </c>
      <c r="B195">
        <v>1</v>
      </c>
      <c r="C195">
        <v>1</v>
      </c>
      <c r="M195">
        <v>1</v>
      </c>
      <c r="X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10</v>
      </c>
    </row>
    <row r="196" spans="1:38" x14ac:dyDescent="0.25">
      <c r="A196" s="2" t="s">
        <v>62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S196">
        <v>1</v>
      </c>
      <c r="U196">
        <v>1</v>
      </c>
      <c r="X196">
        <v>1</v>
      </c>
      <c r="Y196">
        <v>1</v>
      </c>
      <c r="AB196">
        <v>1</v>
      </c>
      <c r="AC196">
        <v>1</v>
      </c>
      <c r="AF196">
        <v>1</v>
      </c>
      <c r="AH196">
        <v>1</v>
      </c>
      <c r="AI196">
        <v>1</v>
      </c>
      <c r="AJ196">
        <v>1</v>
      </c>
      <c r="AK196">
        <v>1</v>
      </c>
      <c r="AL196">
        <v>26</v>
      </c>
    </row>
    <row r="197" spans="1:38" x14ac:dyDescent="0.25">
      <c r="A197" s="2" t="s">
        <v>483</v>
      </c>
      <c r="F197">
        <v>1</v>
      </c>
      <c r="AL197">
        <v>1</v>
      </c>
    </row>
    <row r="198" spans="1:38" x14ac:dyDescent="0.25">
      <c r="A198" s="2" t="s">
        <v>516</v>
      </c>
      <c r="B198">
        <v>1</v>
      </c>
      <c r="E198">
        <v>1</v>
      </c>
      <c r="M198">
        <v>1</v>
      </c>
      <c r="X198">
        <v>1</v>
      </c>
      <c r="AF198">
        <v>1</v>
      </c>
      <c r="AL198">
        <v>5</v>
      </c>
    </row>
    <row r="199" spans="1:38" x14ac:dyDescent="0.25">
      <c r="A199" s="2" t="s">
        <v>315</v>
      </c>
      <c r="O199">
        <v>1</v>
      </c>
      <c r="AL199">
        <v>1</v>
      </c>
    </row>
    <row r="200" spans="1:38" x14ac:dyDescent="0.25">
      <c r="A200" s="2" t="s">
        <v>51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M200">
        <v>1</v>
      </c>
      <c r="P200">
        <v>1</v>
      </c>
      <c r="R200">
        <v>1</v>
      </c>
      <c r="S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C200">
        <v>1</v>
      </c>
      <c r="AD200">
        <v>1</v>
      </c>
      <c r="AF200">
        <v>1</v>
      </c>
      <c r="AJ200">
        <v>1</v>
      </c>
      <c r="AL200">
        <v>25</v>
      </c>
    </row>
    <row r="201" spans="1:38" x14ac:dyDescent="0.25">
      <c r="A201" s="2" t="s">
        <v>82</v>
      </c>
      <c r="L201">
        <v>1</v>
      </c>
      <c r="N201">
        <v>1</v>
      </c>
      <c r="AB201">
        <v>1</v>
      </c>
      <c r="AI201">
        <v>1</v>
      </c>
      <c r="AK201">
        <v>1</v>
      </c>
      <c r="AL201">
        <v>5</v>
      </c>
    </row>
    <row r="202" spans="1:38" x14ac:dyDescent="0.25">
      <c r="A202" s="2" t="s">
        <v>83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Y202">
        <v>1</v>
      </c>
      <c r="Z202">
        <v>1</v>
      </c>
      <c r="AA202">
        <v>1</v>
      </c>
      <c r="AB202">
        <v>1</v>
      </c>
      <c r="AH202">
        <v>1</v>
      </c>
      <c r="AI202">
        <v>1</v>
      </c>
      <c r="AJ202">
        <v>1</v>
      </c>
      <c r="AK202">
        <v>1</v>
      </c>
      <c r="AL202">
        <v>29</v>
      </c>
    </row>
    <row r="203" spans="1:38" x14ac:dyDescent="0.25">
      <c r="A203" s="2" t="s">
        <v>706</v>
      </c>
      <c r="B203">
        <v>1</v>
      </c>
      <c r="AL203">
        <v>1</v>
      </c>
    </row>
    <row r="204" spans="1:38" x14ac:dyDescent="0.25">
      <c r="A204" s="2" t="s">
        <v>261</v>
      </c>
      <c r="I204">
        <v>1</v>
      </c>
      <c r="J204">
        <v>1</v>
      </c>
      <c r="K204">
        <v>1</v>
      </c>
      <c r="L204">
        <v>1</v>
      </c>
      <c r="N204">
        <v>1</v>
      </c>
      <c r="O204">
        <v>1</v>
      </c>
      <c r="R204">
        <v>1</v>
      </c>
      <c r="AL204">
        <v>7</v>
      </c>
    </row>
    <row r="205" spans="1:38" x14ac:dyDescent="0.25">
      <c r="A205" s="2" t="s">
        <v>549</v>
      </c>
      <c r="C205">
        <v>1</v>
      </c>
      <c r="D205">
        <v>1</v>
      </c>
      <c r="X205">
        <v>1</v>
      </c>
      <c r="AF205">
        <v>1</v>
      </c>
      <c r="AH205">
        <v>1</v>
      </c>
      <c r="AI205">
        <v>1</v>
      </c>
      <c r="AJ205">
        <v>1</v>
      </c>
      <c r="AK205">
        <v>1</v>
      </c>
      <c r="AL205">
        <v>8</v>
      </c>
    </row>
    <row r="206" spans="1:38" x14ac:dyDescent="0.25">
      <c r="A206" s="2" t="s">
        <v>85</v>
      </c>
      <c r="B206">
        <v>1</v>
      </c>
      <c r="E206">
        <v>1</v>
      </c>
      <c r="F206">
        <v>1</v>
      </c>
      <c r="G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U206">
        <v>1</v>
      </c>
      <c r="V206">
        <v>1</v>
      </c>
      <c r="Y206">
        <v>1</v>
      </c>
      <c r="Z206">
        <v>1</v>
      </c>
      <c r="AB206">
        <v>1</v>
      </c>
      <c r="AL206">
        <v>20</v>
      </c>
    </row>
    <row r="207" spans="1:38" x14ac:dyDescent="0.25">
      <c r="A207" s="2" t="s">
        <v>134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Z207">
        <v>1</v>
      </c>
      <c r="AL207">
        <v>9</v>
      </c>
    </row>
    <row r="208" spans="1:38" x14ac:dyDescent="0.25">
      <c r="A208" s="2" t="s">
        <v>101</v>
      </c>
      <c r="H208">
        <v>1</v>
      </c>
      <c r="J208">
        <v>1</v>
      </c>
      <c r="N208">
        <v>1</v>
      </c>
      <c r="Y208">
        <v>1</v>
      </c>
      <c r="AA208">
        <v>1</v>
      </c>
      <c r="AF208">
        <v>1</v>
      </c>
      <c r="AH208">
        <v>1</v>
      </c>
      <c r="AL208">
        <v>7</v>
      </c>
    </row>
    <row r="209" spans="1:38" x14ac:dyDescent="0.25">
      <c r="A209" s="2" t="s">
        <v>53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D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34</v>
      </c>
    </row>
    <row r="210" spans="1:38" x14ac:dyDescent="0.25">
      <c r="A210" s="2" t="s">
        <v>651</v>
      </c>
      <c r="AF210">
        <v>1</v>
      </c>
      <c r="AL210">
        <v>1</v>
      </c>
    </row>
    <row r="211" spans="1:38" x14ac:dyDescent="0.25">
      <c r="A211" s="2" t="s">
        <v>262</v>
      </c>
      <c r="B211">
        <v>1</v>
      </c>
      <c r="E211">
        <v>1</v>
      </c>
      <c r="G211">
        <v>1</v>
      </c>
      <c r="H211">
        <v>1</v>
      </c>
      <c r="I211">
        <v>1</v>
      </c>
      <c r="Q211">
        <v>1</v>
      </c>
      <c r="R211">
        <v>1</v>
      </c>
      <c r="X211">
        <v>1</v>
      </c>
      <c r="AH211">
        <v>1</v>
      </c>
      <c r="AI211">
        <v>1</v>
      </c>
      <c r="AK211">
        <v>1</v>
      </c>
      <c r="AL211">
        <v>11</v>
      </c>
    </row>
    <row r="212" spans="1:38" x14ac:dyDescent="0.25">
      <c r="A212" s="2" t="s">
        <v>54</v>
      </c>
      <c r="B212">
        <v>1</v>
      </c>
      <c r="C212">
        <v>1</v>
      </c>
      <c r="D212">
        <v>1</v>
      </c>
      <c r="G212">
        <v>1</v>
      </c>
      <c r="M212">
        <v>1</v>
      </c>
      <c r="Q212">
        <v>1</v>
      </c>
      <c r="X212">
        <v>1</v>
      </c>
      <c r="Y212">
        <v>1</v>
      </c>
      <c r="AA212">
        <v>1</v>
      </c>
      <c r="AB212">
        <v>1</v>
      </c>
      <c r="AD212">
        <v>1</v>
      </c>
      <c r="AF212">
        <v>1</v>
      </c>
      <c r="AH212">
        <v>1</v>
      </c>
      <c r="AL212">
        <v>13</v>
      </c>
    </row>
    <row r="213" spans="1:38" x14ac:dyDescent="0.25">
      <c r="A213" s="2" t="s">
        <v>470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M213">
        <v>1</v>
      </c>
      <c r="X213">
        <v>1</v>
      </c>
      <c r="AF213">
        <v>1</v>
      </c>
      <c r="AH213">
        <v>1</v>
      </c>
      <c r="AI213">
        <v>1</v>
      </c>
      <c r="AJ213">
        <v>1</v>
      </c>
      <c r="AK213">
        <v>1</v>
      </c>
      <c r="AL213">
        <v>13</v>
      </c>
    </row>
    <row r="214" spans="1:38" x14ac:dyDescent="0.25">
      <c r="A214" s="2" t="s">
        <v>397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J214">
        <v>1</v>
      </c>
      <c r="M214">
        <v>1</v>
      </c>
      <c r="X214">
        <v>1</v>
      </c>
      <c r="AF214">
        <v>1</v>
      </c>
      <c r="AH214">
        <v>1</v>
      </c>
      <c r="AI214">
        <v>1</v>
      </c>
      <c r="AJ214">
        <v>1</v>
      </c>
      <c r="AK214">
        <v>1</v>
      </c>
      <c r="AL214">
        <v>14</v>
      </c>
    </row>
    <row r="215" spans="1:38" x14ac:dyDescent="0.25">
      <c r="A215" s="2" t="s">
        <v>575</v>
      </c>
      <c r="C215">
        <v>1</v>
      </c>
      <c r="AL215">
        <v>1</v>
      </c>
    </row>
    <row r="216" spans="1:38" x14ac:dyDescent="0.25">
      <c r="A216" s="2" t="s">
        <v>486</v>
      </c>
      <c r="E216">
        <v>1</v>
      </c>
      <c r="F216">
        <v>1</v>
      </c>
      <c r="AL216">
        <v>2</v>
      </c>
    </row>
    <row r="217" spans="1:38" x14ac:dyDescent="0.25">
      <c r="A217" s="2" t="s">
        <v>89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L217">
        <v>1</v>
      </c>
      <c r="M217">
        <v>1</v>
      </c>
      <c r="R217">
        <v>1</v>
      </c>
      <c r="S217">
        <v>1</v>
      </c>
      <c r="T217">
        <v>1</v>
      </c>
      <c r="X217">
        <v>1</v>
      </c>
      <c r="Z217">
        <v>1</v>
      </c>
      <c r="AB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22</v>
      </c>
    </row>
    <row r="218" spans="1:38" x14ac:dyDescent="0.25">
      <c r="A218" s="2" t="s">
        <v>138</v>
      </c>
      <c r="C218">
        <v>1</v>
      </c>
      <c r="E218">
        <v>1</v>
      </c>
      <c r="F218">
        <v>1</v>
      </c>
      <c r="G218">
        <v>1</v>
      </c>
      <c r="H218">
        <v>1</v>
      </c>
      <c r="T218">
        <v>1</v>
      </c>
      <c r="Z218">
        <v>1</v>
      </c>
      <c r="AI218">
        <v>1</v>
      </c>
      <c r="AK218">
        <v>1</v>
      </c>
      <c r="AL218">
        <v>9</v>
      </c>
    </row>
    <row r="219" spans="1:38" x14ac:dyDescent="0.25">
      <c r="A219" s="2" t="s">
        <v>348</v>
      </c>
      <c r="B219">
        <v>1</v>
      </c>
      <c r="C219">
        <v>1</v>
      </c>
      <c r="E219">
        <v>1</v>
      </c>
      <c r="F219">
        <v>1</v>
      </c>
      <c r="H219">
        <v>1</v>
      </c>
      <c r="I219">
        <v>1</v>
      </c>
      <c r="J219">
        <v>1</v>
      </c>
      <c r="N219">
        <v>1</v>
      </c>
      <c r="X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14</v>
      </c>
    </row>
    <row r="220" spans="1:38" x14ac:dyDescent="0.25">
      <c r="A220" s="2" t="s">
        <v>321</v>
      </c>
      <c r="B220">
        <v>1</v>
      </c>
      <c r="C220">
        <v>1</v>
      </c>
      <c r="D220">
        <v>1</v>
      </c>
      <c r="E220">
        <v>1</v>
      </c>
      <c r="H220">
        <v>1</v>
      </c>
      <c r="I220">
        <v>1</v>
      </c>
      <c r="J220">
        <v>1</v>
      </c>
      <c r="K220">
        <v>1</v>
      </c>
      <c r="M220">
        <v>1</v>
      </c>
      <c r="N220">
        <v>1</v>
      </c>
      <c r="O220">
        <v>1</v>
      </c>
      <c r="X220">
        <v>1</v>
      </c>
      <c r="AF220">
        <v>1</v>
      </c>
      <c r="AH220">
        <v>1</v>
      </c>
      <c r="AJ220">
        <v>1</v>
      </c>
      <c r="AK220">
        <v>1</v>
      </c>
      <c r="AL220">
        <v>16</v>
      </c>
    </row>
    <row r="221" spans="1:38" x14ac:dyDescent="0.25">
      <c r="A221" s="2" t="s">
        <v>27</v>
      </c>
      <c r="E221">
        <v>1</v>
      </c>
      <c r="G221">
        <v>1</v>
      </c>
      <c r="H221">
        <v>1</v>
      </c>
      <c r="I221">
        <v>1</v>
      </c>
      <c r="K221">
        <v>1</v>
      </c>
      <c r="N221">
        <v>1</v>
      </c>
      <c r="Q221">
        <v>1</v>
      </c>
      <c r="R221">
        <v>1</v>
      </c>
      <c r="U221">
        <v>1</v>
      </c>
      <c r="Z221">
        <v>1</v>
      </c>
      <c r="AB221">
        <v>1</v>
      </c>
      <c r="AD221">
        <v>1</v>
      </c>
      <c r="AE221">
        <v>1</v>
      </c>
      <c r="AL221">
        <v>13</v>
      </c>
    </row>
    <row r="222" spans="1:38" x14ac:dyDescent="0.25">
      <c r="A222" s="2" t="s">
        <v>55</v>
      </c>
      <c r="B222">
        <v>1</v>
      </c>
      <c r="E222">
        <v>1</v>
      </c>
      <c r="H222">
        <v>1</v>
      </c>
      <c r="M222">
        <v>1</v>
      </c>
      <c r="S222">
        <v>1</v>
      </c>
      <c r="Y222">
        <v>1</v>
      </c>
      <c r="AD222">
        <v>1</v>
      </c>
      <c r="AH222">
        <v>1</v>
      </c>
      <c r="AL222">
        <v>8</v>
      </c>
    </row>
    <row r="223" spans="1:38" x14ac:dyDescent="0.25">
      <c r="A223" s="2" t="s">
        <v>716</v>
      </c>
      <c r="B223">
        <v>60</v>
      </c>
      <c r="C223">
        <v>58</v>
      </c>
      <c r="D223">
        <v>49</v>
      </c>
      <c r="E223">
        <v>52</v>
      </c>
      <c r="F223">
        <v>40</v>
      </c>
      <c r="G223">
        <v>44</v>
      </c>
      <c r="H223">
        <v>48</v>
      </c>
      <c r="I223">
        <v>53</v>
      </c>
      <c r="J223">
        <v>43</v>
      </c>
      <c r="K223">
        <v>39</v>
      </c>
      <c r="L223">
        <v>35</v>
      </c>
      <c r="M223">
        <v>53</v>
      </c>
      <c r="N223">
        <v>34</v>
      </c>
      <c r="O223">
        <v>38</v>
      </c>
      <c r="P223">
        <v>33</v>
      </c>
      <c r="Q223">
        <v>41</v>
      </c>
      <c r="R223">
        <v>34</v>
      </c>
      <c r="S223">
        <v>32</v>
      </c>
      <c r="T223">
        <v>27</v>
      </c>
      <c r="U223">
        <v>31</v>
      </c>
      <c r="V223">
        <v>25</v>
      </c>
      <c r="W223">
        <v>24</v>
      </c>
      <c r="X223">
        <v>53</v>
      </c>
      <c r="Y223">
        <v>31</v>
      </c>
      <c r="Z223">
        <v>36</v>
      </c>
      <c r="AA223">
        <v>24</v>
      </c>
      <c r="AB223">
        <v>29</v>
      </c>
      <c r="AC223">
        <v>18</v>
      </c>
      <c r="AD223">
        <v>27</v>
      </c>
      <c r="AE223">
        <v>12</v>
      </c>
      <c r="AF223">
        <v>45</v>
      </c>
      <c r="AG223">
        <v>24</v>
      </c>
      <c r="AH223">
        <v>50</v>
      </c>
      <c r="AI223">
        <v>48</v>
      </c>
      <c r="AJ223">
        <v>47</v>
      </c>
      <c r="AK223">
        <v>56</v>
      </c>
      <c r="AL223">
        <v>1393</v>
      </c>
    </row>
    <row r="226" spans="1:15" x14ac:dyDescent="0.25">
      <c r="A226" s="1" t="s">
        <v>715</v>
      </c>
      <c r="B226" t="s">
        <v>724</v>
      </c>
      <c r="D226" s="1" t="s">
        <v>715</v>
      </c>
      <c r="E226" t="s">
        <v>733</v>
      </c>
    </row>
    <row r="227" spans="1:15" x14ac:dyDescent="0.25">
      <c r="A227" s="2" t="s">
        <v>29</v>
      </c>
      <c r="B227">
        <v>1.0768055555555556</v>
      </c>
      <c r="D227" s="2" t="s">
        <v>676</v>
      </c>
      <c r="E227">
        <v>60</v>
      </c>
      <c r="H227" s="1" t="s">
        <v>715</v>
      </c>
      <c r="I227" t="s">
        <v>764</v>
      </c>
      <c r="N227" s="1" t="s">
        <v>715</v>
      </c>
      <c r="O227" t="s">
        <v>764</v>
      </c>
    </row>
    <row r="228" spans="1:15" x14ac:dyDescent="0.25">
      <c r="A228" s="2" t="s">
        <v>5</v>
      </c>
      <c r="B228">
        <v>2.940405092592592</v>
      </c>
      <c r="D228" s="2" t="s">
        <v>554</v>
      </c>
      <c r="E228">
        <v>58</v>
      </c>
      <c r="H228" s="2" t="s">
        <v>676</v>
      </c>
      <c r="I228">
        <v>60</v>
      </c>
      <c r="N228" s="2">
        <v>1</v>
      </c>
      <c r="O228">
        <v>60</v>
      </c>
    </row>
    <row r="229" spans="1:15" x14ac:dyDescent="0.25">
      <c r="A229" s="2" t="s">
        <v>9</v>
      </c>
      <c r="B229">
        <v>2.2767708333333325</v>
      </c>
      <c r="D229" s="2" t="s">
        <v>523</v>
      </c>
      <c r="E229">
        <v>49</v>
      </c>
      <c r="H229" s="2" t="s">
        <v>665</v>
      </c>
      <c r="I229">
        <v>53</v>
      </c>
      <c r="N229" s="2">
        <v>2</v>
      </c>
      <c r="O229">
        <v>53</v>
      </c>
    </row>
    <row r="230" spans="1:15" x14ac:dyDescent="0.25">
      <c r="A230" s="2" t="s">
        <v>11</v>
      </c>
      <c r="B230">
        <v>2.9238773148148152</v>
      </c>
      <c r="D230" s="2" t="s">
        <v>491</v>
      </c>
      <c r="E230">
        <v>52</v>
      </c>
      <c r="H230" s="2" t="s">
        <v>653</v>
      </c>
      <c r="I230">
        <v>53</v>
      </c>
      <c r="N230" s="2">
        <v>3</v>
      </c>
      <c r="O230">
        <v>53</v>
      </c>
    </row>
    <row r="231" spans="1:15" x14ac:dyDescent="0.25">
      <c r="A231" s="2" t="s">
        <v>296</v>
      </c>
      <c r="B231">
        <v>1.2578124999999998</v>
      </c>
      <c r="D231" s="2" t="s">
        <v>477</v>
      </c>
      <c r="E231">
        <v>40</v>
      </c>
      <c r="H231" s="2" t="s">
        <v>648</v>
      </c>
      <c r="I231">
        <v>45</v>
      </c>
      <c r="N231" s="2">
        <v>4</v>
      </c>
      <c r="O231">
        <v>45</v>
      </c>
    </row>
    <row r="232" spans="1:15" x14ac:dyDescent="0.25">
      <c r="A232" s="2" t="s">
        <v>13</v>
      </c>
      <c r="B232">
        <v>0.5827430555555555</v>
      </c>
      <c r="D232" s="2" t="s">
        <v>444</v>
      </c>
      <c r="E232">
        <v>44</v>
      </c>
      <c r="H232" s="2" t="s">
        <v>635</v>
      </c>
      <c r="I232">
        <v>24</v>
      </c>
      <c r="N232" s="2">
        <v>5</v>
      </c>
      <c r="O232">
        <v>24</v>
      </c>
    </row>
    <row r="233" spans="1:15" x14ac:dyDescent="0.25">
      <c r="A233" s="2" t="s">
        <v>35</v>
      </c>
      <c r="B233">
        <v>2.4394675925925928</v>
      </c>
      <c r="D233" s="2" t="s">
        <v>416</v>
      </c>
      <c r="E233">
        <v>48</v>
      </c>
      <c r="H233" s="2" t="s">
        <v>612</v>
      </c>
      <c r="I233">
        <v>48</v>
      </c>
      <c r="N233" s="2">
        <v>6</v>
      </c>
      <c r="O233">
        <v>50</v>
      </c>
    </row>
    <row r="234" spans="1:15" x14ac:dyDescent="0.25">
      <c r="A234" s="2" t="s">
        <v>636</v>
      </c>
      <c r="B234">
        <v>0.40590277777777778</v>
      </c>
      <c r="D234" s="2" t="s">
        <v>401</v>
      </c>
      <c r="E234">
        <v>53</v>
      </c>
      <c r="H234" s="2" t="s">
        <v>716</v>
      </c>
      <c r="I234">
        <v>283</v>
      </c>
      <c r="N234" s="2">
        <v>7</v>
      </c>
      <c r="O234">
        <v>48</v>
      </c>
    </row>
    <row r="235" spans="1:15" x14ac:dyDescent="0.25">
      <c r="A235" s="2" t="s">
        <v>585</v>
      </c>
      <c r="B235">
        <v>0.46737268518518521</v>
      </c>
      <c r="D235" s="2" t="s">
        <v>389</v>
      </c>
      <c r="E235">
        <v>43</v>
      </c>
      <c r="N235" s="2">
        <v>8</v>
      </c>
      <c r="O235">
        <v>47</v>
      </c>
    </row>
    <row r="236" spans="1:15" x14ac:dyDescent="0.25">
      <c r="A236" s="2" t="s">
        <v>379</v>
      </c>
      <c r="B236">
        <v>6.895833333333333E-2</v>
      </c>
      <c r="D236" s="2" t="s">
        <v>375</v>
      </c>
      <c r="E236">
        <v>39</v>
      </c>
      <c r="N236" s="2">
        <v>9</v>
      </c>
      <c r="O236">
        <v>56</v>
      </c>
    </row>
    <row r="237" spans="1:15" x14ac:dyDescent="0.25">
      <c r="A237" s="2" t="s">
        <v>15</v>
      </c>
      <c r="B237">
        <v>1.8496064814814812</v>
      </c>
      <c r="D237" s="2" t="s">
        <v>353</v>
      </c>
      <c r="E237">
        <v>35</v>
      </c>
      <c r="N237" s="2">
        <v>10</v>
      </c>
      <c r="O237">
        <v>58</v>
      </c>
    </row>
    <row r="238" spans="1:15" x14ac:dyDescent="0.25">
      <c r="A238" s="2" t="s">
        <v>70</v>
      </c>
      <c r="B238">
        <v>2.4302314814814814</v>
      </c>
      <c r="D238" s="2" t="s">
        <v>665</v>
      </c>
      <c r="E238">
        <v>53</v>
      </c>
      <c r="H238" s="1" t="s">
        <v>715</v>
      </c>
      <c r="I238" t="s">
        <v>764</v>
      </c>
      <c r="N238" s="2">
        <v>11</v>
      </c>
      <c r="O238">
        <v>49</v>
      </c>
    </row>
    <row r="239" spans="1:15" x14ac:dyDescent="0.25">
      <c r="A239" s="2" t="s">
        <v>394</v>
      </c>
      <c r="B239">
        <v>7.2048611111111105E-2</v>
      </c>
      <c r="D239" s="2" t="s">
        <v>324</v>
      </c>
      <c r="E239">
        <v>34</v>
      </c>
      <c r="H239" s="2" t="s">
        <v>676</v>
      </c>
      <c r="I239">
        <v>60</v>
      </c>
      <c r="N239" s="2">
        <v>12</v>
      </c>
      <c r="O239">
        <v>52</v>
      </c>
    </row>
    <row r="240" spans="1:15" x14ac:dyDescent="0.25">
      <c r="A240" s="2" t="s">
        <v>59</v>
      </c>
      <c r="B240">
        <v>1.8999999999999997</v>
      </c>
      <c r="D240" s="2" t="s">
        <v>293</v>
      </c>
      <c r="E240">
        <v>38</v>
      </c>
      <c r="H240" s="2" t="s">
        <v>554</v>
      </c>
      <c r="I240">
        <v>58</v>
      </c>
      <c r="N240" s="2">
        <v>13</v>
      </c>
      <c r="O240">
        <v>40</v>
      </c>
    </row>
    <row r="241" spans="1:15" x14ac:dyDescent="0.25">
      <c r="A241" s="2" t="s">
        <v>97</v>
      </c>
      <c r="B241">
        <v>1.1971180555555556</v>
      </c>
      <c r="D241" s="2" t="s">
        <v>271</v>
      </c>
      <c r="E241">
        <v>33</v>
      </c>
      <c r="H241" s="2" t="s">
        <v>523</v>
      </c>
      <c r="I241">
        <v>49</v>
      </c>
      <c r="N241" s="2">
        <v>14</v>
      </c>
      <c r="O241">
        <v>44</v>
      </c>
    </row>
    <row r="242" spans="1:15" x14ac:dyDescent="0.25">
      <c r="A242" s="2" t="s">
        <v>380</v>
      </c>
      <c r="B242">
        <v>1.0416319444444444</v>
      </c>
      <c r="D242" s="2" t="s">
        <v>265</v>
      </c>
      <c r="E242">
        <v>41</v>
      </c>
      <c r="H242" s="2" t="s">
        <v>491</v>
      </c>
      <c r="I242">
        <v>52</v>
      </c>
      <c r="N242" s="2">
        <v>15</v>
      </c>
      <c r="O242">
        <v>48</v>
      </c>
    </row>
    <row r="243" spans="1:15" x14ac:dyDescent="0.25">
      <c r="A243" s="2" t="s">
        <v>407</v>
      </c>
      <c r="B243">
        <v>0.17310185185185184</v>
      </c>
      <c r="D243" s="2" t="s">
        <v>255</v>
      </c>
      <c r="E243">
        <v>34</v>
      </c>
      <c r="H243" s="2" t="s">
        <v>477</v>
      </c>
      <c r="I243">
        <v>40</v>
      </c>
      <c r="N243" s="2">
        <v>16</v>
      </c>
      <c r="O243">
        <v>53</v>
      </c>
    </row>
    <row r="244" spans="1:15" x14ac:dyDescent="0.25">
      <c r="A244" s="2" t="s">
        <v>112</v>
      </c>
      <c r="B244">
        <v>0.27579861111111115</v>
      </c>
      <c r="D244" s="2" t="s">
        <v>226</v>
      </c>
      <c r="E244">
        <v>32</v>
      </c>
      <c r="H244" s="2" t="s">
        <v>444</v>
      </c>
      <c r="I244">
        <v>44</v>
      </c>
      <c r="N244" s="2">
        <v>17</v>
      </c>
      <c r="O244">
        <v>43</v>
      </c>
    </row>
    <row r="245" spans="1:15" x14ac:dyDescent="0.25">
      <c r="A245" s="2" t="s">
        <v>181</v>
      </c>
      <c r="B245">
        <v>2.1640162037037038</v>
      </c>
      <c r="D245" s="2" t="s">
        <v>216</v>
      </c>
      <c r="E245">
        <v>27</v>
      </c>
      <c r="H245" s="2" t="s">
        <v>416</v>
      </c>
      <c r="I245">
        <v>48</v>
      </c>
      <c r="N245" s="2">
        <v>18</v>
      </c>
      <c r="O245">
        <v>39</v>
      </c>
    </row>
    <row r="246" spans="1:15" x14ac:dyDescent="0.25">
      <c r="A246" s="2" t="s">
        <v>359</v>
      </c>
      <c r="B246">
        <v>0.40467592592592594</v>
      </c>
      <c r="D246" s="2" t="s">
        <v>203</v>
      </c>
      <c r="E246">
        <v>31</v>
      </c>
      <c r="H246" s="2" t="s">
        <v>401</v>
      </c>
      <c r="I246">
        <v>53</v>
      </c>
      <c r="N246" s="2">
        <v>19</v>
      </c>
      <c r="O246">
        <v>35</v>
      </c>
    </row>
    <row r="247" spans="1:15" x14ac:dyDescent="0.25">
      <c r="A247" s="2" t="s">
        <v>36</v>
      </c>
      <c r="B247">
        <v>2.5660879629629627</v>
      </c>
      <c r="D247" s="2" t="s">
        <v>198</v>
      </c>
      <c r="E247">
        <v>25</v>
      </c>
      <c r="H247" s="2" t="s">
        <v>389</v>
      </c>
      <c r="I247">
        <v>43</v>
      </c>
      <c r="N247" s="2">
        <v>20</v>
      </c>
      <c r="O247">
        <v>34</v>
      </c>
    </row>
    <row r="248" spans="1:15" x14ac:dyDescent="0.25">
      <c r="A248" s="2" t="s">
        <v>530</v>
      </c>
      <c r="B248">
        <v>0.58204861111111117</v>
      </c>
      <c r="D248" s="2" t="s">
        <v>176</v>
      </c>
      <c r="E248">
        <v>24</v>
      </c>
      <c r="H248" s="2" t="s">
        <v>375</v>
      </c>
      <c r="I248">
        <v>39</v>
      </c>
      <c r="N248" s="2">
        <v>21</v>
      </c>
      <c r="O248">
        <v>38</v>
      </c>
    </row>
    <row r="249" spans="1:15" x14ac:dyDescent="0.25">
      <c r="A249" s="2" t="s">
        <v>587</v>
      </c>
      <c r="B249">
        <v>6.5891203703703702E-2</v>
      </c>
      <c r="D249" s="2" t="s">
        <v>653</v>
      </c>
      <c r="E249">
        <v>53</v>
      </c>
      <c r="H249" s="2" t="s">
        <v>353</v>
      </c>
      <c r="I249">
        <v>35</v>
      </c>
      <c r="N249" s="2">
        <v>22</v>
      </c>
      <c r="O249">
        <v>33</v>
      </c>
    </row>
    <row r="250" spans="1:15" x14ac:dyDescent="0.25">
      <c r="A250" s="2" t="s">
        <v>208</v>
      </c>
      <c r="B250">
        <v>1.0592361111111113</v>
      </c>
      <c r="D250" s="2" t="s">
        <v>143</v>
      </c>
      <c r="E250">
        <v>31</v>
      </c>
      <c r="H250" s="2" t="s">
        <v>665</v>
      </c>
      <c r="I250">
        <v>53</v>
      </c>
      <c r="N250" s="2">
        <v>23</v>
      </c>
      <c r="O250">
        <v>41</v>
      </c>
    </row>
    <row r="251" spans="1:15" x14ac:dyDescent="0.25">
      <c r="A251" s="2" t="s">
        <v>222</v>
      </c>
      <c r="B251">
        <v>0.82620370370370377</v>
      </c>
      <c r="D251" s="2" t="s">
        <v>105</v>
      </c>
      <c r="E251">
        <v>36</v>
      </c>
      <c r="H251" s="2" t="s">
        <v>324</v>
      </c>
      <c r="I251">
        <v>34</v>
      </c>
      <c r="N251" s="2">
        <v>24</v>
      </c>
      <c r="O251">
        <v>34</v>
      </c>
    </row>
    <row r="252" spans="1:15" x14ac:dyDescent="0.25">
      <c r="A252" s="2" t="s">
        <v>37</v>
      </c>
      <c r="B252">
        <v>1.5403356481481483</v>
      </c>
      <c r="D252" s="2" t="s">
        <v>93</v>
      </c>
      <c r="E252">
        <v>24</v>
      </c>
      <c r="H252" s="2" t="s">
        <v>293</v>
      </c>
      <c r="I252">
        <v>38</v>
      </c>
      <c r="N252" s="2">
        <v>25</v>
      </c>
      <c r="O252">
        <v>32</v>
      </c>
    </row>
    <row r="253" spans="1:15" x14ac:dyDescent="0.25">
      <c r="A253" s="2" t="s">
        <v>16</v>
      </c>
      <c r="B253">
        <v>3.0720949074074078</v>
      </c>
      <c r="D253" s="2" t="s">
        <v>65</v>
      </c>
      <c r="E253">
        <v>29</v>
      </c>
      <c r="H253" s="2" t="s">
        <v>271</v>
      </c>
      <c r="I253">
        <v>33</v>
      </c>
      <c r="N253" s="2">
        <v>26</v>
      </c>
      <c r="O253">
        <v>27</v>
      </c>
    </row>
    <row r="254" spans="1:15" x14ac:dyDescent="0.25">
      <c r="A254" s="2" t="s">
        <v>39</v>
      </c>
      <c r="B254">
        <v>0.34006944444444448</v>
      </c>
      <c r="D254" s="2" t="s">
        <v>58</v>
      </c>
      <c r="E254">
        <v>18</v>
      </c>
      <c r="H254" s="2" t="s">
        <v>265</v>
      </c>
      <c r="I254">
        <v>41</v>
      </c>
      <c r="N254" s="2">
        <v>27</v>
      </c>
      <c r="O254">
        <v>31</v>
      </c>
    </row>
    <row r="255" spans="1:15" x14ac:dyDescent="0.25">
      <c r="A255" s="2" t="s">
        <v>686</v>
      </c>
      <c r="B255">
        <v>7.8877314814814817E-2</v>
      </c>
      <c r="D255" s="2" t="s">
        <v>32</v>
      </c>
      <c r="E255">
        <v>27</v>
      </c>
      <c r="H255" s="2" t="s">
        <v>255</v>
      </c>
      <c r="I255">
        <v>34</v>
      </c>
      <c r="N255" s="2">
        <v>28</v>
      </c>
      <c r="O255">
        <v>25</v>
      </c>
    </row>
    <row r="256" spans="1:15" x14ac:dyDescent="0.25">
      <c r="A256" s="2" t="s">
        <v>184</v>
      </c>
      <c r="B256">
        <v>1.1954398148148149</v>
      </c>
      <c r="D256" s="2" t="s">
        <v>8</v>
      </c>
      <c r="E256">
        <v>12</v>
      </c>
      <c r="H256" s="2" t="s">
        <v>226</v>
      </c>
      <c r="I256">
        <v>32</v>
      </c>
      <c r="N256" s="2">
        <v>29</v>
      </c>
      <c r="O256">
        <v>24</v>
      </c>
    </row>
    <row r="257" spans="1:15" x14ac:dyDescent="0.25">
      <c r="A257" s="2" t="s">
        <v>534</v>
      </c>
      <c r="B257">
        <v>0.42208333333333331</v>
      </c>
      <c r="D257" s="2" t="s">
        <v>648</v>
      </c>
      <c r="E257">
        <v>45</v>
      </c>
      <c r="H257" s="2" t="s">
        <v>216</v>
      </c>
      <c r="I257">
        <v>27</v>
      </c>
      <c r="N257" s="2">
        <v>30</v>
      </c>
      <c r="O257">
        <v>31</v>
      </c>
    </row>
    <row r="258" spans="1:15" x14ac:dyDescent="0.25">
      <c r="A258" s="2" t="s">
        <v>186</v>
      </c>
      <c r="B258">
        <v>2.1888425925925925</v>
      </c>
      <c r="D258" s="2" t="s">
        <v>635</v>
      </c>
      <c r="E258">
        <v>24</v>
      </c>
      <c r="H258" s="2" t="s">
        <v>203</v>
      </c>
      <c r="I258">
        <v>31</v>
      </c>
      <c r="N258" s="2">
        <v>31</v>
      </c>
      <c r="O258">
        <v>36</v>
      </c>
    </row>
    <row r="259" spans="1:15" x14ac:dyDescent="0.25">
      <c r="A259" s="2" t="s">
        <v>689</v>
      </c>
      <c r="B259">
        <v>7.8877314814814817E-2</v>
      </c>
      <c r="D259" s="2" t="s">
        <v>618</v>
      </c>
      <c r="E259">
        <v>50</v>
      </c>
      <c r="H259" s="2" t="s">
        <v>198</v>
      </c>
      <c r="I259">
        <v>25</v>
      </c>
      <c r="N259" s="2">
        <v>32</v>
      </c>
      <c r="O259">
        <v>24</v>
      </c>
    </row>
    <row r="260" spans="1:15" x14ac:dyDescent="0.25">
      <c r="A260" s="2" t="s">
        <v>625</v>
      </c>
      <c r="B260">
        <v>0.16621527777777778</v>
      </c>
      <c r="D260" s="2" t="s">
        <v>612</v>
      </c>
      <c r="E260">
        <v>48</v>
      </c>
      <c r="H260" s="2" t="s">
        <v>176</v>
      </c>
      <c r="I260">
        <v>24</v>
      </c>
      <c r="N260" s="2">
        <v>33</v>
      </c>
      <c r="O260">
        <v>29</v>
      </c>
    </row>
    <row r="261" spans="1:15" x14ac:dyDescent="0.25">
      <c r="A261" s="2" t="s">
        <v>409</v>
      </c>
      <c r="B261">
        <v>1.0458796296296295</v>
      </c>
      <c r="D261" s="2" t="s">
        <v>603</v>
      </c>
      <c r="E261">
        <v>47</v>
      </c>
      <c r="H261" s="2" t="s">
        <v>653</v>
      </c>
      <c r="I261">
        <v>53</v>
      </c>
      <c r="N261" s="2">
        <v>34</v>
      </c>
      <c r="O261">
        <v>18</v>
      </c>
    </row>
    <row r="262" spans="1:15" x14ac:dyDescent="0.25">
      <c r="A262" s="2" t="s">
        <v>503</v>
      </c>
      <c r="B262">
        <v>0.19674768518518518</v>
      </c>
      <c r="D262" s="2" t="s">
        <v>582</v>
      </c>
      <c r="E262">
        <v>56</v>
      </c>
      <c r="H262" s="2" t="s">
        <v>143</v>
      </c>
      <c r="I262">
        <v>31</v>
      </c>
      <c r="N262" s="2">
        <v>35</v>
      </c>
      <c r="O262">
        <v>27</v>
      </c>
    </row>
    <row r="263" spans="1:15" x14ac:dyDescent="0.25">
      <c r="A263" s="2" t="s">
        <v>538</v>
      </c>
      <c r="B263">
        <v>0.69039351851851849</v>
      </c>
      <c r="D263" s="2" t="s">
        <v>716</v>
      </c>
      <c r="E263">
        <v>1393</v>
      </c>
      <c r="H263" s="2" t="s">
        <v>105</v>
      </c>
      <c r="I263">
        <v>36</v>
      </c>
      <c r="N263" s="2">
        <v>36</v>
      </c>
      <c r="O263">
        <v>12</v>
      </c>
    </row>
    <row r="264" spans="1:15" x14ac:dyDescent="0.25">
      <c r="A264" s="2" t="s">
        <v>114</v>
      </c>
      <c r="B264">
        <v>1.2168749999999997</v>
      </c>
      <c r="H264" s="2" t="s">
        <v>93</v>
      </c>
      <c r="I264">
        <v>24</v>
      </c>
      <c r="N264" s="2" t="s">
        <v>716</v>
      </c>
      <c r="O264">
        <v>1393</v>
      </c>
    </row>
    <row r="265" spans="1:15" x14ac:dyDescent="0.25">
      <c r="A265" s="2" t="s">
        <v>410</v>
      </c>
      <c r="B265">
        <v>0.64781250000000001</v>
      </c>
      <c r="H265" s="2" t="s">
        <v>65</v>
      </c>
      <c r="I265">
        <v>29</v>
      </c>
    </row>
    <row r="266" spans="1:15" x14ac:dyDescent="0.25">
      <c r="A266" s="2" t="s">
        <v>668</v>
      </c>
      <c r="B266">
        <v>8.925925925925926E-2</v>
      </c>
      <c r="D266" s="1" t="s">
        <v>715</v>
      </c>
      <c r="E266" t="s">
        <v>722</v>
      </c>
      <c r="F266" t="s">
        <v>724</v>
      </c>
      <c r="H266" s="2" t="s">
        <v>58</v>
      </c>
      <c r="I266">
        <v>18</v>
      </c>
    </row>
    <row r="267" spans="1:15" x14ac:dyDescent="0.25">
      <c r="A267" s="2" t="s">
        <v>335</v>
      </c>
      <c r="B267">
        <v>0.59949074074074071</v>
      </c>
      <c r="D267" s="2" t="s">
        <v>5</v>
      </c>
      <c r="E267">
        <v>25</v>
      </c>
      <c r="F267">
        <v>2.940405092592592</v>
      </c>
      <c r="H267" s="2" t="s">
        <v>32</v>
      </c>
      <c r="I267">
        <v>27</v>
      </c>
    </row>
    <row r="268" spans="1:15" x14ac:dyDescent="0.25">
      <c r="A268" s="2" t="s">
        <v>18</v>
      </c>
      <c r="B268">
        <v>2.8203587962962962</v>
      </c>
      <c r="D268" s="2" t="s">
        <v>16</v>
      </c>
      <c r="E268">
        <v>36</v>
      </c>
      <c r="F268">
        <v>3.0720949074074078</v>
      </c>
      <c r="H268" s="2" t="s">
        <v>8</v>
      </c>
      <c r="I268">
        <v>12</v>
      </c>
    </row>
    <row r="269" spans="1:15" x14ac:dyDescent="0.25">
      <c r="A269" s="2" t="s">
        <v>41</v>
      </c>
      <c r="B269">
        <v>2.6125578703703707</v>
      </c>
      <c r="D269" s="2" t="s">
        <v>22</v>
      </c>
      <c r="E269">
        <v>35</v>
      </c>
      <c r="F269">
        <v>3.0000462962962966</v>
      </c>
      <c r="H269" s="2" t="s">
        <v>648</v>
      </c>
      <c r="I269">
        <v>45</v>
      </c>
    </row>
    <row r="270" spans="1:15" x14ac:dyDescent="0.25">
      <c r="A270" s="2" t="s">
        <v>267</v>
      </c>
      <c r="B270">
        <v>0.84255787037037044</v>
      </c>
      <c r="D270" s="2" t="s">
        <v>716</v>
      </c>
      <c r="E270">
        <v>96</v>
      </c>
      <c r="F270">
        <v>9.012546296296291</v>
      </c>
      <c r="H270" s="2" t="s">
        <v>635</v>
      </c>
      <c r="I270">
        <v>24</v>
      </c>
    </row>
    <row r="271" spans="1:15" x14ac:dyDescent="0.25">
      <c r="A271" s="2" t="s">
        <v>506</v>
      </c>
      <c r="B271">
        <v>0.82265046296296296</v>
      </c>
      <c r="H271" s="2" t="s">
        <v>618</v>
      </c>
      <c r="I271">
        <v>50</v>
      </c>
    </row>
    <row r="272" spans="1:15" x14ac:dyDescent="0.25">
      <c r="A272" s="2" t="s">
        <v>118</v>
      </c>
      <c r="B272">
        <v>1.6681712962962962</v>
      </c>
      <c r="H272" s="2" t="s">
        <v>612</v>
      </c>
      <c r="I272">
        <v>48</v>
      </c>
    </row>
    <row r="273" spans="1:9" x14ac:dyDescent="0.25">
      <c r="A273" s="2" t="s">
        <v>383</v>
      </c>
      <c r="B273">
        <v>1.0903240740740741</v>
      </c>
      <c r="H273" s="2" t="s">
        <v>603</v>
      </c>
      <c r="I273">
        <v>47</v>
      </c>
    </row>
    <row r="274" spans="1:9" x14ac:dyDescent="0.25">
      <c r="A274" s="2" t="s">
        <v>60</v>
      </c>
      <c r="B274">
        <v>1.6124652777777781</v>
      </c>
      <c r="H274" s="2" t="s">
        <v>582</v>
      </c>
      <c r="I274">
        <v>56</v>
      </c>
    </row>
    <row r="275" spans="1:9" x14ac:dyDescent="0.25">
      <c r="A275" s="2" t="s">
        <v>236</v>
      </c>
      <c r="B275">
        <v>0.49251157407407409</v>
      </c>
      <c r="H275" s="2" t="s">
        <v>716</v>
      </c>
      <c r="I275">
        <v>1393</v>
      </c>
    </row>
    <row r="276" spans="1:9" x14ac:dyDescent="0.25">
      <c r="A276" s="2" t="s">
        <v>592</v>
      </c>
      <c r="B276">
        <v>0.14476851851851852</v>
      </c>
    </row>
    <row r="277" spans="1:9" x14ac:dyDescent="0.25">
      <c r="A277" s="2" t="s">
        <v>20</v>
      </c>
      <c r="B277">
        <v>2.783159722222222</v>
      </c>
    </row>
    <row r="278" spans="1:9" x14ac:dyDescent="0.25">
      <c r="A278" s="2" t="s">
        <v>540</v>
      </c>
      <c r="B278">
        <v>0.40134259259259258</v>
      </c>
    </row>
    <row r="279" spans="1:9" x14ac:dyDescent="0.25">
      <c r="A279" s="2" t="s">
        <v>43</v>
      </c>
      <c r="B279">
        <v>1.3990740740740739</v>
      </c>
    </row>
    <row r="280" spans="1:9" x14ac:dyDescent="0.25">
      <c r="A280" s="2" t="s">
        <v>223</v>
      </c>
      <c r="B280">
        <v>9.6956018518518525E-2</v>
      </c>
    </row>
    <row r="281" spans="1:9" x14ac:dyDescent="0.25">
      <c r="A281" s="2" t="s">
        <v>122</v>
      </c>
      <c r="B281">
        <v>6.5439814814814812E-2</v>
      </c>
    </row>
    <row r="282" spans="1:9" x14ac:dyDescent="0.25">
      <c r="A282" s="2" t="s">
        <v>44</v>
      </c>
      <c r="B282">
        <v>1.5634259259259258</v>
      </c>
    </row>
    <row r="283" spans="1:9" x14ac:dyDescent="0.25">
      <c r="A283" s="2" t="s">
        <v>671</v>
      </c>
      <c r="B283">
        <v>8.925925925925926E-2</v>
      </c>
    </row>
    <row r="284" spans="1:9" x14ac:dyDescent="0.25">
      <c r="A284" s="2" t="s">
        <v>99</v>
      </c>
      <c r="B284">
        <v>1.5325347222222221</v>
      </c>
    </row>
    <row r="285" spans="1:9" x14ac:dyDescent="0.25">
      <c r="A285" s="2" t="s">
        <v>156</v>
      </c>
      <c r="B285">
        <v>1.5553819444444443</v>
      </c>
    </row>
    <row r="286" spans="1:9" x14ac:dyDescent="0.25">
      <c r="A286" s="2" t="s">
        <v>384</v>
      </c>
      <c r="B286">
        <v>0.58012731481481483</v>
      </c>
    </row>
    <row r="287" spans="1:9" x14ac:dyDescent="0.25">
      <c r="A287" s="2" t="s">
        <v>238</v>
      </c>
      <c r="B287">
        <v>1.7564814814814811</v>
      </c>
    </row>
    <row r="288" spans="1:9" x14ac:dyDescent="0.25">
      <c r="A288" s="2" t="s">
        <v>22</v>
      </c>
      <c r="B288">
        <v>3.0000462962962966</v>
      </c>
    </row>
    <row r="289" spans="1:2" x14ac:dyDescent="0.25">
      <c r="A289" s="2" t="s">
        <v>61</v>
      </c>
      <c r="B289">
        <v>1.2942013888888886</v>
      </c>
    </row>
    <row r="290" spans="1:2" x14ac:dyDescent="0.25">
      <c r="A290" s="2" t="s">
        <v>412</v>
      </c>
      <c r="B290">
        <v>0.14520833333333333</v>
      </c>
    </row>
    <row r="291" spans="1:2" x14ac:dyDescent="0.25">
      <c r="A291" s="2" t="s">
        <v>46</v>
      </c>
      <c r="B291">
        <v>2.7944212962962962</v>
      </c>
    </row>
    <row r="292" spans="1:2" x14ac:dyDescent="0.25">
      <c r="A292" s="2" t="s">
        <v>596</v>
      </c>
      <c r="B292">
        <v>6.5891203703703702E-2</v>
      </c>
    </row>
    <row r="293" spans="1:2" x14ac:dyDescent="0.25">
      <c r="A293" s="2" t="s">
        <v>100</v>
      </c>
      <c r="B293">
        <v>1.3441550925925922</v>
      </c>
    </row>
    <row r="294" spans="1:2" x14ac:dyDescent="0.25">
      <c r="A294" s="2" t="s">
        <v>23</v>
      </c>
      <c r="B294">
        <v>2.4989004629629634</v>
      </c>
    </row>
    <row r="295" spans="1:2" x14ac:dyDescent="0.25">
      <c r="A295" s="2" t="s">
        <v>511</v>
      </c>
      <c r="B295">
        <v>0.78350694444444446</v>
      </c>
    </row>
    <row r="296" spans="1:2" x14ac:dyDescent="0.25">
      <c r="A296" s="2" t="s">
        <v>49</v>
      </c>
      <c r="B296">
        <v>1.3987037037037033</v>
      </c>
    </row>
    <row r="297" spans="1:2" x14ac:dyDescent="0.25">
      <c r="A297" s="2" t="s">
        <v>78</v>
      </c>
      <c r="B297">
        <v>0.41204861111111113</v>
      </c>
    </row>
    <row r="298" spans="1:2" x14ac:dyDescent="0.25">
      <c r="A298" s="2" t="s">
        <v>268</v>
      </c>
      <c r="B298">
        <v>1.0640393518518518</v>
      </c>
    </row>
    <row r="299" spans="1:2" x14ac:dyDescent="0.25">
      <c r="A299" s="2" t="s">
        <v>243</v>
      </c>
      <c r="B299">
        <v>0.15128472222222222</v>
      </c>
    </row>
    <row r="300" spans="1:2" x14ac:dyDescent="0.25">
      <c r="A300" s="2" t="s">
        <v>129</v>
      </c>
      <c r="B300">
        <v>0.15494212962962961</v>
      </c>
    </row>
    <row r="301" spans="1:2" x14ac:dyDescent="0.25">
      <c r="A301" s="2" t="s">
        <v>200</v>
      </c>
      <c r="B301">
        <v>0.46819444444444447</v>
      </c>
    </row>
    <row r="302" spans="1:2" x14ac:dyDescent="0.25">
      <c r="A302" s="2" t="s">
        <v>25</v>
      </c>
      <c r="B302">
        <v>2.198425925925926</v>
      </c>
    </row>
    <row r="303" spans="1:2" x14ac:dyDescent="0.25">
      <c r="A303" s="2" t="s">
        <v>546</v>
      </c>
      <c r="B303">
        <v>0.50312500000000004</v>
      </c>
    </row>
    <row r="304" spans="1:2" x14ac:dyDescent="0.25">
      <c r="A304" s="2" t="s">
        <v>193</v>
      </c>
      <c r="B304">
        <v>1.2954629629629626</v>
      </c>
    </row>
    <row r="305" spans="1:2" x14ac:dyDescent="0.25">
      <c r="A305" s="2" t="s">
        <v>213</v>
      </c>
      <c r="B305">
        <v>0.78620370370370363</v>
      </c>
    </row>
    <row r="306" spans="1:2" x14ac:dyDescent="0.25">
      <c r="A306" s="2" t="s">
        <v>50</v>
      </c>
      <c r="B306">
        <v>2.5218981481481482</v>
      </c>
    </row>
    <row r="307" spans="1:2" x14ac:dyDescent="0.25">
      <c r="A307" s="2" t="s">
        <v>570</v>
      </c>
      <c r="B307">
        <v>0.88497685185185193</v>
      </c>
    </row>
    <row r="308" spans="1:2" x14ac:dyDescent="0.25">
      <c r="A308" s="2" t="s">
        <v>62</v>
      </c>
      <c r="B308">
        <v>2.1651388888888889</v>
      </c>
    </row>
    <row r="309" spans="1:2" x14ac:dyDescent="0.25">
      <c r="A309" s="2" t="s">
        <v>483</v>
      </c>
      <c r="B309">
        <v>9.9895833333333336E-2</v>
      </c>
    </row>
    <row r="310" spans="1:2" x14ac:dyDescent="0.25">
      <c r="A310" s="2" t="s">
        <v>516</v>
      </c>
      <c r="B310">
        <v>0.44266203703703705</v>
      </c>
    </row>
    <row r="311" spans="1:2" x14ac:dyDescent="0.25">
      <c r="A311" s="2" t="s">
        <v>315</v>
      </c>
      <c r="B311">
        <v>7.604166666666666E-2</v>
      </c>
    </row>
    <row r="312" spans="1:2" x14ac:dyDescent="0.25">
      <c r="A312" s="2" t="s">
        <v>51</v>
      </c>
      <c r="B312">
        <v>2.1013194444444445</v>
      </c>
    </row>
    <row r="313" spans="1:2" x14ac:dyDescent="0.25">
      <c r="A313" s="2" t="s">
        <v>82</v>
      </c>
      <c r="B313">
        <v>0.40115740740740735</v>
      </c>
    </row>
    <row r="314" spans="1:2" x14ac:dyDescent="0.25">
      <c r="A314" s="2" t="s">
        <v>83</v>
      </c>
      <c r="B314">
        <v>2.4191087962962965</v>
      </c>
    </row>
    <row r="315" spans="1:2" x14ac:dyDescent="0.25">
      <c r="A315" s="2" t="s">
        <v>706</v>
      </c>
      <c r="B315">
        <v>7.8877314814814817E-2</v>
      </c>
    </row>
    <row r="316" spans="1:2" x14ac:dyDescent="0.25">
      <c r="A316" s="2" t="s">
        <v>261</v>
      </c>
      <c r="B316">
        <v>0.53628472222222223</v>
      </c>
    </row>
    <row r="317" spans="1:2" x14ac:dyDescent="0.25">
      <c r="A317" s="2" t="s">
        <v>549</v>
      </c>
      <c r="B317">
        <v>0.65927083333333336</v>
      </c>
    </row>
    <row r="318" spans="1:2" x14ac:dyDescent="0.25">
      <c r="A318" s="2" t="s">
        <v>85</v>
      </c>
      <c r="B318">
        <v>1.6359027777777777</v>
      </c>
    </row>
    <row r="319" spans="1:2" x14ac:dyDescent="0.25">
      <c r="A319" s="2" t="s">
        <v>134</v>
      </c>
      <c r="B319">
        <v>0.69800925925925927</v>
      </c>
    </row>
    <row r="320" spans="1:2" x14ac:dyDescent="0.25">
      <c r="A320" s="2" t="s">
        <v>101</v>
      </c>
      <c r="B320">
        <v>0.59924768518518523</v>
      </c>
    </row>
    <row r="321" spans="1:2" x14ac:dyDescent="0.25">
      <c r="A321" s="2" t="s">
        <v>53</v>
      </c>
      <c r="B321">
        <v>2.9219097222222223</v>
      </c>
    </row>
    <row r="322" spans="1:2" x14ac:dyDescent="0.25">
      <c r="A322" s="2" t="s">
        <v>651</v>
      </c>
      <c r="B322">
        <v>7.6249999999999998E-2</v>
      </c>
    </row>
    <row r="323" spans="1:2" x14ac:dyDescent="0.25">
      <c r="A323" s="2" t="s">
        <v>262</v>
      </c>
      <c r="B323">
        <v>0.92449074074074078</v>
      </c>
    </row>
    <row r="324" spans="1:2" x14ac:dyDescent="0.25">
      <c r="A324" s="2" t="s">
        <v>54</v>
      </c>
      <c r="B324">
        <v>1.1254629629629631</v>
      </c>
    </row>
    <row r="325" spans="1:2" x14ac:dyDescent="0.25">
      <c r="A325" s="2" t="s">
        <v>470</v>
      </c>
      <c r="B325">
        <v>1.1271875</v>
      </c>
    </row>
    <row r="326" spans="1:2" x14ac:dyDescent="0.25">
      <c r="A326" s="2" t="s">
        <v>397</v>
      </c>
      <c r="B326">
        <v>1.1992361111111112</v>
      </c>
    </row>
    <row r="327" spans="1:2" x14ac:dyDescent="0.25">
      <c r="A327" s="2" t="s">
        <v>575</v>
      </c>
      <c r="B327">
        <v>8.3715277777777777E-2</v>
      </c>
    </row>
    <row r="328" spans="1:2" x14ac:dyDescent="0.25">
      <c r="A328" s="2" t="s">
        <v>486</v>
      </c>
      <c r="B328">
        <v>0.20599537037037036</v>
      </c>
    </row>
    <row r="329" spans="1:2" x14ac:dyDescent="0.25">
      <c r="A329" s="2" t="s">
        <v>89</v>
      </c>
      <c r="B329">
        <v>1.9474305555555553</v>
      </c>
    </row>
    <row r="330" spans="1:2" x14ac:dyDescent="0.25">
      <c r="A330" s="2" t="s">
        <v>138</v>
      </c>
      <c r="B330">
        <v>0.79221064814814812</v>
      </c>
    </row>
    <row r="331" spans="1:2" x14ac:dyDescent="0.25">
      <c r="A331" s="2" t="s">
        <v>348</v>
      </c>
      <c r="B331">
        <v>1.2692476851851848</v>
      </c>
    </row>
    <row r="332" spans="1:2" x14ac:dyDescent="0.25">
      <c r="A332" s="2" t="s">
        <v>321</v>
      </c>
      <c r="B332">
        <v>1.3511689814814811</v>
      </c>
    </row>
    <row r="333" spans="1:2" x14ac:dyDescent="0.25">
      <c r="A333" s="2" t="s">
        <v>27</v>
      </c>
      <c r="B333">
        <v>1.1150578703703704</v>
      </c>
    </row>
    <row r="334" spans="1:2" x14ac:dyDescent="0.25">
      <c r="A334" s="2" t="s">
        <v>55</v>
      </c>
      <c r="B334">
        <v>0.72842592592592592</v>
      </c>
    </row>
    <row r="335" spans="1:2" x14ac:dyDescent="0.25">
      <c r="A335" s="2" t="s">
        <v>716</v>
      </c>
      <c r="B335">
        <v>119.09299768518521</v>
      </c>
    </row>
    <row r="337" spans="1:5" x14ac:dyDescent="0.25">
      <c r="A337" s="1" t="s">
        <v>715</v>
      </c>
      <c r="B337" t="s">
        <v>803</v>
      </c>
      <c r="D337" s="1" t="s">
        <v>715</v>
      </c>
      <c r="E337" t="s">
        <v>803</v>
      </c>
    </row>
    <row r="338" spans="1:5" x14ac:dyDescent="0.25">
      <c r="A338" s="2" t="s">
        <v>29</v>
      </c>
      <c r="B338">
        <v>13</v>
      </c>
      <c r="D338" s="2">
        <v>1</v>
      </c>
      <c r="E338">
        <v>60</v>
      </c>
    </row>
    <row r="339" spans="1:5" x14ac:dyDescent="0.25">
      <c r="A339" s="2" t="s">
        <v>5</v>
      </c>
      <c r="B339">
        <v>25</v>
      </c>
      <c r="D339" s="2">
        <v>2</v>
      </c>
      <c r="E339">
        <v>53</v>
      </c>
    </row>
    <row r="340" spans="1:5" x14ac:dyDescent="0.25">
      <c r="A340" s="2" t="s">
        <v>9</v>
      </c>
      <c r="B340">
        <v>27</v>
      </c>
      <c r="D340" s="2">
        <v>3</v>
      </c>
      <c r="E340">
        <v>53</v>
      </c>
    </row>
    <row r="341" spans="1:5" x14ac:dyDescent="0.25">
      <c r="A341" s="2" t="s">
        <v>11</v>
      </c>
      <c r="B341">
        <v>35</v>
      </c>
      <c r="D341" s="2">
        <v>4</v>
      </c>
      <c r="E341">
        <v>45</v>
      </c>
    </row>
    <row r="342" spans="1:5" x14ac:dyDescent="0.25">
      <c r="A342" s="2" t="s">
        <v>296</v>
      </c>
      <c r="B342">
        <v>14</v>
      </c>
      <c r="D342" s="2">
        <v>5</v>
      </c>
      <c r="E342">
        <v>24</v>
      </c>
    </row>
    <row r="343" spans="1:5" x14ac:dyDescent="0.25">
      <c r="A343" s="2" t="s">
        <v>13</v>
      </c>
      <c r="B343">
        <v>7</v>
      </c>
      <c r="D343" s="2">
        <v>6</v>
      </c>
      <c r="E343">
        <v>50</v>
      </c>
    </row>
    <row r="344" spans="1:5" x14ac:dyDescent="0.25">
      <c r="A344" s="2" t="s">
        <v>35</v>
      </c>
      <c r="B344">
        <v>29</v>
      </c>
      <c r="D344" s="2">
        <v>7</v>
      </c>
      <c r="E344">
        <v>48</v>
      </c>
    </row>
    <row r="345" spans="1:5" x14ac:dyDescent="0.25">
      <c r="A345" s="2" t="s">
        <v>636</v>
      </c>
      <c r="B345">
        <v>4</v>
      </c>
      <c r="D345" s="2">
        <v>8</v>
      </c>
      <c r="E345">
        <v>47</v>
      </c>
    </row>
    <row r="346" spans="1:5" x14ac:dyDescent="0.25">
      <c r="A346" s="2" t="s">
        <v>585</v>
      </c>
      <c r="B346">
        <v>5</v>
      </c>
      <c r="D346" s="2">
        <v>9</v>
      </c>
      <c r="E346">
        <v>56</v>
      </c>
    </row>
    <row r="347" spans="1:5" x14ac:dyDescent="0.25">
      <c r="A347" s="2" t="s">
        <v>379</v>
      </c>
      <c r="B347">
        <v>1</v>
      </c>
      <c r="D347" s="2">
        <v>10</v>
      </c>
      <c r="E347">
        <v>58</v>
      </c>
    </row>
    <row r="348" spans="1:5" x14ac:dyDescent="0.25">
      <c r="A348" s="2" t="s">
        <v>15</v>
      </c>
      <c r="B348">
        <v>22</v>
      </c>
      <c r="D348" s="2">
        <v>11</v>
      </c>
      <c r="E348">
        <v>49</v>
      </c>
    </row>
    <row r="349" spans="1:5" x14ac:dyDescent="0.25">
      <c r="A349" s="2" t="s">
        <v>70</v>
      </c>
      <c r="B349">
        <v>29</v>
      </c>
      <c r="D349" s="2">
        <v>12</v>
      </c>
      <c r="E349">
        <v>52</v>
      </c>
    </row>
    <row r="350" spans="1:5" x14ac:dyDescent="0.25">
      <c r="A350" s="2" t="s">
        <v>394</v>
      </c>
      <c r="B350">
        <v>1</v>
      </c>
      <c r="D350" s="2">
        <v>13</v>
      </c>
      <c r="E350">
        <v>40</v>
      </c>
    </row>
    <row r="351" spans="1:5" x14ac:dyDescent="0.25">
      <c r="A351" s="2" t="s">
        <v>59</v>
      </c>
      <c r="B351">
        <v>22</v>
      </c>
      <c r="D351" s="2">
        <v>14</v>
      </c>
      <c r="E351">
        <v>44</v>
      </c>
    </row>
    <row r="352" spans="1:5" x14ac:dyDescent="0.25">
      <c r="A352" s="2" t="s">
        <v>97</v>
      </c>
      <c r="B352">
        <v>14</v>
      </c>
      <c r="D352" s="2">
        <v>15</v>
      </c>
      <c r="E352">
        <v>48</v>
      </c>
    </row>
    <row r="353" spans="1:5" x14ac:dyDescent="0.25">
      <c r="A353" s="2" t="s">
        <v>380</v>
      </c>
      <c r="B353">
        <v>12</v>
      </c>
      <c r="D353" s="2">
        <v>16</v>
      </c>
      <c r="E353">
        <v>53</v>
      </c>
    </row>
    <row r="354" spans="1:5" x14ac:dyDescent="0.25">
      <c r="A354" s="2" t="s">
        <v>407</v>
      </c>
      <c r="B354">
        <v>2</v>
      </c>
      <c r="D354" s="2">
        <v>17</v>
      </c>
      <c r="E354">
        <v>43</v>
      </c>
    </row>
    <row r="355" spans="1:5" x14ac:dyDescent="0.25">
      <c r="A355" s="2" t="s">
        <v>112</v>
      </c>
      <c r="B355">
        <v>4</v>
      </c>
      <c r="D355" s="2">
        <v>18</v>
      </c>
      <c r="E355">
        <v>39</v>
      </c>
    </row>
    <row r="356" spans="1:5" x14ac:dyDescent="0.25">
      <c r="A356" s="2" t="s">
        <v>181</v>
      </c>
      <c r="B356">
        <v>25</v>
      </c>
      <c r="D356" s="2">
        <v>19</v>
      </c>
      <c r="E356">
        <v>35</v>
      </c>
    </row>
    <row r="357" spans="1:5" x14ac:dyDescent="0.25">
      <c r="A357" s="2" t="s">
        <v>359</v>
      </c>
      <c r="B357">
        <v>5</v>
      </c>
      <c r="D357" s="2">
        <v>20</v>
      </c>
      <c r="E357">
        <v>34</v>
      </c>
    </row>
    <row r="358" spans="1:5" x14ac:dyDescent="0.25">
      <c r="A358" s="2" t="s">
        <v>36</v>
      </c>
      <c r="B358">
        <v>30</v>
      </c>
      <c r="D358" s="2">
        <v>21</v>
      </c>
      <c r="E358">
        <v>38</v>
      </c>
    </row>
    <row r="359" spans="1:5" x14ac:dyDescent="0.25">
      <c r="A359" s="2" t="s">
        <v>530</v>
      </c>
      <c r="B359">
        <v>7</v>
      </c>
      <c r="D359" s="2">
        <v>22</v>
      </c>
      <c r="E359">
        <v>33</v>
      </c>
    </row>
    <row r="360" spans="1:5" x14ac:dyDescent="0.25">
      <c r="A360" s="2" t="s">
        <v>587</v>
      </c>
      <c r="B360">
        <v>1</v>
      </c>
      <c r="D360" s="2">
        <v>23</v>
      </c>
      <c r="E360">
        <v>41</v>
      </c>
    </row>
    <row r="361" spans="1:5" x14ac:dyDescent="0.25">
      <c r="A361" s="2" t="s">
        <v>208</v>
      </c>
      <c r="B361">
        <v>12</v>
      </c>
      <c r="D361" s="2">
        <v>24</v>
      </c>
      <c r="E361">
        <v>34</v>
      </c>
    </row>
    <row r="362" spans="1:5" x14ac:dyDescent="0.25">
      <c r="A362" s="2" t="s">
        <v>222</v>
      </c>
      <c r="B362">
        <v>10</v>
      </c>
      <c r="D362" s="2">
        <v>25</v>
      </c>
      <c r="E362">
        <v>32</v>
      </c>
    </row>
    <row r="363" spans="1:5" x14ac:dyDescent="0.25">
      <c r="A363" s="2" t="s">
        <v>37</v>
      </c>
      <c r="B363">
        <v>19</v>
      </c>
      <c r="D363" s="2">
        <v>26</v>
      </c>
      <c r="E363">
        <v>27</v>
      </c>
    </row>
    <row r="364" spans="1:5" x14ac:dyDescent="0.25">
      <c r="A364" s="2" t="s">
        <v>16</v>
      </c>
      <c r="B364">
        <v>36</v>
      </c>
      <c r="D364" s="2">
        <v>27</v>
      </c>
      <c r="E364">
        <v>31</v>
      </c>
    </row>
    <row r="365" spans="1:5" x14ac:dyDescent="0.25">
      <c r="A365" s="2" t="s">
        <v>39</v>
      </c>
      <c r="B365">
        <v>4</v>
      </c>
      <c r="D365" s="2">
        <v>28</v>
      </c>
      <c r="E365">
        <v>25</v>
      </c>
    </row>
    <row r="366" spans="1:5" x14ac:dyDescent="0.25">
      <c r="A366" s="2" t="s">
        <v>686</v>
      </c>
      <c r="B366">
        <v>1</v>
      </c>
      <c r="D366" s="2">
        <v>29</v>
      </c>
      <c r="E366">
        <v>24</v>
      </c>
    </row>
    <row r="367" spans="1:5" x14ac:dyDescent="0.25">
      <c r="A367" s="2" t="s">
        <v>184</v>
      </c>
      <c r="B367">
        <v>14</v>
      </c>
      <c r="D367" s="2">
        <v>30</v>
      </c>
      <c r="E367">
        <v>31</v>
      </c>
    </row>
    <row r="368" spans="1:5" x14ac:dyDescent="0.25">
      <c r="A368" s="2" t="s">
        <v>534</v>
      </c>
      <c r="B368">
        <v>5</v>
      </c>
      <c r="D368" s="2">
        <v>31</v>
      </c>
      <c r="E368">
        <v>36</v>
      </c>
    </row>
    <row r="369" spans="1:6" x14ac:dyDescent="0.25">
      <c r="A369" s="2" t="s">
        <v>186</v>
      </c>
      <c r="B369">
        <v>25</v>
      </c>
      <c r="D369" s="2">
        <v>32</v>
      </c>
      <c r="E369">
        <v>24</v>
      </c>
    </row>
    <row r="370" spans="1:6" x14ac:dyDescent="0.25">
      <c r="A370" s="2" t="s">
        <v>689</v>
      </c>
      <c r="B370">
        <v>1</v>
      </c>
      <c r="D370" s="2">
        <v>33</v>
      </c>
      <c r="E370">
        <v>29</v>
      </c>
    </row>
    <row r="371" spans="1:6" x14ac:dyDescent="0.25">
      <c r="A371" s="2" t="s">
        <v>625</v>
      </c>
      <c r="B371">
        <v>2</v>
      </c>
      <c r="D371" s="2">
        <v>34</v>
      </c>
      <c r="E371">
        <v>18</v>
      </c>
    </row>
    <row r="372" spans="1:6" x14ac:dyDescent="0.25">
      <c r="A372" s="2" t="s">
        <v>409</v>
      </c>
      <c r="B372">
        <v>12</v>
      </c>
      <c r="D372" s="2">
        <v>35</v>
      </c>
      <c r="E372">
        <v>27</v>
      </c>
    </row>
    <row r="373" spans="1:6" x14ac:dyDescent="0.25">
      <c r="A373" s="2" t="s">
        <v>503</v>
      </c>
      <c r="B373">
        <v>2</v>
      </c>
      <c r="D373" s="2">
        <v>36</v>
      </c>
      <c r="E373">
        <v>12</v>
      </c>
    </row>
    <row r="374" spans="1:6" x14ac:dyDescent="0.25">
      <c r="A374" s="2" t="s">
        <v>538</v>
      </c>
      <c r="B374">
        <v>8</v>
      </c>
      <c r="D374" s="2" t="s">
        <v>716</v>
      </c>
      <c r="E374">
        <v>1393</v>
      </c>
    </row>
    <row r="375" spans="1:6" x14ac:dyDescent="0.25">
      <c r="A375" s="2" t="s">
        <v>114</v>
      </c>
      <c r="B375">
        <v>14</v>
      </c>
    </row>
    <row r="376" spans="1:6" x14ac:dyDescent="0.25">
      <c r="A376" s="2" t="s">
        <v>410</v>
      </c>
      <c r="B376">
        <v>7</v>
      </c>
    </row>
    <row r="377" spans="1:6" x14ac:dyDescent="0.25">
      <c r="A377" s="2" t="s">
        <v>668</v>
      </c>
      <c r="B377">
        <v>1</v>
      </c>
    </row>
    <row r="378" spans="1:6" x14ac:dyDescent="0.25">
      <c r="A378" s="2" t="s">
        <v>335</v>
      </c>
      <c r="B378">
        <v>7</v>
      </c>
      <c r="D378" s="1" t="s">
        <v>715</v>
      </c>
      <c r="E378" s="1" t="s">
        <v>746</v>
      </c>
      <c r="F378" t="s">
        <v>747</v>
      </c>
    </row>
    <row r="379" spans="1:6" x14ac:dyDescent="0.25">
      <c r="A379" s="2" t="s">
        <v>18</v>
      </c>
      <c r="B379">
        <v>33</v>
      </c>
      <c r="D379" s="2" t="s">
        <v>29</v>
      </c>
      <c r="E379">
        <v>2</v>
      </c>
      <c r="F379">
        <v>2</v>
      </c>
    </row>
    <row r="380" spans="1:6" x14ac:dyDescent="0.25">
      <c r="A380" s="2" t="s">
        <v>41</v>
      </c>
      <c r="B380">
        <v>31</v>
      </c>
      <c r="D380" s="2" t="s">
        <v>5</v>
      </c>
      <c r="E380">
        <v>1</v>
      </c>
      <c r="F380">
        <v>6</v>
      </c>
    </row>
    <row r="381" spans="1:6" x14ac:dyDescent="0.25">
      <c r="A381" s="2" t="s">
        <v>267</v>
      </c>
      <c r="B381">
        <v>10</v>
      </c>
      <c r="D381" s="2" t="s">
        <v>9</v>
      </c>
      <c r="E381">
        <v>3</v>
      </c>
      <c r="F381">
        <v>5</v>
      </c>
    </row>
    <row r="382" spans="1:6" x14ac:dyDescent="0.25">
      <c r="A382" s="2" t="s">
        <v>506</v>
      </c>
      <c r="B382">
        <v>9</v>
      </c>
      <c r="D382" s="2" t="s">
        <v>11</v>
      </c>
      <c r="E382">
        <v>6</v>
      </c>
      <c r="F382">
        <v>7</v>
      </c>
    </row>
    <row r="383" spans="1:6" x14ac:dyDescent="0.25">
      <c r="A383" s="2" t="s">
        <v>118</v>
      </c>
      <c r="B383">
        <v>19</v>
      </c>
      <c r="D383" s="2" t="s">
        <v>296</v>
      </c>
      <c r="E383">
        <v>6</v>
      </c>
      <c r="F383">
        <v>0</v>
      </c>
    </row>
    <row r="384" spans="1:6" x14ac:dyDescent="0.25">
      <c r="A384" s="2" t="s">
        <v>383</v>
      </c>
      <c r="B384">
        <v>12</v>
      </c>
      <c r="D384" s="2" t="s">
        <v>13</v>
      </c>
      <c r="E384">
        <v>1</v>
      </c>
      <c r="F384">
        <v>4</v>
      </c>
    </row>
    <row r="385" spans="1:6" x14ac:dyDescent="0.25">
      <c r="A385" s="2" t="s">
        <v>60</v>
      </c>
      <c r="B385">
        <v>20</v>
      </c>
      <c r="D385" s="2" t="s">
        <v>35</v>
      </c>
      <c r="E385">
        <v>6</v>
      </c>
      <c r="F385">
        <v>4</v>
      </c>
    </row>
    <row r="386" spans="1:6" x14ac:dyDescent="0.25">
      <c r="A386" s="2" t="s">
        <v>236</v>
      </c>
      <c r="B386">
        <v>5</v>
      </c>
      <c r="D386" s="2" t="s">
        <v>636</v>
      </c>
      <c r="E386">
        <v>4</v>
      </c>
      <c r="F386">
        <v>0</v>
      </c>
    </row>
    <row r="387" spans="1:6" x14ac:dyDescent="0.25">
      <c r="A387" s="2" t="s">
        <v>592</v>
      </c>
      <c r="B387">
        <v>2</v>
      </c>
      <c r="D387" s="2" t="s">
        <v>585</v>
      </c>
      <c r="E387">
        <v>4</v>
      </c>
      <c r="F387">
        <v>0</v>
      </c>
    </row>
    <row r="388" spans="1:6" x14ac:dyDescent="0.25">
      <c r="A388" s="2" t="s">
        <v>20</v>
      </c>
      <c r="B388">
        <v>33</v>
      </c>
      <c r="D388" s="2" t="s">
        <v>379</v>
      </c>
      <c r="E388">
        <v>0</v>
      </c>
      <c r="F388">
        <v>0</v>
      </c>
    </row>
    <row r="389" spans="1:6" x14ac:dyDescent="0.25">
      <c r="A389" s="2" t="s">
        <v>540</v>
      </c>
      <c r="B389">
        <v>5</v>
      </c>
      <c r="D389" s="2" t="s">
        <v>15</v>
      </c>
      <c r="E389">
        <v>6</v>
      </c>
      <c r="F389">
        <v>5</v>
      </c>
    </row>
    <row r="390" spans="1:6" x14ac:dyDescent="0.25">
      <c r="A390" s="2" t="s">
        <v>43</v>
      </c>
      <c r="B390">
        <v>17</v>
      </c>
      <c r="D390" s="2" t="s">
        <v>70</v>
      </c>
      <c r="E390">
        <v>5</v>
      </c>
      <c r="F390">
        <v>4</v>
      </c>
    </row>
    <row r="391" spans="1:6" x14ac:dyDescent="0.25">
      <c r="A391" s="2" t="s">
        <v>223</v>
      </c>
      <c r="B391">
        <v>1</v>
      </c>
      <c r="D391" s="2" t="s">
        <v>394</v>
      </c>
      <c r="E391">
        <v>0</v>
      </c>
      <c r="F391">
        <v>0</v>
      </c>
    </row>
    <row r="392" spans="1:6" x14ac:dyDescent="0.25">
      <c r="A392" s="2" t="s">
        <v>122</v>
      </c>
      <c r="B392">
        <v>1</v>
      </c>
      <c r="D392" s="2" t="s">
        <v>59</v>
      </c>
      <c r="E392">
        <v>6</v>
      </c>
      <c r="F392">
        <v>3</v>
      </c>
    </row>
    <row r="393" spans="1:6" x14ac:dyDescent="0.25">
      <c r="A393" s="2" t="s">
        <v>44</v>
      </c>
      <c r="B393">
        <v>19</v>
      </c>
      <c r="D393" s="2" t="s">
        <v>97</v>
      </c>
      <c r="E393">
        <v>0</v>
      </c>
      <c r="F393">
        <v>3</v>
      </c>
    </row>
    <row r="394" spans="1:6" x14ac:dyDescent="0.25">
      <c r="A394" s="2" t="s">
        <v>671</v>
      </c>
      <c r="B394">
        <v>1</v>
      </c>
      <c r="D394" s="2" t="s">
        <v>380</v>
      </c>
      <c r="E394">
        <v>6</v>
      </c>
      <c r="F394">
        <v>0</v>
      </c>
    </row>
    <row r="395" spans="1:6" x14ac:dyDescent="0.25">
      <c r="A395" s="2" t="s">
        <v>99</v>
      </c>
      <c r="B395">
        <v>18</v>
      </c>
      <c r="D395" s="2" t="s">
        <v>407</v>
      </c>
      <c r="E395">
        <v>0</v>
      </c>
      <c r="F395">
        <v>0</v>
      </c>
    </row>
    <row r="396" spans="1:6" x14ac:dyDescent="0.25">
      <c r="A396" s="2" t="s">
        <v>156</v>
      </c>
      <c r="B396">
        <v>19</v>
      </c>
      <c r="D396" s="2" t="s">
        <v>112</v>
      </c>
      <c r="E396">
        <v>0</v>
      </c>
      <c r="F396">
        <v>1</v>
      </c>
    </row>
    <row r="397" spans="1:6" x14ac:dyDescent="0.25">
      <c r="A397" s="2" t="s">
        <v>384</v>
      </c>
      <c r="B397">
        <v>7</v>
      </c>
      <c r="D397" s="2" t="s">
        <v>181</v>
      </c>
      <c r="E397">
        <v>6</v>
      </c>
      <c r="F397">
        <v>0</v>
      </c>
    </row>
    <row r="398" spans="1:6" x14ac:dyDescent="0.25">
      <c r="A398" s="2" t="s">
        <v>238</v>
      </c>
      <c r="B398">
        <v>21</v>
      </c>
      <c r="D398" s="2" t="s">
        <v>359</v>
      </c>
      <c r="E398">
        <v>1</v>
      </c>
      <c r="F398">
        <v>0</v>
      </c>
    </row>
    <row r="399" spans="1:6" x14ac:dyDescent="0.25">
      <c r="A399" s="2" t="s">
        <v>22</v>
      </c>
      <c r="B399">
        <v>35</v>
      </c>
      <c r="D399" s="2" t="s">
        <v>36</v>
      </c>
      <c r="E399">
        <v>7</v>
      </c>
      <c r="F399">
        <v>3</v>
      </c>
    </row>
    <row r="400" spans="1:6" x14ac:dyDescent="0.25">
      <c r="A400" s="2" t="s">
        <v>61</v>
      </c>
      <c r="B400">
        <v>16</v>
      </c>
      <c r="D400" s="2" t="s">
        <v>530</v>
      </c>
      <c r="E400">
        <v>5</v>
      </c>
      <c r="F400">
        <v>0</v>
      </c>
    </row>
    <row r="401" spans="1:6" x14ac:dyDescent="0.25">
      <c r="A401" s="2" t="s">
        <v>412</v>
      </c>
      <c r="B401">
        <v>2</v>
      </c>
      <c r="D401" s="2" t="s">
        <v>587</v>
      </c>
      <c r="E401">
        <v>0</v>
      </c>
      <c r="F401">
        <v>0</v>
      </c>
    </row>
    <row r="402" spans="1:6" x14ac:dyDescent="0.25">
      <c r="A402" s="2" t="s">
        <v>46</v>
      </c>
      <c r="B402">
        <v>33</v>
      </c>
      <c r="D402" s="2" t="s">
        <v>208</v>
      </c>
      <c r="E402">
        <v>4</v>
      </c>
      <c r="F402">
        <v>0</v>
      </c>
    </row>
    <row r="403" spans="1:6" x14ac:dyDescent="0.25">
      <c r="A403" s="2" t="s">
        <v>596</v>
      </c>
      <c r="B403">
        <v>1</v>
      </c>
      <c r="D403" s="2" t="s">
        <v>222</v>
      </c>
      <c r="E403">
        <v>2</v>
      </c>
      <c r="F403">
        <v>0</v>
      </c>
    </row>
    <row r="404" spans="1:6" x14ac:dyDescent="0.25">
      <c r="A404" s="2" t="s">
        <v>100</v>
      </c>
      <c r="B404">
        <v>15</v>
      </c>
      <c r="D404" s="2" t="s">
        <v>37</v>
      </c>
      <c r="E404">
        <v>2</v>
      </c>
      <c r="F404">
        <v>4</v>
      </c>
    </row>
    <row r="405" spans="1:6" x14ac:dyDescent="0.25">
      <c r="A405" s="2" t="s">
        <v>23</v>
      </c>
      <c r="B405">
        <v>29</v>
      </c>
      <c r="D405" s="2" t="s">
        <v>16</v>
      </c>
      <c r="E405">
        <v>7</v>
      </c>
      <c r="F405">
        <v>7</v>
      </c>
    </row>
    <row r="406" spans="1:6" x14ac:dyDescent="0.25">
      <c r="A406" s="2" t="s">
        <v>511</v>
      </c>
      <c r="B406">
        <v>9</v>
      </c>
      <c r="D406" s="2" t="s">
        <v>39</v>
      </c>
      <c r="E406">
        <v>0</v>
      </c>
      <c r="F406">
        <v>4</v>
      </c>
    </row>
    <row r="407" spans="1:6" x14ac:dyDescent="0.25">
      <c r="A407" s="2" t="s">
        <v>49</v>
      </c>
      <c r="B407">
        <v>17</v>
      </c>
      <c r="D407" s="2" t="s">
        <v>686</v>
      </c>
      <c r="E407">
        <v>1</v>
      </c>
      <c r="F407">
        <v>0</v>
      </c>
    </row>
    <row r="408" spans="1:6" x14ac:dyDescent="0.25">
      <c r="A408" s="2" t="s">
        <v>78</v>
      </c>
      <c r="B408">
        <v>5</v>
      </c>
      <c r="D408" s="2" t="s">
        <v>184</v>
      </c>
      <c r="E408">
        <v>3</v>
      </c>
      <c r="F408">
        <v>0</v>
      </c>
    </row>
    <row r="409" spans="1:6" x14ac:dyDescent="0.25">
      <c r="A409" s="2" t="s">
        <v>268</v>
      </c>
      <c r="B409">
        <v>13</v>
      </c>
      <c r="D409" s="2" t="s">
        <v>534</v>
      </c>
      <c r="E409">
        <v>4</v>
      </c>
      <c r="F409">
        <v>0</v>
      </c>
    </row>
    <row r="410" spans="1:6" x14ac:dyDescent="0.25">
      <c r="A410" s="2" t="s">
        <v>243</v>
      </c>
      <c r="B410">
        <v>2</v>
      </c>
      <c r="D410" s="2" t="s">
        <v>186</v>
      </c>
      <c r="E410">
        <v>6</v>
      </c>
      <c r="F410">
        <v>0</v>
      </c>
    </row>
    <row r="411" spans="1:6" x14ac:dyDescent="0.25">
      <c r="A411" s="2" t="s">
        <v>129</v>
      </c>
      <c r="B411">
        <v>2</v>
      </c>
      <c r="D411" s="2" t="s">
        <v>689</v>
      </c>
      <c r="E411">
        <v>1</v>
      </c>
      <c r="F411">
        <v>0</v>
      </c>
    </row>
    <row r="412" spans="1:6" x14ac:dyDescent="0.25">
      <c r="A412" s="2" t="s">
        <v>200</v>
      </c>
      <c r="B412">
        <v>6</v>
      </c>
      <c r="D412" s="2" t="s">
        <v>625</v>
      </c>
      <c r="E412">
        <v>2</v>
      </c>
      <c r="F412">
        <v>0</v>
      </c>
    </row>
    <row r="413" spans="1:6" x14ac:dyDescent="0.25">
      <c r="A413" s="2" t="s">
        <v>25</v>
      </c>
      <c r="B413">
        <v>26</v>
      </c>
      <c r="D413" s="2" t="s">
        <v>409</v>
      </c>
      <c r="E413">
        <v>5</v>
      </c>
      <c r="F413">
        <v>0</v>
      </c>
    </row>
    <row r="414" spans="1:6" x14ac:dyDescent="0.25">
      <c r="A414" s="2" t="s">
        <v>546</v>
      </c>
      <c r="B414">
        <v>6</v>
      </c>
      <c r="D414" s="2" t="s">
        <v>503</v>
      </c>
      <c r="E414">
        <v>0</v>
      </c>
      <c r="F414">
        <v>0</v>
      </c>
    </row>
    <row r="415" spans="1:6" x14ac:dyDescent="0.25">
      <c r="A415" s="2" t="s">
        <v>193</v>
      </c>
      <c r="B415">
        <v>15</v>
      </c>
      <c r="D415" s="2" t="s">
        <v>538</v>
      </c>
      <c r="E415">
        <v>5</v>
      </c>
      <c r="F415">
        <v>0</v>
      </c>
    </row>
    <row r="416" spans="1:6" x14ac:dyDescent="0.25">
      <c r="A416" s="2" t="s">
        <v>213</v>
      </c>
      <c r="B416">
        <v>9</v>
      </c>
      <c r="D416" s="2" t="s">
        <v>114</v>
      </c>
      <c r="E416">
        <v>7</v>
      </c>
      <c r="F416">
        <v>1</v>
      </c>
    </row>
    <row r="417" spans="1:6" x14ac:dyDescent="0.25">
      <c r="A417" s="2" t="s">
        <v>50</v>
      </c>
      <c r="B417">
        <v>30</v>
      </c>
      <c r="D417" s="2" t="s">
        <v>410</v>
      </c>
      <c r="E417">
        <v>5</v>
      </c>
      <c r="F417">
        <v>0</v>
      </c>
    </row>
    <row r="418" spans="1:6" x14ac:dyDescent="0.25">
      <c r="A418" s="2" t="s">
        <v>570</v>
      </c>
      <c r="B418">
        <v>10</v>
      </c>
      <c r="D418" s="2" t="s">
        <v>668</v>
      </c>
      <c r="E418">
        <v>1</v>
      </c>
      <c r="F418">
        <v>0</v>
      </c>
    </row>
    <row r="419" spans="1:6" x14ac:dyDescent="0.25">
      <c r="A419" s="2" t="s">
        <v>62</v>
      </c>
      <c r="B419">
        <v>26</v>
      </c>
      <c r="D419" s="2" t="s">
        <v>335</v>
      </c>
      <c r="E419">
        <v>0</v>
      </c>
      <c r="F419">
        <v>0</v>
      </c>
    </row>
    <row r="420" spans="1:6" x14ac:dyDescent="0.25">
      <c r="A420" s="2" t="s">
        <v>483</v>
      </c>
      <c r="B420">
        <v>1</v>
      </c>
      <c r="D420" s="2" t="s">
        <v>18</v>
      </c>
      <c r="E420">
        <v>6</v>
      </c>
      <c r="F420">
        <v>7</v>
      </c>
    </row>
    <row r="421" spans="1:6" x14ac:dyDescent="0.25">
      <c r="A421" s="2" t="s">
        <v>516</v>
      </c>
      <c r="B421">
        <v>5</v>
      </c>
      <c r="D421" s="2" t="s">
        <v>41</v>
      </c>
      <c r="E421">
        <v>6</v>
      </c>
      <c r="F421">
        <v>5</v>
      </c>
    </row>
    <row r="422" spans="1:6" x14ac:dyDescent="0.25">
      <c r="A422" s="2" t="s">
        <v>315</v>
      </c>
      <c r="B422">
        <v>1</v>
      </c>
      <c r="D422" s="2" t="s">
        <v>267</v>
      </c>
      <c r="E422">
        <v>2</v>
      </c>
      <c r="F422">
        <v>0</v>
      </c>
    </row>
    <row r="423" spans="1:6" x14ac:dyDescent="0.25">
      <c r="A423" s="2" t="s">
        <v>51</v>
      </c>
      <c r="B423">
        <v>25</v>
      </c>
      <c r="D423" s="2" t="s">
        <v>506</v>
      </c>
      <c r="E423">
        <v>5</v>
      </c>
      <c r="F423">
        <v>0</v>
      </c>
    </row>
    <row r="424" spans="1:6" x14ac:dyDescent="0.25">
      <c r="A424" s="2" t="s">
        <v>82</v>
      </c>
      <c r="B424">
        <v>5</v>
      </c>
      <c r="D424" s="2" t="s">
        <v>118</v>
      </c>
      <c r="E424">
        <v>5</v>
      </c>
      <c r="F424">
        <v>1</v>
      </c>
    </row>
    <row r="425" spans="1:6" x14ac:dyDescent="0.25">
      <c r="A425" s="2" t="s">
        <v>83</v>
      </c>
      <c r="B425">
        <v>29</v>
      </c>
      <c r="D425" s="2" t="s">
        <v>383</v>
      </c>
      <c r="E425">
        <v>3</v>
      </c>
      <c r="F425">
        <v>0</v>
      </c>
    </row>
    <row r="426" spans="1:6" x14ac:dyDescent="0.25">
      <c r="A426" s="2" t="s">
        <v>706</v>
      </c>
      <c r="B426">
        <v>1</v>
      </c>
      <c r="D426" s="2" t="s">
        <v>60</v>
      </c>
      <c r="E426">
        <v>1</v>
      </c>
      <c r="F426">
        <v>2</v>
      </c>
    </row>
    <row r="427" spans="1:6" x14ac:dyDescent="0.25">
      <c r="A427" s="2" t="s">
        <v>261</v>
      </c>
      <c r="B427">
        <v>7</v>
      </c>
      <c r="D427" s="2" t="s">
        <v>236</v>
      </c>
      <c r="E427">
        <v>1</v>
      </c>
      <c r="F427">
        <v>0</v>
      </c>
    </row>
    <row r="428" spans="1:6" x14ac:dyDescent="0.25">
      <c r="A428" s="2" t="s">
        <v>549</v>
      </c>
      <c r="B428">
        <v>8</v>
      </c>
      <c r="D428" s="2" t="s">
        <v>592</v>
      </c>
      <c r="E428">
        <v>1</v>
      </c>
      <c r="F428">
        <v>0</v>
      </c>
    </row>
    <row r="429" spans="1:6" x14ac:dyDescent="0.25">
      <c r="A429" s="2" t="s">
        <v>85</v>
      </c>
      <c r="B429">
        <v>20</v>
      </c>
      <c r="D429" s="2" t="s">
        <v>20</v>
      </c>
      <c r="E429">
        <v>6</v>
      </c>
      <c r="F429">
        <v>6</v>
      </c>
    </row>
    <row r="430" spans="1:6" x14ac:dyDescent="0.25">
      <c r="A430" s="2" t="s">
        <v>134</v>
      </c>
      <c r="B430">
        <v>9</v>
      </c>
      <c r="D430" s="2" t="s">
        <v>540</v>
      </c>
      <c r="E430">
        <v>2</v>
      </c>
      <c r="F430">
        <v>0</v>
      </c>
    </row>
    <row r="431" spans="1:6" x14ac:dyDescent="0.25">
      <c r="A431" s="2" t="s">
        <v>101</v>
      </c>
      <c r="B431">
        <v>7</v>
      </c>
      <c r="D431" s="2" t="s">
        <v>43</v>
      </c>
      <c r="E431">
        <v>3</v>
      </c>
      <c r="F431">
        <v>4</v>
      </c>
    </row>
    <row r="432" spans="1:6" x14ac:dyDescent="0.25">
      <c r="A432" s="2" t="s">
        <v>53</v>
      </c>
      <c r="B432">
        <v>34</v>
      </c>
      <c r="D432" s="2" t="s">
        <v>223</v>
      </c>
      <c r="E432">
        <v>0</v>
      </c>
      <c r="F432">
        <v>0</v>
      </c>
    </row>
    <row r="433" spans="1:6" x14ac:dyDescent="0.25">
      <c r="A433" s="2" t="s">
        <v>651</v>
      </c>
      <c r="B433">
        <v>1</v>
      </c>
      <c r="D433" s="2" t="s">
        <v>122</v>
      </c>
      <c r="E433">
        <v>0</v>
      </c>
      <c r="F433">
        <v>1</v>
      </c>
    </row>
    <row r="434" spans="1:6" x14ac:dyDescent="0.25">
      <c r="A434" s="2" t="s">
        <v>262</v>
      </c>
      <c r="B434">
        <v>11</v>
      </c>
      <c r="D434" s="2" t="s">
        <v>44</v>
      </c>
      <c r="E434">
        <v>0</v>
      </c>
      <c r="F434">
        <v>6</v>
      </c>
    </row>
    <row r="435" spans="1:6" x14ac:dyDescent="0.25">
      <c r="A435" s="2" t="s">
        <v>54</v>
      </c>
      <c r="B435">
        <v>13</v>
      </c>
      <c r="D435" s="2" t="s">
        <v>671</v>
      </c>
      <c r="E435">
        <v>1</v>
      </c>
      <c r="F435">
        <v>0</v>
      </c>
    </row>
    <row r="436" spans="1:6" x14ac:dyDescent="0.25">
      <c r="A436" s="2" t="s">
        <v>470</v>
      </c>
      <c r="B436">
        <v>13</v>
      </c>
      <c r="D436" s="2" t="s">
        <v>99</v>
      </c>
      <c r="E436">
        <v>5</v>
      </c>
      <c r="F436">
        <v>2</v>
      </c>
    </row>
    <row r="437" spans="1:6" x14ac:dyDescent="0.25">
      <c r="A437" s="2" t="s">
        <v>397</v>
      </c>
      <c r="B437">
        <v>14</v>
      </c>
      <c r="D437" s="2" t="s">
        <v>156</v>
      </c>
      <c r="E437">
        <v>5</v>
      </c>
      <c r="F437">
        <v>1</v>
      </c>
    </row>
    <row r="438" spans="1:6" x14ac:dyDescent="0.25">
      <c r="A438" s="2" t="s">
        <v>575</v>
      </c>
      <c r="B438">
        <v>1</v>
      </c>
      <c r="D438" s="2" t="s">
        <v>384</v>
      </c>
      <c r="E438">
        <v>3</v>
      </c>
      <c r="F438">
        <v>0</v>
      </c>
    </row>
    <row r="439" spans="1:6" x14ac:dyDescent="0.25">
      <c r="A439" s="2" t="s">
        <v>486</v>
      </c>
      <c r="B439">
        <v>2</v>
      </c>
      <c r="D439" s="2" t="s">
        <v>238</v>
      </c>
      <c r="E439">
        <v>6</v>
      </c>
      <c r="F439">
        <v>0</v>
      </c>
    </row>
    <row r="440" spans="1:6" x14ac:dyDescent="0.25">
      <c r="A440" s="2" t="s">
        <v>89</v>
      </c>
      <c r="B440">
        <v>22</v>
      </c>
      <c r="D440" s="2" t="s">
        <v>22</v>
      </c>
      <c r="E440">
        <v>7</v>
      </c>
      <c r="F440">
        <v>7</v>
      </c>
    </row>
    <row r="441" spans="1:6" x14ac:dyDescent="0.25">
      <c r="A441" s="2" t="s">
        <v>138</v>
      </c>
      <c r="B441">
        <v>9</v>
      </c>
      <c r="D441" s="2" t="s">
        <v>61</v>
      </c>
      <c r="E441">
        <v>5</v>
      </c>
      <c r="F441">
        <v>4</v>
      </c>
    </row>
    <row r="442" spans="1:6" x14ac:dyDescent="0.25">
      <c r="A442" s="2" t="s">
        <v>348</v>
      </c>
      <c r="B442">
        <v>14</v>
      </c>
      <c r="D442" s="2" t="s">
        <v>412</v>
      </c>
      <c r="E442">
        <v>0</v>
      </c>
      <c r="F442">
        <v>0</v>
      </c>
    </row>
    <row r="443" spans="1:6" x14ac:dyDescent="0.25">
      <c r="A443" s="2" t="s">
        <v>321</v>
      </c>
      <c r="B443">
        <v>16</v>
      </c>
      <c r="D443" s="2" t="s">
        <v>46</v>
      </c>
      <c r="E443">
        <v>7</v>
      </c>
      <c r="F443">
        <v>6</v>
      </c>
    </row>
    <row r="444" spans="1:6" x14ac:dyDescent="0.25">
      <c r="A444" s="2" t="s">
        <v>27</v>
      </c>
      <c r="B444">
        <v>13</v>
      </c>
      <c r="D444" s="2" t="s">
        <v>596</v>
      </c>
      <c r="E444">
        <v>0</v>
      </c>
      <c r="F444">
        <v>0</v>
      </c>
    </row>
    <row r="445" spans="1:6" x14ac:dyDescent="0.25">
      <c r="A445" s="2" t="s">
        <v>55</v>
      </c>
      <c r="B445">
        <v>8</v>
      </c>
      <c r="D445" s="2" t="s">
        <v>100</v>
      </c>
      <c r="E445">
        <v>5</v>
      </c>
      <c r="F445">
        <v>2</v>
      </c>
    </row>
    <row r="446" spans="1:6" x14ac:dyDescent="0.25">
      <c r="A446" s="2" t="s">
        <v>716</v>
      </c>
      <c r="B446">
        <v>1393</v>
      </c>
      <c r="D446" s="2" t="s">
        <v>23</v>
      </c>
      <c r="E446">
        <v>6</v>
      </c>
      <c r="F446">
        <v>4</v>
      </c>
    </row>
    <row r="447" spans="1:6" x14ac:dyDescent="0.25">
      <c r="D447" s="2" t="s">
        <v>511</v>
      </c>
      <c r="E447">
        <v>4</v>
      </c>
      <c r="F447">
        <v>0</v>
      </c>
    </row>
    <row r="448" spans="1:6" x14ac:dyDescent="0.25">
      <c r="D448" s="2" t="s">
        <v>49</v>
      </c>
      <c r="E448">
        <v>4</v>
      </c>
      <c r="F448">
        <v>2</v>
      </c>
    </row>
    <row r="449" spans="4:6" x14ac:dyDescent="0.25">
      <c r="D449" s="2" t="s">
        <v>78</v>
      </c>
      <c r="E449">
        <v>0</v>
      </c>
      <c r="F449">
        <v>3</v>
      </c>
    </row>
    <row r="450" spans="4:6" x14ac:dyDescent="0.25">
      <c r="D450" s="2" t="s">
        <v>268</v>
      </c>
      <c r="E450">
        <v>3</v>
      </c>
      <c r="F450">
        <v>0</v>
      </c>
    </row>
    <row r="451" spans="4:6" x14ac:dyDescent="0.25">
      <c r="D451" s="2" t="s">
        <v>243</v>
      </c>
      <c r="E451">
        <v>1</v>
      </c>
      <c r="F451">
        <v>0</v>
      </c>
    </row>
    <row r="452" spans="4:6" x14ac:dyDescent="0.25">
      <c r="D452" s="2" t="s">
        <v>129</v>
      </c>
      <c r="E452">
        <v>0</v>
      </c>
      <c r="F452">
        <v>1</v>
      </c>
    </row>
    <row r="453" spans="4:6" x14ac:dyDescent="0.25">
      <c r="D453" s="2" t="s">
        <v>200</v>
      </c>
      <c r="E453">
        <v>0</v>
      </c>
      <c r="F453">
        <v>0</v>
      </c>
    </row>
    <row r="454" spans="4:6" x14ac:dyDescent="0.25">
      <c r="D454" s="2" t="s">
        <v>25</v>
      </c>
      <c r="E454">
        <v>0</v>
      </c>
      <c r="F454">
        <v>7</v>
      </c>
    </row>
    <row r="455" spans="4:6" x14ac:dyDescent="0.25">
      <c r="D455" s="2" t="s">
        <v>546</v>
      </c>
      <c r="E455">
        <v>3</v>
      </c>
      <c r="F455">
        <v>0</v>
      </c>
    </row>
    <row r="456" spans="4:6" x14ac:dyDescent="0.25">
      <c r="D456" s="2" t="s">
        <v>193</v>
      </c>
      <c r="E456">
        <v>4</v>
      </c>
      <c r="F456">
        <v>0</v>
      </c>
    </row>
    <row r="457" spans="4:6" x14ac:dyDescent="0.25">
      <c r="D457" s="2" t="s">
        <v>213</v>
      </c>
      <c r="E457">
        <v>3</v>
      </c>
      <c r="F457">
        <v>0</v>
      </c>
    </row>
    <row r="458" spans="4:6" x14ac:dyDescent="0.25">
      <c r="D458" s="2" t="s">
        <v>50</v>
      </c>
      <c r="E458">
        <v>6</v>
      </c>
      <c r="F458">
        <v>6</v>
      </c>
    </row>
    <row r="459" spans="4:6" x14ac:dyDescent="0.25">
      <c r="D459" s="2" t="s">
        <v>570</v>
      </c>
      <c r="E459">
        <v>7</v>
      </c>
      <c r="F459">
        <v>0</v>
      </c>
    </row>
    <row r="460" spans="4:6" x14ac:dyDescent="0.25">
      <c r="D460" s="2" t="s">
        <v>62</v>
      </c>
      <c r="E460">
        <v>6</v>
      </c>
      <c r="F460">
        <v>3</v>
      </c>
    </row>
    <row r="461" spans="4:6" x14ac:dyDescent="0.25">
      <c r="D461" s="2" t="s">
        <v>483</v>
      </c>
      <c r="E461">
        <v>0</v>
      </c>
      <c r="F461">
        <v>0</v>
      </c>
    </row>
    <row r="462" spans="4:6" x14ac:dyDescent="0.25">
      <c r="D462" s="2" t="s">
        <v>516</v>
      </c>
      <c r="E462">
        <v>4</v>
      </c>
      <c r="F462">
        <v>0</v>
      </c>
    </row>
    <row r="463" spans="4:6" x14ac:dyDescent="0.25">
      <c r="D463" s="2" t="s">
        <v>315</v>
      </c>
      <c r="E463">
        <v>0</v>
      </c>
      <c r="F463">
        <v>0</v>
      </c>
    </row>
    <row r="464" spans="4:6" x14ac:dyDescent="0.25">
      <c r="D464" s="2" t="s">
        <v>51</v>
      </c>
      <c r="E464">
        <v>4</v>
      </c>
      <c r="F464">
        <v>5</v>
      </c>
    </row>
    <row r="465" spans="4:6" x14ac:dyDescent="0.25">
      <c r="D465" s="2" t="s">
        <v>82</v>
      </c>
      <c r="E465">
        <v>1</v>
      </c>
      <c r="F465">
        <v>1</v>
      </c>
    </row>
    <row r="466" spans="4:6" x14ac:dyDescent="0.25">
      <c r="D466" s="2" t="s">
        <v>83</v>
      </c>
      <c r="E466">
        <v>4</v>
      </c>
      <c r="F466">
        <v>4</v>
      </c>
    </row>
    <row r="467" spans="4:6" x14ac:dyDescent="0.25">
      <c r="D467" s="2" t="s">
        <v>706</v>
      </c>
      <c r="E467">
        <v>1</v>
      </c>
      <c r="F467">
        <v>0</v>
      </c>
    </row>
    <row r="468" spans="4:6" x14ac:dyDescent="0.25">
      <c r="D468" s="2" t="s">
        <v>261</v>
      </c>
      <c r="E468">
        <v>0</v>
      </c>
      <c r="F468">
        <v>0</v>
      </c>
    </row>
    <row r="469" spans="4:6" x14ac:dyDescent="0.25">
      <c r="D469" s="2" t="s">
        <v>549</v>
      </c>
      <c r="E469">
        <v>4</v>
      </c>
      <c r="F469">
        <v>0</v>
      </c>
    </row>
    <row r="470" spans="4:6" x14ac:dyDescent="0.25">
      <c r="D470" s="2" t="s">
        <v>85</v>
      </c>
      <c r="E470">
        <v>2</v>
      </c>
      <c r="F470">
        <v>3</v>
      </c>
    </row>
    <row r="471" spans="4:6" x14ac:dyDescent="0.25">
      <c r="D471" s="2" t="s">
        <v>134</v>
      </c>
      <c r="E471">
        <v>0</v>
      </c>
      <c r="F471">
        <v>1</v>
      </c>
    </row>
    <row r="472" spans="4:6" x14ac:dyDescent="0.25">
      <c r="D472" s="2" t="s">
        <v>101</v>
      </c>
      <c r="E472">
        <v>2</v>
      </c>
      <c r="F472">
        <v>2</v>
      </c>
    </row>
    <row r="473" spans="4:6" x14ac:dyDescent="0.25">
      <c r="D473" s="2" t="s">
        <v>53</v>
      </c>
      <c r="E473">
        <v>7</v>
      </c>
      <c r="F473">
        <v>5</v>
      </c>
    </row>
    <row r="474" spans="4:6" x14ac:dyDescent="0.25">
      <c r="D474" s="2" t="s">
        <v>651</v>
      </c>
      <c r="E474">
        <v>1</v>
      </c>
      <c r="F474">
        <v>0</v>
      </c>
    </row>
    <row r="475" spans="4:6" x14ac:dyDescent="0.25">
      <c r="D475" s="2" t="s">
        <v>262</v>
      </c>
      <c r="E475">
        <v>4</v>
      </c>
      <c r="F475">
        <v>0</v>
      </c>
    </row>
    <row r="476" spans="4:6" x14ac:dyDescent="0.25">
      <c r="D476" s="2" t="s">
        <v>54</v>
      </c>
      <c r="E476">
        <v>5</v>
      </c>
      <c r="F476">
        <v>4</v>
      </c>
    </row>
    <row r="477" spans="4:6" x14ac:dyDescent="0.25">
      <c r="D477" s="2" t="s">
        <v>470</v>
      </c>
      <c r="E477">
        <v>6</v>
      </c>
      <c r="F477">
        <v>0</v>
      </c>
    </row>
    <row r="478" spans="4:6" x14ac:dyDescent="0.25">
      <c r="D478" s="2" t="s">
        <v>397</v>
      </c>
      <c r="E478">
        <v>6</v>
      </c>
      <c r="F478">
        <v>0</v>
      </c>
    </row>
    <row r="479" spans="4:6" x14ac:dyDescent="0.25">
      <c r="D479" s="2" t="s">
        <v>575</v>
      </c>
      <c r="E479">
        <v>0</v>
      </c>
      <c r="F479">
        <v>0</v>
      </c>
    </row>
    <row r="480" spans="4:6" x14ac:dyDescent="0.25">
      <c r="D480" s="2" t="s">
        <v>486</v>
      </c>
      <c r="E480">
        <v>0</v>
      </c>
      <c r="F480">
        <v>0</v>
      </c>
    </row>
    <row r="481" spans="4:6" x14ac:dyDescent="0.25">
      <c r="D481" s="2" t="s">
        <v>89</v>
      </c>
      <c r="E481">
        <v>6</v>
      </c>
      <c r="F481">
        <v>2</v>
      </c>
    </row>
    <row r="482" spans="4:6" x14ac:dyDescent="0.25">
      <c r="D482" s="2" t="s">
        <v>138</v>
      </c>
      <c r="E482">
        <v>1</v>
      </c>
      <c r="F482">
        <v>1</v>
      </c>
    </row>
    <row r="483" spans="4:6" x14ac:dyDescent="0.25">
      <c r="D483" s="2" t="s">
        <v>348</v>
      </c>
      <c r="E483">
        <v>5</v>
      </c>
      <c r="F483">
        <v>0</v>
      </c>
    </row>
    <row r="484" spans="4:6" x14ac:dyDescent="0.25">
      <c r="D484" s="2" t="s">
        <v>321</v>
      </c>
      <c r="E484">
        <v>5</v>
      </c>
      <c r="F484">
        <v>0</v>
      </c>
    </row>
    <row r="485" spans="4:6" x14ac:dyDescent="0.25">
      <c r="D485" s="2" t="s">
        <v>27</v>
      </c>
      <c r="E485">
        <v>0</v>
      </c>
      <c r="F485">
        <v>4</v>
      </c>
    </row>
    <row r="486" spans="4:6" x14ac:dyDescent="0.25">
      <c r="D486" s="2" t="s">
        <v>55</v>
      </c>
      <c r="E486">
        <v>3</v>
      </c>
      <c r="F486">
        <v>2</v>
      </c>
    </row>
    <row r="487" spans="4:6" x14ac:dyDescent="0.25">
      <c r="D487" s="2" t="s">
        <v>716</v>
      </c>
      <c r="E487">
        <v>333</v>
      </c>
      <c r="F487">
        <v>177</v>
      </c>
    </row>
    <row r="514" spans="4:9" x14ac:dyDescent="0.25">
      <c r="D514" s="1" t="s">
        <v>715</v>
      </c>
      <c r="E514" t="s">
        <v>746</v>
      </c>
      <c r="F514" t="s">
        <v>747</v>
      </c>
      <c r="H514" s="1" t="s">
        <v>715</v>
      </c>
      <c r="I514" t="s">
        <v>733</v>
      </c>
    </row>
    <row r="515" spans="4:9" x14ac:dyDescent="0.25">
      <c r="D515" s="2" t="s">
        <v>29</v>
      </c>
      <c r="E515">
        <v>2</v>
      </c>
      <c r="F515">
        <v>2</v>
      </c>
      <c r="H515" s="2" t="s">
        <v>676</v>
      </c>
      <c r="I515">
        <v>60</v>
      </c>
    </row>
    <row r="516" spans="4:9" x14ac:dyDescent="0.25">
      <c r="D516" s="2" t="s">
        <v>5</v>
      </c>
      <c r="E516">
        <v>1</v>
      </c>
      <c r="F516">
        <v>6</v>
      </c>
      <c r="H516" s="2" t="s">
        <v>554</v>
      </c>
      <c r="I516">
        <v>58</v>
      </c>
    </row>
    <row r="517" spans="4:9" x14ac:dyDescent="0.25">
      <c r="D517" s="2" t="s">
        <v>9</v>
      </c>
      <c r="E517">
        <v>3</v>
      </c>
      <c r="F517">
        <v>5</v>
      </c>
      <c r="H517" s="2" t="s">
        <v>523</v>
      </c>
      <c r="I517">
        <v>49</v>
      </c>
    </row>
    <row r="518" spans="4:9" x14ac:dyDescent="0.25">
      <c r="D518" s="2" t="s">
        <v>11</v>
      </c>
      <c r="E518">
        <v>6</v>
      </c>
      <c r="F518">
        <v>7</v>
      </c>
      <c r="H518" s="2" t="s">
        <v>491</v>
      </c>
      <c r="I518">
        <v>52</v>
      </c>
    </row>
    <row r="519" spans="4:9" x14ac:dyDescent="0.25">
      <c r="D519" s="2" t="s">
        <v>296</v>
      </c>
      <c r="E519">
        <v>6</v>
      </c>
      <c r="F519">
        <v>0</v>
      </c>
      <c r="H519" s="2" t="s">
        <v>477</v>
      </c>
      <c r="I519">
        <v>40</v>
      </c>
    </row>
    <row r="520" spans="4:9" x14ac:dyDescent="0.25">
      <c r="D520" s="2" t="s">
        <v>13</v>
      </c>
      <c r="E520">
        <v>1</v>
      </c>
      <c r="F520">
        <v>4</v>
      </c>
      <c r="H520" s="2" t="s">
        <v>444</v>
      </c>
      <c r="I520">
        <v>44</v>
      </c>
    </row>
    <row r="521" spans="4:9" x14ac:dyDescent="0.25">
      <c r="D521" s="2" t="s">
        <v>35</v>
      </c>
      <c r="E521">
        <v>6</v>
      </c>
      <c r="F521">
        <v>4</v>
      </c>
      <c r="H521" s="2" t="s">
        <v>416</v>
      </c>
      <c r="I521">
        <v>48</v>
      </c>
    </row>
    <row r="522" spans="4:9" x14ac:dyDescent="0.25">
      <c r="D522" s="2" t="s">
        <v>636</v>
      </c>
      <c r="E522">
        <v>4</v>
      </c>
      <c r="F522">
        <v>0</v>
      </c>
      <c r="H522" s="2" t="s">
        <v>401</v>
      </c>
      <c r="I522">
        <v>53</v>
      </c>
    </row>
    <row r="523" spans="4:9" x14ac:dyDescent="0.25">
      <c r="D523" s="2" t="s">
        <v>585</v>
      </c>
      <c r="E523">
        <v>4</v>
      </c>
      <c r="F523">
        <v>0</v>
      </c>
      <c r="H523" s="2" t="s">
        <v>389</v>
      </c>
      <c r="I523">
        <v>43</v>
      </c>
    </row>
    <row r="524" spans="4:9" x14ac:dyDescent="0.25">
      <c r="D524" s="2" t="s">
        <v>379</v>
      </c>
      <c r="E524">
        <v>0</v>
      </c>
      <c r="F524">
        <v>0</v>
      </c>
      <c r="H524" s="2" t="s">
        <v>375</v>
      </c>
      <c r="I524">
        <v>39</v>
      </c>
    </row>
    <row r="525" spans="4:9" x14ac:dyDescent="0.25">
      <c r="D525" s="2" t="s">
        <v>15</v>
      </c>
      <c r="E525">
        <v>6</v>
      </c>
      <c r="F525">
        <v>5</v>
      </c>
      <c r="H525" s="2" t="s">
        <v>353</v>
      </c>
      <c r="I525">
        <v>35</v>
      </c>
    </row>
    <row r="526" spans="4:9" x14ac:dyDescent="0.25">
      <c r="D526" s="2" t="s">
        <v>70</v>
      </c>
      <c r="E526">
        <v>5</v>
      </c>
      <c r="F526">
        <v>4</v>
      </c>
      <c r="H526" s="2" t="s">
        <v>665</v>
      </c>
      <c r="I526">
        <v>53</v>
      </c>
    </row>
    <row r="527" spans="4:9" x14ac:dyDescent="0.25">
      <c r="D527" s="2" t="s">
        <v>394</v>
      </c>
      <c r="E527">
        <v>0</v>
      </c>
      <c r="F527">
        <v>0</v>
      </c>
      <c r="H527" s="2" t="s">
        <v>324</v>
      </c>
      <c r="I527">
        <v>34</v>
      </c>
    </row>
    <row r="528" spans="4:9" x14ac:dyDescent="0.25">
      <c r="D528" s="2" t="s">
        <v>59</v>
      </c>
      <c r="E528">
        <v>6</v>
      </c>
      <c r="F528">
        <v>3</v>
      </c>
      <c r="H528" s="2" t="s">
        <v>293</v>
      </c>
      <c r="I528">
        <v>38</v>
      </c>
    </row>
    <row r="529" spans="4:9" x14ac:dyDescent="0.25">
      <c r="D529" s="2" t="s">
        <v>97</v>
      </c>
      <c r="E529">
        <v>0</v>
      </c>
      <c r="F529">
        <v>3</v>
      </c>
      <c r="H529" s="2" t="s">
        <v>271</v>
      </c>
      <c r="I529">
        <v>33</v>
      </c>
    </row>
    <row r="530" spans="4:9" x14ac:dyDescent="0.25">
      <c r="D530" s="2" t="s">
        <v>380</v>
      </c>
      <c r="E530">
        <v>6</v>
      </c>
      <c r="F530">
        <v>0</v>
      </c>
      <c r="H530" s="2" t="s">
        <v>265</v>
      </c>
      <c r="I530">
        <v>41</v>
      </c>
    </row>
    <row r="531" spans="4:9" x14ac:dyDescent="0.25">
      <c r="D531" s="2" t="s">
        <v>407</v>
      </c>
      <c r="E531">
        <v>0</v>
      </c>
      <c r="F531">
        <v>0</v>
      </c>
      <c r="H531" s="2" t="s">
        <v>255</v>
      </c>
      <c r="I531">
        <v>34</v>
      </c>
    </row>
    <row r="532" spans="4:9" x14ac:dyDescent="0.25">
      <c r="D532" s="2" t="s">
        <v>112</v>
      </c>
      <c r="E532">
        <v>0</v>
      </c>
      <c r="F532">
        <v>1</v>
      </c>
      <c r="H532" s="2" t="s">
        <v>226</v>
      </c>
      <c r="I532">
        <v>32</v>
      </c>
    </row>
    <row r="533" spans="4:9" x14ac:dyDescent="0.25">
      <c r="D533" s="2" t="s">
        <v>181</v>
      </c>
      <c r="E533">
        <v>6</v>
      </c>
      <c r="F533">
        <v>0</v>
      </c>
      <c r="H533" s="2" t="s">
        <v>216</v>
      </c>
      <c r="I533">
        <v>27</v>
      </c>
    </row>
    <row r="534" spans="4:9" x14ac:dyDescent="0.25">
      <c r="D534" s="2" t="s">
        <v>359</v>
      </c>
      <c r="E534">
        <v>1</v>
      </c>
      <c r="F534">
        <v>0</v>
      </c>
      <c r="H534" s="2" t="s">
        <v>203</v>
      </c>
      <c r="I534">
        <v>31</v>
      </c>
    </row>
    <row r="535" spans="4:9" x14ac:dyDescent="0.25">
      <c r="D535" s="2" t="s">
        <v>36</v>
      </c>
      <c r="E535">
        <v>7</v>
      </c>
      <c r="F535">
        <v>3</v>
      </c>
      <c r="H535" s="2" t="s">
        <v>198</v>
      </c>
      <c r="I535">
        <v>25</v>
      </c>
    </row>
    <row r="536" spans="4:9" x14ac:dyDescent="0.25">
      <c r="D536" s="2" t="s">
        <v>530</v>
      </c>
      <c r="E536">
        <v>5</v>
      </c>
      <c r="F536">
        <v>0</v>
      </c>
      <c r="H536" s="2" t="s">
        <v>176</v>
      </c>
      <c r="I536">
        <v>24</v>
      </c>
    </row>
    <row r="537" spans="4:9" x14ac:dyDescent="0.25">
      <c r="D537" s="2" t="s">
        <v>587</v>
      </c>
      <c r="E537">
        <v>0</v>
      </c>
      <c r="F537">
        <v>0</v>
      </c>
      <c r="H537" s="2" t="s">
        <v>653</v>
      </c>
      <c r="I537">
        <v>53</v>
      </c>
    </row>
    <row r="538" spans="4:9" x14ac:dyDescent="0.25">
      <c r="D538" s="2" t="s">
        <v>208</v>
      </c>
      <c r="E538">
        <v>4</v>
      </c>
      <c r="F538">
        <v>0</v>
      </c>
      <c r="H538" s="2" t="s">
        <v>143</v>
      </c>
      <c r="I538">
        <v>31</v>
      </c>
    </row>
    <row r="539" spans="4:9" x14ac:dyDescent="0.25">
      <c r="D539" s="2" t="s">
        <v>222</v>
      </c>
      <c r="E539">
        <v>2</v>
      </c>
      <c r="F539">
        <v>0</v>
      </c>
      <c r="H539" s="2" t="s">
        <v>105</v>
      </c>
      <c r="I539">
        <v>36</v>
      </c>
    </row>
    <row r="540" spans="4:9" x14ac:dyDescent="0.25">
      <c r="D540" s="2" t="s">
        <v>37</v>
      </c>
      <c r="E540">
        <v>2</v>
      </c>
      <c r="F540">
        <v>4</v>
      </c>
      <c r="H540" s="2" t="s">
        <v>93</v>
      </c>
      <c r="I540">
        <v>24</v>
      </c>
    </row>
    <row r="541" spans="4:9" x14ac:dyDescent="0.25">
      <c r="D541" s="2" t="s">
        <v>16</v>
      </c>
      <c r="E541">
        <v>7</v>
      </c>
      <c r="F541">
        <v>7</v>
      </c>
      <c r="H541" s="2" t="s">
        <v>65</v>
      </c>
      <c r="I541">
        <v>29</v>
      </c>
    </row>
    <row r="542" spans="4:9" x14ac:dyDescent="0.25">
      <c r="D542" s="2" t="s">
        <v>39</v>
      </c>
      <c r="E542">
        <v>0</v>
      </c>
      <c r="F542">
        <v>4</v>
      </c>
      <c r="H542" s="2" t="s">
        <v>58</v>
      </c>
      <c r="I542">
        <v>18</v>
      </c>
    </row>
    <row r="543" spans="4:9" x14ac:dyDescent="0.25">
      <c r="D543" s="2" t="s">
        <v>686</v>
      </c>
      <c r="E543">
        <v>1</v>
      </c>
      <c r="F543">
        <v>0</v>
      </c>
      <c r="H543" s="2" t="s">
        <v>32</v>
      </c>
      <c r="I543">
        <v>27</v>
      </c>
    </row>
    <row r="544" spans="4:9" x14ac:dyDescent="0.25">
      <c r="D544" s="2" t="s">
        <v>184</v>
      </c>
      <c r="E544">
        <v>3</v>
      </c>
      <c r="F544">
        <v>0</v>
      </c>
      <c r="H544" s="2" t="s">
        <v>8</v>
      </c>
      <c r="I544">
        <v>12</v>
      </c>
    </row>
    <row r="545" spans="4:9" x14ac:dyDescent="0.25">
      <c r="D545" s="2" t="s">
        <v>534</v>
      </c>
      <c r="E545">
        <v>4</v>
      </c>
      <c r="F545">
        <v>0</v>
      </c>
      <c r="H545" s="2" t="s">
        <v>648</v>
      </c>
      <c r="I545">
        <v>45</v>
      </c>
    </row>
    <row r="546" spans="4:9" x14ac:dyDescent="0.25">
      <c r="D546" s="2" t="s">
        <v>186</v>
      </c>
      <c r="E546">
        <v>6</v>
      </c>
      <c r="F546">
        <v>0</v>
      </c>
      <c r="H546" s="2" t="s">
        <v>635</v>
      </c>
      <c r="I546">
        <v>24</v>
      </c>
    </row>
    <row r="547" spans="4:9" x14ac:dyDescent="0.25">
      <c r="D547" s="2" t="s">
        <v>689</v>
      </c>
      <c r="E547">
        <v>1</v>
      </c>
      <c r="F547">
        <v>0</v>
      </c>
      <c r="H547" s="2" t="s">
        <v>618</v>
      </c>
      <c r="I547">
        <v>50</v>
      </c>
    </row>
    <row r="548" spans="4:9" x14ac:dyDescent="0.25">
      <c r="D548" s="2" t="s">
        <v>625</v>
      </c>
      <c r="E548">
        <v>2</v>
      </c>
      <c r="F548">
        <v>0</v>
      </c>
      <c r="H548" s="2" t="s">
        <v>612</v>
      </c>
      <c r="I548">
        <v>48</v>
      </c>
    </row>
    <row r="549" spans="4:9" x14ac:dyDescent="0.25">
      <c r="D549" s="2" t="s">
        <v>409</v>
      </c>
      <c r="E549">
        <v>5</v>
      </c>
      <c r="F549">
        <v>0</v>
      </c>
      <c r="H549" s="2" t="s">
        <v>603</v>
      </c>
      <c r="I549">
        <v>47</v>
      </c>
    </row>
    <row r="550" spans="4:9" x14ac:dyDescent="0.25">
      <c r="D550" s="2" t="s">
        <v>503</v>
      </c>
      <c r="E550">
        <v>0</v>
      </c>
      <c r="F550">
        <v>0</v>
      </c>
      <c r="H550" s="2" t="s">
        <v>582</v>
      </c>
      <c r="I550">
        <v>56</v>
      </c>
    </row>
    <row r="551" spans="4:9" x14ac:dyDescent="0.25">
      <c r="D551" s="2" t="s">
        <v>538</v>
      </c>
      <c r="E551">
        <v>5</v>
      </c>
      <c r="F551">
        <v>0</v>
      </c>
      <c r="H551" s="2" t="s">
        <v>716</v>
      </c>
      <c r="I551">
        <v>1393</v>
      </c>
    </row>
    <row r="552" spans="4:9" x14ac:dyDescent="0.25">
      <c r="D552" s="2" t="s">
        <v>114</v>
      </c>
      <c r="E552">
        <v>7</v>
      </c>
      <c r="F552">
        <v>1</v>
      </c>
    </row>
    <row r="553" spans="4:9" x14ac:dyDescent="0.25">
      <c r="D553" s="2" t="s">
        <v>410</v>
      </c>
      <c r="E553">
        <v>5</v>
      </c>
      <c r="F553">
        <v>0</v>
      </c>
    </row>
    <row r="554" spans="4:9" x14ac:dyDescent="0.25">
      <c r="D554" s="2" t="s">
        <v>668</v>
      </c>
      <c r="E554">
        <v>1</v>
      </c>
      <c r="F554">
        <v>0</v>
      </c>
    </row>
    <row r="555" spans="4:9" x14ac:dyDescent="0.25">
      <c r="D555" s="2" t="s">
        <v>335</v>
      </c>
      <c r="E555">
        <v>0</v>
      </c>
      <c r="F555">
        <v>0</v>
      </c>
    </row>
    <row r="556" spans="4:9" x14ac:dyDescent="0.25">
      <c r="D556" s="2" t="s">
        <v>18</v>
      </c>
      <c r="E556">
        <v>6</v>
      </c>
      <c r="F556">
        <v>7</v>
      </c>
    </row>
    <row r="557" spans="4:9" x14ac:dyDescent="0.25">
      <c r="D557" s="2" t="s">
        <v>41</v>
      </c>
      <c r="E557">
        <v>6</v>
      </c>
      <c r="F557">
        <v>5</v>
      </c>
    </row>
    <row r="558" spans="4:9" x14ac:dyDescent="0.25">
      <c r="D558" s="2" t="s">
        <v>267</v>
      </c>
      <c r="E558">
        <v>2</v>
      </c>
      <c r="F558">
        <v>0</v>
      </c>
    </row>
    <row r="559" spans="4:9" x14ac:dyDescent="0.25">
      <c r="D559" s="2" t="s">
        <v>506</v>
      </c>
      <c r="E559">
        <v>5</v>
      </c>
      <c r="F559">
        <v>0</v>
      </c>
    </row>
    <row r="560" spans="4:9" x14ac:dyDescent="0.25">
      <c r="D560" s="2" t="s">
        <v>118</v>
      </c>
      <c r="E560">
        <v>5</v>
      </c>
      <c r="F560">
        <v>1</v>
      </c>
    </row>
    <row r="561" spans="4:6" x14ac:dyDescent="0.25">
      <c r="D561" s="2" t="s">
        <v>383</v>
      </c>
      <c r="E561">
        <v>3</v>
      </c>
      <c r="F561">
        <v>0</v>
      </c>
    </row>
    <row r="562" spans="4:6" x14ac:dyDescent="0.25">
      <c r="D562" s="2" t="s">
        <v>60</v>
      </c>
      <c r="E562">
        <v>1</v>
      </c>
      <c r="F562">
        <v>2</v>
      </c>
    </row>
    <row r="563" spans="4:6" x14ac:dyDescent="0.25">
      <c r="D563" s="2" t="s">
        <v>236</v>
      </c>
      <c r="E563">
        <v>1</v>
      </c>
      <c r="F563">
        <v>0</v>
      </c>
    </row>
    <row r="564" spans="4:6" x14ac:dyDescent="0.25">
      <c r="D564" s="2" t="s">
        <v>592</v>
      </c>
      <c r="E564">
        <v>1</v>
      </c>
      <c r="F564">
        <v>0</v>
      </c>
    </row>
    <row r="565" spans="4:6" x14ac:dyDescent="0.25">
      <c r="D565" s="2" t="s">
        <v>20</v>
      </c>
      <c r="E565">
        <v>6</v>
      </c>
      <c r="F565">
        <v>6</v>
      </c>
    </row>
    <row r="566" spans="4:6" x14ac:dyDescent="0.25">
      <c r="D566" s="2" t="s">
        <v>540</v>
      </c>
      <c r="E566">
        <v>2</v>
      </c>
      <c r="F566">
        <v>0</v>
      </c>
    </row>
    <row r="567" spans="4:6" x14ac:dyDescent="0.25">
      <c r="D567" s="2" t="s">
        <v>43</v>
      </c>
      <c r="E567">
        <v>3</v>
      </c>
      <c r="F567">
        <v>4</v>
      </c>
    </row>
    <row r="568" spans="4:6" x14ac:dyDescent="0.25">
      <c r="D568" s="2" t="s">
        <v>223</v>
      </c>
      <c r="E568">
        <v>0</v>
      </c>
      <c r="F568">
        <v>0</v>
      </c>
    </row>
    <row r="569" spans="4:6" x14ac:dyDescent="0.25">
      <c r="D569" s="2" t="s">
        <v>122</v>
      </c>
      <c r="E569">
        <v>0</v>
      </c>
      <c r="F569">
        <v>1</v>
      </c>
    </row>
    <row r="570" spans="4:6" x14ac:dyDescent="0.25">
      <c r="D570" s="2" t="s">
        <v>44</v>
      </c>
      <c r="E570">
        <v>0</v>
      </c>
      <c r="F570">
        <v>6</v>
      </c>
    </row>
    <row r="571" spans="4:6" x14ac:dyDescent="0.25">
      <c r="D571" s="2" t="s">
        <v>671</v>
      </c>
      <c r="E571">
        <v>1</v>
      </c>
      <c r="F571">
        <v>0</v>
      </c>
    </row>
    <row r="572" spans="4:6" x14ac:dyDescent="0.25">
      <c r="D572" s="2" t="s">
        <v>99</v>
      </c>
      <c r="E572">
        <v>5</v>
      </c>
      <c r="F572">
        <v>2</v>
      </c>
    </row>
    <row r="573" spans="4:6" x14ac:dyDescent="0.25">
      <c r="D573" s="2" t="s">
        <v>156</v>
      </c>
      <c r="E573">
        <v>5</v>
      </c>
      <c r="F573">
        <v>1</v>
      </c>
    </row>
    <row r="574" spans="4:6" x14ac:dyDescent="0.25">
      <c r="D574" s="2" t="s">
        <v>384</v>
      </c>
      <c r="E574">
        <v>3</v>
      </c>
      <c r="F574">
        <v>0</v>
      </c>
    </row>
    <row r="575" spans="4:6" x14ac:dyDescent="0.25">
      <c r="D575" s="2" t="s">
        <v>238</v>
      </c>
      <c r="E575">
        <v>6</v>
      </c>
      <c r="F575">
        <v>0</v>
      </c>
    </row>
    <row r="576" spans="4:6" x14ac:dyDescent="0.25">
      <c r="D576" s="2" t="s">
        <v>22</v>
      </c>
      <c r="E576">
        <v>7</v>
      </c>
      <c r="F576">
        <v>7</v>
      </c>
    </row>
    <row r="577" spans="4:6" x14ac:dyDescent="0.25">
      <c r="D577" s="2" t="s">
        <v>61</v>
      </c>
      <c r="E577">
        <v>5</v>
      </c>
      <c r="F577">
        <v>4</v>
      </c>
    </row>
    <row r="578" spans="4:6" x14ac:dyDescent="0.25">
      <c r="D578" s="2" t="s">
        <v>412</v>
      </c>
      <c r="E578">
        <v>0</v>
      </c>
      <c r="F578">
        <v>0</v>
      </c>
    </row>
    <row r="579" spans="4:6" x14ac:dyDescent="0.25">
      <c r="D579" s="2" t="s">
        <v>46</v>
      </c>
      <c r="E579">
        <v>7</v>
      </c>
      <c r="F579">
        <v>6</v>
      </c>
    </row>
    <row r="580" spans="4:6" x14ac:dyDescent="0.25">
      <c r="D580" s="2" t="s">
        <v>596</v>
      </c>
      <c r="E580">
        <v>0</v>
      </c>
      <c r="F580">
        <v>0</v>
      </c>
    </row>
    <row r="581" spans="4:6" x14ac:dyDescent="0.25">
      <c r="D581" s="2" t="s">
        <v>100</v>
      </c>
      <c r="E581">
        <v>5</v>
      </c>
      <c r="F581">
        <v>2</v>
      </c>
    </row>
    <row r="582" spans="4:6" x14ac:dyDescent="0.25">
      <c r="D582" s="2" t="s">
        <v>23</v>
      </c>
      <c r="E582">
        <v>6</v>
      </c>
      <c r="F582">
        <v>4</v>
      </c>
    </row>
    <row r="583" spans="4:6" x14ac:dyDescent="0.25">
      <c r="D583" s="2" t="s">
        <v>511</v>
      </c>
      <c r="E583">
        <v>4</v>
      </c>
      <c r="F583">
        <v>0</v>
      </c>
    </row>
    <row r="584" spans="4:6" x14ac:dyDescent="0.25">
      <c r="D584" s="2" t="s">
        <v>49</v>
      </c>
      <c r="E584">
        <v>4</v>
      </c>
      <c r="F584">
        <v>2</v>
      </c>
    </row>
    <row r="585" spans="4:6" x14ac:dyDescent="0.25">
      <c r="D585" s="2" t="s">
        <v>78</v>
      </c>
      <c r="E585">
        <v>0</v>
      </c>
      <c r="F585">
        <v>3</v>
      </c>
    </row>
    <row r="586" spans="4:6" x14ac:dyDescent="0.25">
      <c r="D586" s="2" t="s">
        <v>268</v>
      </c>
      <c r="E586">
        <v>3</v>
      </c>
      <c r="F586">
        <v>0</v>
      </c>
    </row>
    <row r="587" spans="4:6" x14ac:dyDescent="0.25">
      <c r="D587" s="2" t="s">
        <v>243</v>
      </c>
      <c r="E587">
        <v>1</v>
      </c>
      <c r="F587">
        <v>0</v>
      </c>
    </row>
    <row r="588" spans="4:6" x14ac:dyDescent="0.25">
      <c r="D588" s="2" t="s">
        <v>129</v>
      </c>
      <c r="E588">
        <v>0</v>
      </c>
      <c r="F588">
        <v>1</v>
      </c>
    </row>
    <row r="589" spans="4:6" x14ac:dyDescent="0.25">
      <c r="D589" s="2" t="s">
        <v>200</v>
      </c>
      <c r="E589">
        <v>0</v>
      </c>
      <c r="F589">
        <v>0</v>
      </c>
    </row>
    <row r="590" spans="4:6" x14ac:dyDescent="0.25">
      <c r="D590" s="2" t="s">
        <v>25</v>
      </c>
      <c r="E590">
        <v>0</v>
      </c>
      <c r="F590">
        <v>7</v>
      </c>
    </row>
    <row r="591" spans="4:6" x14ac:dyDescent="0.25">
      <c r="D591" s="2" t="s">
        <v>546</v>
      </c>
      <c r="E591">
        <v>3</v>
      </c>
      <c r="F591">
        <v>0</v>
      </c>
    </row>
    <row r="592" spans="4:6" x14ac:dyDescent="0.25">
      <c r="D592" s="2" t="s">
        <v>193</v>
      </c>
      <c r="E592">
        <v>4</v>
      </c>
      <c r="F592">
        <v>0</v>
      </c>
    </row>
    <row r="593" spans="4:6" x14ac:dyDescent="0.25">
      <c r="D593" s="2" t="s">
        <v>213</v>
      </c>
      <c r="E593">
        <v>3</v>
      </c>
      <c r="F593">
        <v>0</v>
      </c>
    </row>
    <row r="594" spans="4:6" x14ac:dyDescent="0.25">
      <c r="D594" s="2" t="s">
        <v>50</v>
      </c>
      <c r="E594">
        <v>6</v>
      </c>
      <c r="F594">
        <v>6</v>
      </c>
    </row>
    <row r="595" spans="4:6" x14ac:dyDescent="0.25">
      <c r="D595" s="2" t="s">
        <v>570</v>
      </c>
      <c r="E595">
        <v>7</v>
      </c>
      <c r="F595">
        <v>0</v>
      </c>
    </row>
    <row r="596" spans="4:6" x14ac:dyDescent="0.25">
      <c r="D596" s="2" t="s">
        <v>62</v>
      </c>
      <c r="E596">
        <v>6</v>
      </c>
      <c r="F596">
        <v>3</v>
      </c>
    </row>
    <row r="597" spans="4:6" x14ac:dyDescent="0.25">
      <c r="D597" s="2" t="s">
        <v>483</v>
      </c>
      <c r="E597">
        <v>0</v>
      </c>
      <c r="F597">
        <v>0</v>
      </c>
    </row>
    <row r="598" spans="4:6" x14ac:dyDescent="0.25">
      <c r="D598" s="2" t="s">
        <v>516</v>
      </c>
      <c r="E598">
        <v>4</v>
      </c>
      <c r="F598">
        <v>0</v>
      </c>
    </row>
    <row r="599" spans="4:6" x14ac:dyDescent="0.25">
      <c r="D599" s="2" t="s">
        <v>315</v>
      </c>
      <c r="E599">
        <v>0</v>
      </c>
      <c r="F599">
        <v>0</v>
      </c>
    </row>
    <row r="600" spans="4:6" x14ac:dyDescent="0.25">
      <c r="D600" s="2" t="s">
        <v>51</v>
      </c>
      <c r="E600">
        <v>4</v>
      </c>
      <c r="F600">
        <v>5</v>
      </c>
    </row>
    <row r="601" spans="4:6" x14ac:dyDescent="0.25">
      <c r="D601" s="2" t="s">
        <v>82</v>
      </c>
      <c r="E601">
        <v>1</v>
      </c>
      <c r="F601">
        <v>1</v>
      </c>
    </row>
    <row r="602" spans="4:6" x14ac:dyDescent="0.25">
      <c r="D602" s="2" t="s">
        <v>83</v>
      </c>
      <c r="E602">
        <v>4</v>
      </c>
      <c r="F602">
        <v>4</v>
      </c>
    </row>
    <row r="603" spans="4:6" x14ac:dyDescent="0.25">
      <c r="D603" s="2" t="s">
        <v>706</v>
      </c>
      <c r="E603">
        <v>1</v>
      </c>
      <c r="F603">
        <v>0</v>
      </c>
    </row>
    <row r="604" spans="4:6" x14ac:dyDescent="0.25">
      <c r="D604" s="2" t="s">
        <v>261</v>
      </c>
      <c r="E604">
        <v>0</v>
      </c>
      <c r="F604">
        <v>0</v>
      </c>
    </row>
    <row r="605" spans="4:6" x14ac:dyDescent="0.25">
      <c r="D605" s="2" t="s">
        <v>549</v>
      </c>
      <c r="E605">
        <v>4</v>
      </c>
      <c r="F605">
        <v>0</v>
      </c>
    </row>
    <row r="606" spans="4:6" x14ac:dyDescent="0.25">
      <c r="D606" s="2" t="s">
        <v>85</v>
      </c>
      <c r="E606">
        <v>2</v>
      </c>
      <c r="F606">
        <v>3</v>
      </c>
    </row>
    <row r="607" spans="4:6" x14ac:dyDescent="0.25">
      <c r="D607" s="2" t="s">
        <v>134</v>
      </c>
      <c r="E607">
        <v>0</v>
      </c>
      <c r="F607">
        <v>1</v>
      </c>
    </row>
    <row r="608" spans="4:6" x14ac:dyDescent="0.25">
      <c r="D608" s="2" t="s">
        <v>101</v>
      </c>
      <c r="E608">
        <v>2</v>
      </c>
      <c r="F608">
        <v>2</v>
      </c>
    </row>
    <row r="609" spans="4:6" x14ac:dyDescent="0.25">
      <c r="D609" s="2" t="s">
        <v>53</v>
      </c>
      <c r="E609">
        <v>7</v>
      </c>
      <c r="F609">
        <v>5</v>
      </c>
    </row>
    <row r="610" spans="4:6" x14ac:dyDescent="0.25">
      <c r="D610" s="2" t="s">
        <v>651</v>
      </c>
      <c r="E610">
        <v>1</v>
      </c>
      <c r="F610">
        <v>0</v>
      </c>
    </row>
    <row r="611" spans="4:6" x14ac:dyDescent="0.25">
      <c r="D611" s="2" t="s">
        <v>262</v>
      </c>
      <c r="E611">
        <v>4</v>
      </c>
      <c r="F611">
        <v>0</v>
      </c>
    </row>
    <row r="612" spans="4:6" x14ac:dyDescent="0.25">
      <c r="D612" s="2" t="s">
        <v>54</v>
      </c>
      <c r="E612">
        <v>5</v>
      </c>
      <c r="F612">
        <v>4</v>
      </c>
    </row>
    <row r="613" spans="4:6" x14ac:dyDescent="0.25">
      <c r="D613" s="2" t="s">
        <v>470</v>
      </c>
      <c r="E613">
        <v>6</v>
      </c>
      <c r="F613">
        <v>0</v>
      </c>
    </row>
    <row r="614" spans="4:6" x14ac:dyDescent="0.25">
      <c r="D614" s="2" t="s">
        <v>397</v>
      </c>
      <c r="E614">
        <v>6</v>
      </c>
      <c r="F614">
        <v>0</v>
      </c>
    </row>
    <row r="615" spans="4:6" x14ac:dyDescent="0.25">
      <c r="D615" s="2" t="s">
        <v>575</v>
      </c>
      <c r="E615">
        <v>0</v>
      </c>
      <c r="F615">
        <v>0</v>
      </c>
    </row>
    <row r="616" spans="4:6" x14ac:dyDescent="0.25">
      <c r="D616" s="2" t="s">
        <v>486</v>
      </c>
      <c r="E616">
        <v>0</v>
      </c>
      <c r="F616">
        <v>0</v>
      </c>
    </row>
    <row r="617" spans="4:6" x14ac:dyDescent="0.25">
      <c r="D617" s="2" t="s">
        <v>89</v>
      </c>
      <c r="E617">
        <v>6</v>
      </c>
      <c r="F617">
        <v>2</v>
      </c>
    </row>
    <row r="618" spans="4:6" x14ac:dyDescent="0.25">
      <c r="D618" s="2" t="s">
        <v>138</v>
      </c>
      <c r="E618">
        <v>1</v>
      </c>
      <c r="F618">
        <v>1</v>
      </c>
    </row>
    <row r="619" spans="4:6" x14ac:dyDescent="0.25">
      <c r="D619" s="2" t="s">
        <v>348</v>
      </c>
      <c r="E619">
        <v>5</v>
      </c>
      <c r="F619">
        <v>0</v>
      </c>
    </row>
    <row r="620" spans="4:6" x14ac:dyDescent="0.25">
      <c r="D620" s="2" t="s">
        <v>321</v>
      </c>
      <c r="E620">
        <v>5</v>
      </c>
      <c r="F620">
        <v>0</v>
      </c>
    </row>
    <row r="621" spans="4:6" x14ac:dyDescent="0.25">
      <c r="D621" s="2" t="s">
        <v>27</v>
      </c>
      <c r="E621">
        <v>0</v>
      </c>
      <c r="F621">
        <v>4</v>
      </c>
    </row>
    <row r="622" spans="4:6" x14ac:dyDescent="0.25">
      <c r="D622" s="2" t="s">
        <v>55</v>
      </c>
      <c r="E622">
        <v>3</v>
      </c>
      <c r="F622">
        <v>2</v>
      </c>
    </row>
    <row r="623" spans="4:6" x14ac:dyDescent="0.25">
      <c r="D623" s="2" t="s">
        <v>716</v>
      </c>
      <c r="E623">
        <v>333</v>
      </c>
      <c r="F623">
        <v>177</v>
      </c>
    </row>
    <row r="2137" spans="4:5" x14ac:dyDescent="0.25">
      <c r="D2137" s="1" t="s">
        <v>715</v>
      </c>
      <c r="E2137" t="s">
        <v>733</v>
      </c>
    </row>
    <row r="2138" spans="4:5" x14ac:dyDescent="0.25">
      <c r="D2138" s="2" t="s">
        <v>676</v>
      </c>
      <c r="E2138">
        <v>60</v>
      </c>
    </row>
    <row r="2139" spans="4:5" x14ac:dyDescent="0.25">
      <c r="D2139" s="2" t="s">
        <v>554</v>
      </c>
      <c r="E2139">
        <v>58</v>
      </c>
    </row>
    <row r="2140" spans="4:5" x14ac:dyDescent="0.25">
      <c r="D2140" s="2" t="s">
        <v>523</v>
      </c>
      <c r="E2140">
        <v>49</v>
      </c>
    </row>
    <row r="2141" spans="4:5" x14ac:dyDescent="0.25">
      <c r="D2141" s="2" t="s">
        <v>491</v>
      </c>
      <c r="E2141">
        <v>52</v>
      </c>
    </row>
    <row r="2142" spans="4:5" x14ac:dyDescent="0.25">
      <c r="D2142" s="2" t="s">
        <v>477</v>
      </c>
      <c r="E2142">
        <v>40</v>
      </c>
    </row>
    <row r="2143" spans="4:5" x14ac:dyDescent="0.25">
      <c r="D2143" s="2" t="s">
        <v>444</v>
      </c>
      <c r="E2143">
        <v>44</v>
      </c>
    </row>
    <row r="2144" spans="4:5" x14ac:dyDescent="0.25">
      <c r="D2144" s="2" t="s">
        <v>416</v>
      </c>
      <c r="E2144">
        <v>48</v>
      </c>
    </row>
    <row r="2145" spans="4:5" x14ac:dyDescent="0.25">
      <c r="D2145" s="2" t="s">
        <v>401</v>
      </c>
      <c r="E2145">
        <v>53</v>
      </c>
    </row>
    <row r="2146" spans="4:5" x14ac:dyDescent="0.25">
      <c r="D2146" s="2" t="s">
        <v>389</v>
      </c>
      <c r="E2146">
        <v>43</v>
      </c>
    </row>
    <row r="2147" spans="4:5" x14ac:dyDescent="0.25">
      <c r="D2147" s="2" t="s">
        <v>375</v>
      </c>
      <c r="E2147">
        <v>39</v>
      </c>
    </row>
    <row r="2148" spans="4:5" x14ac:dyDescent="0.25">
      <c r="D2148" s="2" t="s">
        <v>353</v>
      </c>
      <c r="E2148">
        <v>35</v>
      </c>
    </row>
    <row r="2149" spans="4:5" x14ac:dyDescent="0.25">
      <c r="D2149" s="2" t="s">
        <v>665</v>
      </c>
      <c r="E2149">
        <v>53</v>
      </c>
    </row>
    <row r="2150" spans="4:5" x14ac:dyDescent="0.25">
      <c r="D2150" s="2" t="s">
        <v>324</v>
      </c>
      <c r="E2150">
        <v>34</v>
      </c>
    </row>
    <row r="2151" spans="4:5" x14ac:dyDescent="0.25">
      <c r="D2151" s="2" t="s">
        <v>293</v>
      </c>
      <c r="E2151">
        <v>38</v>
      </c>
    </row>
    <row r="2152" spans="4:5" x14ac:dyDescent="0.25">
      <c r="D2152" s="2" t="s">
        <v>271</v>
      </c>
      <c r="E2152">
        <v>33</v>
      </c>
    </row>
    <row r="2153" spans="4:5" x14ac:dyDescent="0.25">
      <c r="D2153" s="2" t="s">
        <v>265</v>
      </c>
      <c r="E2153">
        <v>41</v>
      </c>
    </row>
    <row r="2154" spans="4:5" x14ac:dyDescent="0.25">
      <c r="D2154" s="2" t="s">
        <v>255</v>
      </c>
      <c r="E2154">
        <v>34</v>
      </c>
    </row>
    <row r="2155" spans="4:5" x14ac:dyDescent="0.25">
      <c r="D2155" s="2" t="s">
        <v>226</v>
      </c>
      <c r="E2155">
        <v>32</v>
      </c>
    </row>
    <row r="2156" spans="4:5" x14ac:dyDescent="0.25">
      <c r="D2156" s="2" t="s">
        <v>216</v>
      </c>
      <c r="E2156">
        <v>27</v>
      </c>
    </row>
    <row r="2157" spans="4:5" x14ac:dyDescent="0.25">
      <c r="D2157" s="2" t="s">
        <v>203</v>
      </c>
      <c r="E2157">
        <v>31</v>
      </c>
    </row>
    <row r="2158" spans="4:5" x14ac:dyDescent="0.25">
      <c r="D2158" s="2" t="s">
        <v>198</v>
      </c>
      <c r="E2158">
        <v>25</v>
      </c>
    </row>
    <row r="2159" spans="4:5" x14ac:dyDescent="0.25">
      <c r="D2159" s="2" t="s">
        <v>176</v>
      </c>
      <c r="E2159">
        <v>24</v>
      </c>
    </row>
    <row r="2160" spans="4:5" x14ac:dyDescent="0.25">
      <c r="D2160" s="2" t="s">
        <v>653</v>
      </c>
      <c r="E2160">
        <v>53</v>
      </c>
    </row>
    <row r="2161" spans="4:5" x14ac:dyDescent="0.25">
      <c r="D2161" s="2" t="s">
        <v>143</v>
      </c>
      <c r="E2161">
        <v>31</v>
      </c>
    </row>
    <row r="2162" spans="4:5" x14ac:dyDescent="0.25">
      <c r="D2162" s="2" t="s">
        <v>105</v>
      </c>
      <c r="E2162">
        <v>36</v>
      </c>
    </row>
    <row r="2163" spans="4:5" x14ac:dyDescent="0.25">
      <c r="D2163" s="2" t="s">
        <v>93</v>
      </c>
      <c r="E2163">
        <v>24</v>
      </c>
    </row>
    <row r="2164" spans="4:5" x14ac:dyDescent="0.25">
      <c r="D2164" s="2" t="s">
        <v>65</v>
      </c>
      <c r="E2164">
        <v>29</v>
      </c>
    </row>
    <row r="2165" spans="4:5" x14ac:dyDescent="0.25">
      <c r="D2165" s="2" t="s">
        <v>58</v>
      </c>
      <c r="E2165">
        <v>18</v>
      </c>
    </row>
    <row r="2166" spans="4:5" x14ac:dyDescent="0.25">
      <c r="D2166" s="2" t="s">
        <v>32</v>
      </c>
      <c r="E2166">
        <v>27</v>
      </c>
    </row>
    <row r="2167" spans="4:5" x14ac:dyDescent="0.25">
      <c r="D2167" s="2" t="s">
        <v>8</v>
      </c>
      <c r="E2167">
        <v>12</v>
      </c>
    </row>
    <row r="2168" spans="4:5" x14ac:dyDescent="0.25">
      <c r="D2168" s="2" t="s">
        <v>648</v>
      </c>
      <c r="E2168">
        <v>45</v>
      </c>
    </row>
    <row r="2169" spans="4:5" x14ac:dyDescent="0.25">
      <c r="D2169" s="2" t="s">
        <v>635</v>
      </c>
      <c r="E2169">
        <v>24</v>
      </c>
    </row>
    <row r="2170" spans="4:5" x14ac:dyDescent="0.25">
      <c r="D2170" s="2" t="s">
        <v>618</v>
      </c>
      <c r="E2170">
        <v>50</v>
      </c>
    </row>
    <row r="2171" spans="4:5" x14ac:dyDescent="0.25">
      <c r="D2171" s="2" t="s">
        <v>612</v>
      </c>
      <c r="E2171">
        <v>48</v>
      </c>
    </row>
    <row r="2172" spans="4:5" x14ac:dyDescent="0.25">
      <c r="D2172" s="2" t="s">
        <v>603</v>
      </c>
      <c r="E2172">
        <v>47</v>
      </c>
    </row>
    <row r="2173" spans="4:5" x14ac:dyDescent="0.25">
      <c r="D2173" s="2" t="s">
        <v>582</v>
      </c>
      <c r="E2173">
        <v>56</v>
      </c>
    </row>
    <row r="2174" spans="4:5" x14ac:dyDescent="0.25">
      <c r="D2174" s="2" t="s">
        <v>716</v>
      </c>
      <c r="E2174">
        <v>1393</v>
      </c>
    </row>
    <row r="2177" spans="4:5" x14ac:dyDescent="0.25">
      <c r="D2177" s="1" t="s">
        <v>715</v>
      </c>
      <c r="E2177" t="s">
        <v>724</v>
      </c>
    </row>
    <row r="2178" spans="4:5" x14ac:dyDescent="0.25">
      <c r="D2178" s="2" t="s">
        <v>29</v>
      </c>
      <c r="E2178" s="16">
        <v>1.0768055555555556</v>
      </c>
    </row>
    <row r="2179" spans="4:5" x14ac:dyDescent="0.25">
      <c r="D2179" s="2" t="s">
        <v>5</v>
      </c>
      <c r="E2179" s="16">
        <v>2.940405092592592</v>
      </c>
    </row>
    <row r="2180" spans="4:5" x14ac:dyDescent="0.25">
      <c r="D2180" s="2" t="s">
        <v>9</v>
      </c>
      <c r="E2180" s="16">
        <v>2.2767708333333325</v>
      </c>
    </row>
    <row r="2181" spans="4:5" x14ac:dyDescent="0.25">
      <c r="D2181" s="2" t="s">
        <v>11</v>
      </c>
      <c r="E2181" s="16">
        <v>2.9238773148148152</v>
      </c>
    </row>
    <row r="2182" spans="4:5" x14ac:dyDescent="0.25">
      <c r="D2182" s="2" t="s">
        <v>296</v>
      </c>
      <c r="E2182" s="16">
        <v>1.2578124999999998</v>
      </c>
    </row>
    <row r="2183" spans="4:5" x14ac:dyDescent="0.25">
      <c r="D2183" s="2" t="s">
        <v>13</v>
      </c>
      <c r="E2183" s="16">
        <v>0.5827430555555555</v>
      </c>
    </row>
    <row r="2184" spans="4:5" x14ac:dyDescent="0.25">
      <c r="D2184" s="2" t="s">
        <v>35</v>
      </c>
      <c r="E2184" s="16">
        <v>2.4394675925925928</v>
      </c>
    </row>
    <row r="2185" spans="4:5" x14ac:dyDescent="0.25">
      <c r="D2185" s="2" t="s">
        <v>636</v>
      </c>
      <c r="E2185" s="16">
        <v>0.40590277777777778</v>
      </c>
    </row>
    <row r="2186" spans="4:5" x14ac:dyDescent="0.25">
      <c r="D2186" s="2" t="s">
        <v>585</v>
      </c>
      <c r="E2186" s="16">
        <v>0.46737268518518521</v>
      </c>
    </row>
    <row r="2187" spans="4:5" x14ac:dyDescent="0.25">
      <c r="D2187" s="2" t="s">
        <v>379</v>
      </c>
      <c r="E2187" s="16">
        <v>6.895833333333333E-2</v>
      </c>
    </row>
    <row r="2188" spans="4:5" x14ac:dyDescent="0.25">
      <c r="D2188" s="2" t="s">
        <v>15</v>
      </c>
      <c r="E2188" s="16">
        <v>1.8496064814814812</v>
      </c>
    </row>
    <row r="2189" spans="4:5" x14ac:dyDescent="0.25">
      <c r="D2189" s="2" t="s">
        <v>70</v>
      </c>
      <c r="E2189" s="16">
        <v>2.4302314814814814</v>
      </c>
    </row>
    <row r="2190" spans="4:5" x14ac:dyDescent="0.25">
      <c r="D2190" s="2" t="s">
        <v>394</v>
      </c>
      <c r="E2190" s="16">
        <v>7.2048611111111105E-2</v>
      </c>
    </row>
    <row r="2191" spans="4:5" x14ac:dyDescent="0.25">
      <c r="D2191" s="2" t="s">
        <v>59</v>
      </c>
      <c r="E2191" s="16">
        <v>1.8999999999999997</v>
      </c>
    </row>
    <row r="2192" spans="4:5" x14ac:dyDescent="0.25">
      <c r="D2192" s="2" t="s">
        <v>97</v>
      </c>
      <c r="E2192" s="16">
        <v>1.1971180555555556</v>
      </c>
    </row>
    <row r="2193" spans="4:5" x14ac:dyDescent="0.25">
      <c r="D2193" s="2" t="s">
        <v>380</v>
      </c>
      <c r="E2193" s="16">
        <v>1.0416319444444444</v>
      </c>
    </row>
    <row r="2194" spans="4:5" x14ac:dyDescent="0.25">
      <c r="D2194" s="2" t="s">
        <v>407</v>
      </c>
      <c r="E2194" s="16">
        <v>0.17310185185185184</v>
      </c>
    </row>
    <row r="2195" spans="4:5" x14ac:dyDescent="0.25">
      <c r="D2195" s="2" t="s">
        <v>112</v>
      </c>
      <c r="E2195" s="16">
        <v>0.27579861111111115</v>
      </c>
    </row>
    <row r="2196" spans="4:5" x14ac:dyDescent="0.25">
      <c r="D2196" s="2" t="s">
        <v>181</v>
      </c>
      <c r="E2196" s="16">
        <v>2.1640162037037038</v>
      </c>
    </row>
    <row r="2197" spans="4:5" x14ac:dyDescent="0.25">
      <c r="D2197" s="2" t="s">
        <v>359</v>
      </c>
      <c r="E2197" s="16">
        <v>0.40467592592592594</v>
      </c>
    </row>
    <row r="2198" spans="4:5" x14ac:dyDescent="0.25">
      <c r="D2198" s="2" t="s">
        <v>36</v>
      </c>
      <c r="E2198" s="16">
        <v>2.5660879629629627</v>
      </c>
    </row>
    <row r="2199" spans="4:5" x14ac:dyDescent="0.25">
      <c r="D2199" s="2" t="s">
        <v>530</v>
      </c>
      <c r="E2199" s="16">
        <v>0.58204861111111117</v>
      </c>
    </row>
    <row r="2200" spans="4:5" x14ac:dyDescent="0.25">
      <c r="D2200" s="2" t="s">
        <v>587</v>
      </c>
      <c r="E2200" s="16">
        <v>6.5891203703703702E-2</v>
      </c>
    </row>
    <row r="2201" spans="4:5" x14ac:dyDescent="0.25">
      <c r="D2201" s="2" t="s">
        <v>208</v>
      </c>
      <c r="E2201" s="16">
        <v>1.0592361111111113</v>
      </c>
    </row>
    <row r="2202" spans="4:5" x14ac:dyDescent="0.25">
      <c r="D2202" s="2" t="s">
        <v>222</v>
      </c>
      <c r="E2202" s="16">
        <v>0.82620370370370377</v>
      </c>
    </row>
    <row r="2203" spans="4:5" x14ac:dyDescent="0.25">
      <c r="D2203" s="2" t="s">
        <v>37</v>
      </c>
      <c r="E2203" s="16">
        <v>1.5403356481481483</v>
      </c>
    </row>
    <row r="2204" spans="4:5" x14ac:dyDescent="0.25">
      <c r="D2204" s="2" t="s">
        <v>16</v>
      </c>
      <c r="E2204" s="16">
        <v>3.0720949074074078</v>
      </c>
    </row>
    <row r="2205" spans="4:5" x14ac:dyDescent="0.25">
      <c r="D2205" s="2" t="s">
        <v>39</v>
      </c>
      <c r="E2205" s="16">
        <v>0.34006944444444448</v>
      </c>
    </row>
    <row r="2206" spans="4:5" x14ac:dyDescent="0.25">
      <c r="D2206" s="2" t="s">
        <v>686</v>
      </c>
      <c r="E2206" s="16">
        <v>7.8877314814814817E-2</v>
      </c>
    </row>
    <row r="2207" spans="4:5" x14ac:dyDescent="0.25">
      <c r="D2207" s="2" t="s">
        <v>184</v>
      </c>
      <c r="E2207" s="16">
        <v>1.1954398148148149</v>
      </c>
    </row>
    <row r="2208" spans="4:5" x14ac:dyDescent="0.25">
      <c r="D2208" s="2" t="s">
        <v>534</v>
      </c>
      <c r="E2208" s="16">
        <v>0.42208333333333331</v>
      </c>
    </row>
    <row r="2209" spans="4:5" x14ac:dyDescent="0.25">
      <c r="D2209" s="2" t="s">
        <v>186</v>
      </c>
      <c r="E2209" s="16">
        <v>2.1888425925925925</v>
      </c>
    </row>
    <row r="2210" spans="4:5" x14ac:dyDescent="0.25">
      <c r="D2210" s="2" t="s">
        <v>689</v>
      </c>
      <c r="E2210" s="16">
        <v>7.8877314814814817E-2</v>
      </c>
    </row>
    <row r="2211" spans="4:5" x14ac:dyDescent="0.25">
      <c r="D2211" s="2" t="s">
        <v>625</v>
      </c>
      <c r="E2211" s="16">
        <v>0.16621527777777778</v>
      </c>
    </row>
    <row r="2212" spans="4:5" x14ac:dyDescent="0.25">
      <c r="D2212" s="2" t="s">
        <v>409</v>
      </c>
      <c r="E2212" s="16">
        <v>1.0458796296296295</v>
      </c>
    </row>
    <row r="2213" spans="4:5" x14ac:dyDescent="0.25">
      <c r="D2213" s="2" t="s">
        <v>503</v>
      </c>
      <c r="E2213" s="16">
        <v>0.19674768518518518</v>
      </c>
    </row>
    <row r="2214" spans="4:5" x14ac:dyDescent="0.25">
      <c r="D2214" s="2" t="s">
        <v>538</v>
      </c>
      <c r="E2214" s="16">
        <v>0.69039351851851849</v>
      </c>
    </row>
    <row r="2215" spans="4:5" x14ac:dyDescent="0.25">
      <c r="D2215" s="2" t="s">
        <v>114</v>
      </c>
      <c r="E2215" s="16">
        <v>1.2168749999999997</v>
      </c>
    </row>
    <row r="2216" spans="4:5" x14ac:dyDescent="0.25">
      <c r="D2216" s="2" t="s">
        <v>410</v>
      </c>
      <c r="E2216" s="16">
        <v>0.64781250000000001</v>
      </c>
    </row>
    <row r="2217" spans="4:5" x14ac:dyDescent="0.25">
      <c r="D2217" s="2" t="s">
        <v>668</v>
      </c>
      <c r="E2217" s="16">
        <v>8.925925925925926E-2</v>
      </c>
    </row>
    <row r="2218" spans="4:5" x14ac:dyDescent="0.25">
      <c r="D2218" s="2" t="s">
        <v>335</v>
      </c>
      <c r="E2218" s="16">
        <v>0.59949074074074071</v>
      </c>
    </row>
    <row r="2219" spans="4:5" x14ac:dyDescent="0.25">
      <c r="D2219" s="2" t="s">
        <v>18</v>
      </c>
      <c r="E2219" s="16">
        <v>2.8203587962962962</v>
      </c>
    </row>
    <row r="2220" spans="4:5" x14ac:dyDescent="0.25">
      <c r="D2220" s="2" t="s">
        <v>41</v>
      </c>
      <c r="E2220" s="16">
        <v>2.6125578703703707</v>
      </c>
    </row>
    <row r="2221" spans="4:5" x14ac:dyDescent="0.25">
      <c r="D2221" s="2" t="s">
        <v>267</v>
      </c>
      <c r="E2221" s="16">
        <v>0.84255787037037044</v>
      </c>
    </row>
    <row r="2222" spans="4:5" x14ac:dyDescent="0.25">
      <c r="D2222" s="2" t="s">
        <v>506</v>
      </c>
      <c r="E2222" s="16">
        <v>0.82265046296296296</v>
      </c>
    </row>
    <row r="2223" spans="4:5" x14ac:dyDescent="0.25">
      <c r="D2223" s="2" t="s">
        <v>118</v>
      </c>
      <c r="E2223" s="16">
        <v>1.6681712962962962</v>
      </c>
    </row>
    <row r="2224" spans="4:5" x14ac:dyDescent="0.25">
      <c r="D2224" s="2" t="s">
        <v>383</v>
      </c>
      <c r="E2224" s="16">
        <v>1.0903240740740741</v>
      </c>
    </row>
    <row r="2225" spans="4:5" x14ac:dyDescent="0.25">
      <c r="D2225" s="2" t="s">
        <v>60</v>
      </c>
      <c r="E2225" s="16">
        <v>1.6124652777777781</v>
      </c>
    </row>
    <row r="2226" spans="4:5" x14ac:dyDescent="0.25">
      <c r="D2226" s="2" t="s">
        <v>236</v>
      </c>
      <c r="E2226" s="16">
        <v>0.49251157407407409</v>
      </c>
    </row>
    <row r="2227" spans="4:5" x14ac:dyDescent="0.25">
      <c r="D2227" s="2" t="s">
        <v>592</v>
      </c>
      <c r="E2227" s="16">
        <v>0.14476851851851852</v>
      </c>
    </row>
    <row r="2228" spans="4:5" x14ac:dyDescent="0.25">
      <c r="D2228" s="2" t="s">
        <v>20</v>
      </c>
      <c r="E2228" s="16">
        <v>2.783159722222222</v>
      </c>
    </row>
    <row r="2229" spans="4:5" x14ac:dyDescent="0.25">
      <c r="D2229" s="2" t="s">
        <v>540</v>
      </c>
      <c r="E2229" s="16">
        <v>0.40134259259259258</v>
      </c>
    </row>
    <row r="2230" spans="4:5" x14ac:dyDescent="0.25">
      <c r="D2230" s="2" t="s">
        <v>43</v>
      </c>
      <c r="E2230" s="16">
        <v>1.3990740740740739</v>
      </c>
    </row>
    <row r="2231" spans="4:5" x14ac:dyDescent="0.25">
      <c r="D2231" s="2" t="s">
        <v>223</v>
      </c>
      <c r="E2231" s="16">
        <v>9.6956018518518525E-2</v>
      </c>
    </row>
    <row r="2232" spans="4:5" x14ac:dyDescent="0.25">
      <c r="D2232" s="2" t="s">
        <v>122</v>
      </c>
      <c r="E2232" s="16">
        <v>6.5439814814814812E-2</v>
      </c>
    </row>
    <row r="2233" spans="4:5" x14ac:dyDescent="0.25">
      <c r="D2233" s="2" t="s">
        <v>44</v>
      </c>
      <c r="E2233" s="16">
        <v>1.5634259259259258</v>
      </c>
    </row>
    <row r="2234" spans="4:5" x14ac:dyDescent="0.25">
      <c r="D2234" s="2" t="s">
        <v>671</v>
      </c>
      <c r="E2234" s="16">
        <v>8.925925925925926E-2</v>
      </c>
    </row>
    <row r="2235" spans="4:5" x14ac:dyDescent="0.25">
      <c r="D2235" s="2" t="s">
        <v>99</v>
      </c>
      <c r="E2235" s="16">
        <v>1.5325347222222221</v>
      </c>
    </row>
    <row r="2236" spans="4:5" x14ac:dyDescent="0.25">
      <c r="D2236" s="2" t="s">
        <v>156</v>
      </c>
      <c r="E2236" s="16">
        <v>1.5553819444444443</v>
      </c>
    </row>
    <row r="2237" spans="4:5" x14ac:dyDescent="0.25">
      <c r="D2237" s="2" t="s">
        <v>384</v>
      </c>
      <c r="E2237" s="16">
        <v>0.58012731481481483</v>
      </c>
    </row>
    <row r="2238" spans="4:5" x14ac:dyDescent="0.25">
      <c r="D2238" s="2" t="s">
        <v>238</v>
      </c>
      <c r="E2238" s="16">
        <v>1.7564814814814811</v>
      </c>
    </row>
    <row r="2239" spans="4:5" x14ac:dyDescent="0.25">
      <c r="D2239" s="2" t="s">
        <v>22</v>
      </c>
      <c r="E2239" s="16">
        <v>3.0000462962962966</v>
      </c>
    </row>
    <row r="2240" spans="4:5" x14ac:dyDescent="0.25">
      <c r="D2240" s="2" t="s">
        <v>61</v>
      </c>
      <c r="E2240" s="16">
        <v>1.2942013888888886</v>
      </c>
    </row>
    <row r="2241" spans="4:5" x14ac:dyDescent="0.25">
      <c r="D2241" s="2" t="s">
        <v>412</v>
      </c>
      <c r="E2241" s="16">
        <v>0.14520833333333333</v>
      </c>
    </row>
    <row r="2242" spans="4:5" x14ac:dyDescent="0.25">
      <c r="D2242" s="2" t="s">
        <v>46</v>
      </c>
      <c r="E2242" s="16">
        <v>2.7944212962962962</v>
      </c>
    </row>
    <row r="2243" spans="4:5" x14ac:dyDescent="0.25">
      <c r="D2243" s="2" t="s">
        <v>596</v>
      </c>
      <c r="E2243" s="16">
        <v>6.5891203703703702E-2</v>
      </c>
    </row>
    <row r="2244" spans="4:5" x14ac:dyDescent="0.25">
      <c r="D2244" s="2" t="s">
        <v>100</v>
      </c>
      <c r="E2244" s="16">
        <v>1.3441550925925922</v>
      </c>
    </row>
    <row r="2245" spans="4:5" x14ac:dyDescent="0.25">
      <c r="D2245" s="2" t="s">
        <v>23</v>
      </c>
      <c r="E2245" s="16">
        <v>2.4989004629629634</v>
      </c>
    </row>
    <row r="2246" spans="4:5" x14ac:dyDescent="0.25">
      <c r="D2246" s="2" t="s">
        <v>511</v>
      </c>
      <c r="E2246" s="16">
        <v>0.78350694444444446</v>
      </c>
    </row>
    <row r="2247" spans="4:5" x14ac:dyDescent="0.25">
      <c r="D2247" s="2" t="s">
        <v>49</v>
      </c>
      <c r="E2247" s="16">
        <v>1.3987037037037033</v>
      </c>
    </row>
    <row r="2248" spans="4:5" x14ac:dyDescent="0.25">
      <c r="D2248" s="2" t="s">
        <v>78</v>
      </c>
      <c r="E2248" s="16">
        <v>0.41204861111111113</v>
      </c>
    </row>
    <row r="2249" spans="4:5" x14ac:dyDescent="0.25">
      <c r="D2249" s="2" t="s">
        <v>268</v>
      </c>
      <c r="E2249" s="16">
        <v>1.0640393518518518</v>
      </c>
    </row>
    <row r="2250" spans="4:5" x14ac:dyDescent="0.25">
      <c r="D2250" s="2" t="s">
        <v>243</v>
      </c>
      <c r="E2250" s="16">
        <v>0.15128472222222222</v>
      </c>
    </row>
    <row r="2251" spans="4:5" x14ac:dyDescent="0.25">
      <c r="D2251" s="2" t="s">
        <v>129</v>
      </c>
      <c r="E2251" s="16">
        <v>0.15494212962962961</v>
      </c>
    </row>
    <row r="2252" spans="4:5" x14ac:dyDescent="0.25">
      <c r="D2252" s="2" t="s">
        <v>200</v>
      </c>
      <c r="E2252" s="16">
        <v>0.46819444444444447</v>
      </c>
    </row>
    <row r="2253" spans="4:5" x14ac:dyDescent="0.25">
      <c r="D2253" s="2" t="s">
        <v>25</v>
      </c>
      <c r="E2253" s="16">
        <v>2.198425925925926</v>
      </c>
    </row>
    <row r="2254" spans="4:5" x14ac:dyDescent="0.25">
      <c r="D2254" s="2" t="s">
        <v>546</v>
      </c>
      <c r="E2254" s="16">
        <v>0.50312500000000004</v>
      </c>
    </row>
    <row r="2255" spans="4:5" x14ac:dyDescent="0.25">
      <c r="D2255" s="2" t="s">
        <v>193</v>
      </c>
      <c r="E2255" s="16">
        <v>1.2954629629629626</v>
      </c>
    </row>
    <row r="2256" spans="4:5" x14ac:dyDescent="0.25">
      <c r="D2256" s="2" t="s">
        <v>213</v>
      </c>
      <c r="E2256" s="16">
        <v>0.78620370370370363</v>
      </c>
    </row>
    <row r="2257" spans="4:5" x14ac:dyDescent="0.25">
      <c r="D2257" s="2" t="s">
        <v>50</v>
      </c>
      <c r="E2257" s="16">
        <v>2.5218981481481482</v>
      </c>
    </row>
    <row r="2258" spans="4:5" x14ac:dyDescent="0.25">
      <c r="D2258" s="2" t="s">
        <v>570</v>
      </c>
      <c r="E2258" s="16">
        <v>0.88497685185185193</v>
      </c>
    </row>
    <row r="2259" spans="4:5" x14ac:dyDescent="0.25">
      <c r="D2259" s="2" t="s">
        <v>62</v>
      </c>
      <c r="E2259" s="16">
        <v>2.1651388888888889</v>
      </c>
    </row>
    <row r="2260" spans="4:5" x14ac:dyDescent="0.25">
      <c r="D2260" s="2" t="s">
        <v>483</v>
      </c>
      <c r="E2260" s="16">
        <v>9.9895833333333336E-2</v>
      </c>
    </row>
    <row r="2261" spans="4:5" x14ac:dyDescent="0.25">
      <c r="D2261" s="2" t="s">
        <v>516</v>
      </c>
      <c r="E2261" s="16">
        <v>0.44266203703703705</v>
      </c>
    </row>
    <row r="2262" spans="4:5" x14ac:dyDescent="0.25">
      <c r="D2262" s="2" t="s">
        <v>315</v>
      </c>
      <c r="E2262" s="16">
        <v>7.604166666666666E-2</v>
      </c>
    </row>
    <row r="2263" spans="4:5" x14ac:dyDescent="0.25">
      <c r="D2263" s="2" t="s">
        <v>51</v>
      </c>
      <c r="E2263" s="16">
        <v>2.1013194444444445</v>
      </c>
    </row>
    <row r="2264" spans="4:5" x14ac:dyDescent="0.25">
      <c r="D2264" s="2" t="s">
        <v>82</v>
      </c>
      <c r="E2264" s="16">
        <v>0.40115740740740735</v>
      </c>
    </row>
    <row r="2265" spans="4:5" x14ac:dyDescent="0.25">
      <c r="D2265" s="2" t="s">
        <v>83</v>
      </c>
      <c r="E2265" s="16">
        <v>2.4191087962962965</v>
      </c>
    </row>
    <row r="2266" spans="4:5" x14ac:dyDescent="0.25">
      <c r="D2266" s="2" t="s">
        <v>706</v>
      </c>
      <c r="E2266" s="16">
        <v>7.8877314814814817E-2</v>
      </c>
    </row>
    <row r="2267" spans="4:5" x14ac:dyDescent="0.25">
      <c r="D2267" s="2" t="s">
        <v>261</v>
      </c>
      <c r="E2267" s="16">
        <v>0.53628472222222223</v>
      </c>
    </row>
    <row r="2268" spans="4:5" x14ac:dyDescent="0.25">
      <c r="D2268" s="2" t="s">
        <v>549</v>
      </c>
      <c r="E2268" s="16">
        <v>0.65927083333333336</v>
      </c>
    </row>
    <row r="2269" spans="4:5" x14ac:dyDescent="0.25">
      <c r="D2269" s="2" t="s">
        <v>85</v>
      </c>
      <c r="E2269" s="16">
        <v>1.6359027777777777</v>
      </c>
    </row>
    <row r="2270" spans="4:5" x14ac:dyDescent="0.25">
      <c r="D2270" s="2" t="s">
        <v>134</v>
      </c>
      <c r="E2270" s="16">
        <v>0.69800925925925927</v>
      </c>
    </row>
    <row r="2271" spans="4:5" x14ac:dyDescent="0.25">
      <c r="D2271" s="2" t="s">
        <v>101</v>
      </c>
      <c r="E2271" s="16">
        <v>0.59924768518518523</v>
      </c>
    </row>
    <row r="2272" spans="4:5" x14ac:dyDescent="0.25">
      <c r="D2272" s="2" t="s">
        <v>53</v>
      </c>
      <c r="E2272" s="16">
        <v>2.9219097222222223</v>
      </c>
    </row>
    <row r="2273" spans="4:5" x14ac:dyDescent="0.25">
      <c r="D2273" s="2" t="s">
        <v>651</v>
      </c>
      <c r="E2273" s="16">
        <v>7.6249999999999998E-2</v>
      </c>
    </row>
    <row r="2274" spans="4:5" x14ac:dyDescent="0.25">
      <c r="D2274" s="2" t="s">
        <v>262</v>
      </c>
      <c r="E2274" s="16">
        <v>0.92449074074074078</v>
      </c>
    </row>
    <row r="2275" spans="4:5" x14ac:dyDescent="0.25">
      <c r="D2275" s="2" t="s">
        <v>54</v>
      </c>
      <c r="E2275" s="16">
        <v>1.1254629629629631</v>
      </c>
    </row>
    <row r="2276" spans="4:5" x14ac:dyDescent="0.25">
      <c r="D2276" s="2" t="s">
        <v>470</v>
      </c>
      <c r="E2276" s="16">
        <v>1.1271875</v>
      </c>
    </row>
    <row r="2277" spans="4:5" x14ac:dyDescent="0.25">
      <c r="D2277" s="2" t="s">
        <v>397</v>
      </c>
      <c r="E2277" s="16">
        <v>1.1992361111111112</v>
      </c>
    </row>
    <row r="2278" spans="4:5" x14ac:dyDescent="0.25">
      <c r="D2278" s="2" t="s">
        <v>575</v>
      </c>
      <c r="E2278" s="16">
        <v>8.3715277777777777E-2</v>
      </c>
    </row>
    <row r="2279" spans="4:5" x14ac:dyDescent="0.25">
      <c r="D2279" s="2" t="s">
        <v>486</v>
      </c>
      <c r="E2279" s="16">
        <v>0.20599537037037036</v>
      </c>
    </row>
    <row r="2280" spans="4:5" x14ac:dyDescent="0.25">
      <c r="D2280" s="2" t="s">
        <v>89</v>
      </c>
      <c r="E2280" s="16">
        <v>1.9474305555555553</v>
      </c>
    </row>
    <row r="2281" spans="4:5" x14ac:dyDescent="0.25">
      <c r="D2281" s="2" t="s">
        <v>138</v>
      </c>
      <c r="E2281" s="16">
        <v>0.79221064814814812</v>
      </c>
    </row>
    <row r="2282" spans="4:5" x14ac:dyDescent="0.25">
      <c r="D2282" s="2" t="s">
        <v>348</v>
      </c>
      <c r="E2282" s="16">
        <v>1.2692476851851848</v>
      </c>
    </row>
    <row r="2283" spans="4:5" x14ac:dyDescent="0.25">
      <c r="D2283" s="2" t="s">
        <v>321</v>
      </c>
      <c r="E2283" s="16">
        <v>1.3511689814814811</v>
      </c>
    </row>
    <row r="2284" spans="4:5" x14ac:dyDescent="0.25">
      <c r="D2284" s="2" t="s">
        <v>27</v>
      </c>
      <c r="E2284" s="16">
        <v>1.1150578703703704</v>
      </c>
    </row>
    <row r="2285" spans="4:5" x14ac:dyDescent="0.25">
      <c r="D2285" s="2" t="s">
        <v>55</v>
      </c>
      <c r="E2285" s="16">
        <v>0.72842592592592592</v>
      </c>
    </row>
    <row r="2286" spans="4:5" x14ac:dyDescent="0.25">
      <c r="D2286" s="2" t="s">
        <v>716</v>
      </c>
      <c r="E2286" s="16">
        <v>119.09299768518521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0"/>
  <sheetViews>
    <sheetView workbookViewId="0"/>
  </sheetViews>
  <sheetFormatPr defaultRowHeight="15" x14ac:dyDescent="0.25"/>
  <cols>
    <col min="2" max="2" width="17.42578125" customWidth="1"/>
    <col min="3" max="3" width="17.7109375" customWidth="1"/>
  </cols>
  <sheetData>
    <row r="1" spans="1:7" x14ac:dyDescent="0.25">
      <c r="A1" t="s">
        <v>765</v>
      </c>
      <c r="B1" t="s">
        <v>753</v>
      </c>
      <c r="C1" t="s">
        <v>768</v>
      </c>
      <c r="D1" t="s">
        <v>769</v>
      </c>
      <c r="E1" t="s">
        <v>767</v>
      </c>
      <c r="F1" t="s">
        <v>770</v>
      </c>
      <c r="G1" t="s">
        <v>771</v>
      </c>
    </row>
    <row r="2" spans="1:7" x14ac:dyDescent="0.25">
      <c r="A2">
        <v>1</v>
      </c>
      <c r="B2" t="s">
        <v>29</v>
      </c>
      <c r="C2">
        <f>COUNTA(B2:B61)</f>
        <v>60</v>
      </c>
      <c r="E2">
        <v>1</v>
      </c>
      <c r="F2" t="s">
        <v>29</v>
      </c>
      <c r="G2">
        <f>COUNTA(F2:F49)</f>
        <v>48</v>
      </c>
    </row>
    <row r="3" spans="1:7" x14ac:dyDescent="0.25">
      <c r="A3">
        <v>2</v>
      </c>
      <c r="B3" t="s">
        <v>5</v>
      </c>
      <c r="E3">
        <v>2</v>
      </c>
      <c r="F3" t="s">
        <v>11</v>
      </c>
    </row>
    <row r="4" spans="1:7" x14ac:dyDescent="0.25">
      <c r="A4">
        <v>3</v>
      </c>
      <c r="B4" t="s">
        <v>11</v>
      </c>
      <c r="E4">
        <v>3</v>
      </c>
      <c r="F4" t="s">
        <v>13</v>
      </c>
    </row>
    <row r="5" spans="1:7" x14ac:dyDescent="0.25">
      <c r="A5">
        <v>4</v>
      </c>
      <c r="B5" t="s">
        <v>296</v>
      </c>
      <c r="E5">
        <v>4</v>
      </c>
      <c r="F5" t="s">
        <v>35</v>
      </c>
    </row>
    <row r="6" spans="1:7" x14ac:dyDescent="0.25">
      <c r="A6">
        <v>5</v>
      </c>
      <c r="B6" t="s">
        <v>35</v>
      </c>
      <c r="E6">
        <v>5</v>
      </c>
      <c r="F6" t="s">
        <v>585</v>
      </c>
    </row>
    <row r="7" spans="1:7" x14ac:dyDescent="0.25">
      <c r="A7">
        <v>6</v>
      </c>
      <c r="B7" t="s">
        <v>15</v>
      </c>
      <c r="E7">
        <v>6</v>
      </c>
      <c r="F7" t="s">
        <v>15</v>
      </c>
    </row>
    <row r="8" spans="1:7" x14ac:dyDescent="0.25">
      <c r="A8">
        <v>7</v>
      </c>
      <c r="B8" t="s">
        <v>70</v>
      </c>
      <c r="E8">
        <v>7</v>
      </c>
      <c r="F8" t="s">
        <v>59</v>
      </c>
    </row>
    <row r="9" spans="1:7" x14ac:dyDescent="0.25">
      <c r="A9">
        <v>8</v>
      </c>
      <c r="B9" t="s">
        <v>59</v>
      </c>
      <c r="E9">
        <v>8</v>
      </c>
      <c r="F9" t="s">
        <v>380</v>
      </c>
    </row>
    <row r="10" spans="1:7" x14ac:dyDescent="0.25">
      <c r="A10">
        <v>9</v>
      </c>
      <c r="B10" t="s">
        <v>380</v>
      </c>
      <c r="E10">
        <v>9</v>
      </c>
      <c r="F10" t="s">
        <v>181</v>
      </c>
    </row>
    <row r="11" spans="1:7" x14ac:dyDescent="0.25">
      <c r="A11">
        <v>10</v>
      </c>
      <c r="B11" t="s">
        <v>181</v>
      </c>
      <c r="E11">
        <v>10</v>
      </c>
      <c r="F11" t="s">
        <v>36</v>
      </c>
    </row>
    <row r="12" spans="1:7" x14ac:dyDescent="0.25">
      <c r="A12">
        <v>11</v>
      </c>
      <c r="B12" t="s">
        <v>36</v>
      </c>
      <c r="E12">
        <v>11</v>
      </c>
      <c r="F12" t="s">
        <v>530</v>
      </c>
    </row>
    <row r="13" spans="1:7" x14ac:dyDescent="0.25">
      <c r="A13">
        <v>12</v>
      </c>
      <c r="B13" t="s">
        <v>530</v>
      </c>
      <c r="E13">
        <v>12</v>
      </c>
      <c r="F13" t="s">
        <v>37</v>
      </c>
    </row>
    <row r="14" spans="1:7" x14ac:dyDescent="0.25">
      <c r="A14">
        <v>13</v>
      </c>
      <c r="B14" t="s">
        <v>208</v>
      </c>
      <c r="E14">
        <v>13</v>
      </c>
      <c r="F14" t="s">
        <v>16</v>
      </c>
    </row>
    <row r="15" spans="1:7" x14ac:dyDescent="0.25">
      <c r="A15">
        <v>14</v>
      </c>
      <c r="B15" t="s">
        <v>222</v>
      </c>
      <c r="E15">
        <v>14</v>
      </c>
      <c r="F15" t="s">
        <v>534</v>
      </c>
    </row>
    <row r="16" spans="1:7" x14ac:dyDescent="0.25">
      <c r="A16">
        <v>15</v>
      </c>
      <c r="B16" t="s">
        <v>16</v>
      </c>
      <c r="E16">
        <v>15</v>
      </c>
      <c r="F16" t="s">
        <v>186</v>
      </c>
    </row>
    <row r="17" spans="1:6" x14ac:dyDescent="0.25">
      <c r="A17">
        <v>16</v>
      </c>
      <c r="B17" t="s">
        <v>686</v>
      </c>
      <c r="E17">
        <v>16</v>
      </c>
      <c r="F17" t="s">
        <v>409</v>
      </c>
    </row>
    <row r="18" spans="1:6" x14ac:dyDescent="0.25">
      <c r="A18">
        <v>17</v>
      </c>
      <c r="B18" t="s">
        <v>184</v>
      </c>
      <c r="E18">
        <v>17</v>
      </c>
      <c r="F18" t="s">
        <v>114</v>
      </c>
    </row>
    <row r="19" spans="1:6" x14ac:dyDescent="0.25">
      <c r="A19">
        <v>18</v>
      </c>
      <c r="B19" t="s">
        <v>534</v>
      </c>
      <c r="E19">
        <v>18</v>
      </c>
      <c r="F19" t="s">
        <v>18</v>
      </c>
    </row>
    <row r="20" spans="1:6" x14ac:dyDescent="0.25">
      <c r="A20">
        <v>19</v>
      </c>
      <c r="B20" t="s">
        <v>186</v>
      </c>
      <c r="E20">
        <v>19</v>
      </c>
      <c r="F20" t="s">
        <v>41</v>
      </c>
    </row>
    <row r="21" spans="1:6" x14ac:dyDescent="0.25">
      <c r="A21">
        <v>20</v>
      </c>
      <c r="B21" t="s">
        <v>689</v>
      </c>
      <c r="E21">
        <v>20</v>
      </c>
      <c r="F21" t="s">
        <v>506</v>
      </c>
    </row>
    <row r="22" spans="1:6" x14ac:dyDescent="0.25">
      <c r="A22">
        <v>21</v>
      </c>
      <c r="B22" t="s">
        <v>409</v>
      </c>
      <c r="E22">
        <v>21</v>
      </c>
      <c r="F22" t="s">
        <v>118</v>
      </c>
    </row>
    <row r="23" spans="1:6" x14ac:dyDescent="0.25">
      <c r="A23">
        <v>22</v>
      </c>
      <c r="B23" t="s">
        <v>538</v>
      </c>
      <c r="E23">
        <v>22</v>
      </c>
      <c r="F23" t="s">
        <v>383</v>
      </c>
    </row>
    <row r="24" spans="1:6" x14ac:dyDescent="0.25">
      <c r="A24">
        <v>23</v>
      </c>
      <c r="B24" t="s">
        <v>114</v>
      </c>
      <c r="E24">
        <v>23</v>
      </c>
      <c r="F24" t="s">
        <v>60</v>
      </c>
    </row>
    <row r="25" spans="1:6" x14ac:dyDescent="0.25">
      <c r="A25">
        <v>24</v>
      </c>
      <c r="B25" t="s">
        <v>410</v>
      </c>
      <c r="E25">
        <v>24</v>
      </c>
      <c r="F25" t="s">
        <v>20</v>
      </c>
    </row>
    <row r="26" spans="1:6" x14ac:dyDescent="0.25">
      <c r="A26">
        <v>25</v>
      </c>
      <c r="B26" t="s">
        <v>18</v>
      </c>
      <c r="E26">
        <v>25</v>
      </c>
      <c r="F26" t="s">
        <v>540</v>
      </c>
    </row>
    <row r="27" spans="1:6" x14ac:dyDescent="0.25">
      <c r="A27">
        <v>26</v>
      </c>
      <c r="B27" t="s">
        <v>41</v>
      </c>
      <c r="E27">
        <v>26</v>
      </c>
      <c r="F27" t="s">
        <v>99</v>
      </c>
    </row>
    <row r="28" spans="1:6" x14ac:dyDescent="0.25">
      <c r="A28">
        <v>27</v>
      </c>
      <c r="B28" t="s">
        <v>506</v>
      </c>
      <c r="E28">
        <v>27</v>
      </c>
      <c r="F28" t="s">
        <v>156</v>
      </c>
    </row>
    <row r="29" spans="1:6" x14ac:dyDescent="0.25">
      <c r="A29">
        <v>28</v>
      </c>
      <c r="B29" t="s">
        <v>118</v>
      </c>
      <c r="E29">
        <v>28</v>
      </c>
      <c r="F29" t="s">
        <v>238</v>
      </c>
    </row>
    <row r="30" spans="1:6" x14ac:dyDescent="0.25">
      <c r="A30">
        <v>29</v>
      </c>
      <c r="B30" t="s">
        <v>592</v>
      </c>
      <c r="E30">
        <v>29</v>
      </c>
      <c r="F30" t="s">
        <v>22</v>
      </c>
    </row>
    <row r="31" spans="1:6" x14ac:dyDescent="0.25">
      <c r="A31">
        <v>30</v>
      </c>
      <c r="B31" t="s">
        <v>20</v>
      </c>
      <c r="E31">
        <v>30</v>
      </c>
      <c r="F31" t="s">
        <v>61</v>
      </c>
    </row>
    <row r="32" spans="1:6" x14ac:dyDescent="0.25">
      <c r="A32">
        <v>31</v>
      </c>
      <c r="B32" t="s">
        <v>43</v>
      </c>
      <c r="E32">
        <v>31</v>
      </c>
      <c r="F32" t="s">
        <v>46</v>
      </c>
    </row>
    <row r="33" spans="1:6" x14ac:dyDescent="0.25">
      <c r="A33">
        <v>32</v>
      </c>
      <c r="B33" t="s">
        <v>156</v>
      </c>
      <c r="E33">
        <v>32</v>
      </c>
      <c r="F33" t="s">
        <v>23</v>
      </c>
    </row>
    <row r="34" spans="1:6" x14ac:dyDescent="0.25">
      <c r="A34">
        <v>33</v>
      </c>
      <c r="B34" t="s">
        <v>384</v>
      </c>
      <c r="E34">
        <v>33</v>
      </c>
      <c r="F34" t="s">
        <v>49</v>
      </c>
    </row>
    <row r="35" spans="1:6" x14ac:dyDescent="0.25">
      <c r="A35">
        <v>34</v>
      </c>
      <c r="B35" t="s">
        <v>238</v>
      </c>
      <c r="E35">
        <v>34</v>
      </c>
      <c r="F35" t="s">
        <v>268</v>
      </c>
    </row>
    <row r="36" spans="1:6" x14ac:dyDescent="0.25">
      <c r="A36">
        <v>35</v>
      </c>
      <c r="B36" t="s">
        <v>22</v>
      </c>
      <c r="E36">
        <v>35</v>
      </c>
      <c r="F36" t="s">
        <v>546</v>
      </c>
    </row>
    <row r="37" spans="1:6" x14ac:dyDescent="0.25">
      <c r="A37">
        <v>36</v>
      </c>
      <c r="B37" t="s">
        <v>61</v>
      </c>
      <c r="E37">
        <v>36</v>
      </c>
      <c r="F37" t="s">
        <v>50</v>
      </c>
    </row>
    <row r="38" spans="1:6" x14ac:dyDescent="0.25">
      <c r="A38">
        <v>37</v>
      </c>
      <c r="B38" t="s">
        <v>46</v>
      </c>
      <c r="E38">
        <v>37</v>
      </c>
      <c r="F38" t="s">
        <v>570</v>
      </c>
    </row>
    <row r="39" spans="1:6" x14ac:dyDescent="0.25">
      <c r="A39">
        <v>38</v>
      </c>
      <c r="B39" t="s">
        <v>100</v>
      </c>
      <c r="E39">
        <v>38</v>
      </c>
      <c r="F39" t="s">
        <v>62</v>
      </c>
    </row>
    <row r="40" spans="1:6" x14ac:dyDescent="0.25">
      <c r="A40">
        <v>39</v>
      </c>
      <c r="B40" t="s">
        <v>23</v>
      </c>
      <c r="E40">
        <v>39</v>
      </c>
      <c r="F40" t="s">
        <v>82</v>
      </c>
    </row>
    <row r="41" spans="1:6" x14ac:dyDescent="0.25">
      <c r="A41">
        <v>40</v>
      </c>
      <c r="B41" t="s">
        <v>268</v>
      </c>
      <c r="E41">
        <v>40</v>
      </c>
      <c r="F41" t="s">
        <v>83</v>
      </c>
    </row>
    <row r="42" spans="1:6" x14ac:dyDescent="0.25">
      <c r="A42">
        <v>41</v>
      </c>
      <c r="B42" t="s">
        <v>243</v>
      </c>
      <c r="E42">
        <v>41</v>
      </c>
      <c r="F42" t="s">
        <v>549</v>
      </c>
    </row>
    <row r="43" spans="1:6" x14ac:dyDescent="0.25">
      <c r="A43">
        <v>42</v>
      </c>
      <c r="B43" t="s">
        <v>546</v>
      </c>
      <c r="E43">
        <v>42</v>
      </c>
      <c r="F43" t="s">
        <v>53</v>
      </c>
    </row>
    <row r="44" spans="1:6" x14ac:dyDescent="0.25">
      <c r="A44">
        <v>43</v>
      </c>
      <c r="B44" t="s">
        <v>193</v>
      </c>
      <c r="E44">
        <v>43</v>
      </c>
      <c r="F44" t="s">
        <v>262</v>
      </c>
    </row>
    <row r="45" spans="1:6" x14ac:dyDescent="0.25">
      <c r="A45">
        <v>44</v>
      </c>
      <c r="B45" t="s">
        <v>50</v>
      </c>
      <c r="E45">
        <v>44</v>
      </c>
      <c r="F45" t="s">
        <v>470</v>
      </c>
    </row>
    <row r="46" spans="1:6" x14ac:dyDescent="0.25">
      <c r="A46">
        <v>45</v>
      </c>
      <c r="B46" t="s">
        <v>570</v>
      </c>
      <c r="E46">
        <v>45</v>
      </c>
      <c r="F46" t="s">
        <v>397</v>
      </c>
    </row>
    <row r="47" spans="1:6" x14ac:dyDescent="0.25">
      <c r="A47">
        <v>46</v>
      </c>
      <c r="B47" t="s">
        <v>62</v>
      </c>
      <c r="E47">
        <v>46</v>
      </c>
      <c r="F47" t="s">
        <v>89</v>
      </c>
    </row>
    <row r="48" spans="1:6" x14ac:dyDescent="0.25">
      <c r="A48">
        <v>47</v>
      </c>
      <c r="B48" t="s">
        <v>516</v>
      </c>
      <c r="E48">
        <v>47</v>
      </c>
      <c r="F48" t="s">
        <v>138</v>
      </c>
    </row>
    <row r="49" spans="1:6" x14ac:dyDescent="0.25">
      <c r="A49">
        <v>48</v>
      </c>
      <c r="B49" t="s">
        <v>51</v>
      </c>
      <c r="E49">
        <v>48</v>
      </c>
      <c r="F49" t="s">
        <v>348</v>
      </c>
    </row>
    <row r="50" spans="1:6" x14ac:dyDescent="0.25">
      <c r="A50">
        <v>49</v>
      </c>
      <c r="B50" t="s">
        <v>83</v>
      </c>
    </row>
    <row r="51" spans="1:6" x14ac:dyDescent="0.25">
      <c r="A51">
        <v>50</v>
      </c>
      <c r="B51" t="s">
        <v>706</v>
      </c>
    </row>
    <row r="52" spans="1:6" x14ac:dyDescent="0.25">
      <c r="A52">
        <v>51</v>
      </c>
      <c r="B52" t="s">
        <v>85</v>
      </c>
    </row>
    <row r="53" spans="1:6" x14ac:dyDescent="0.25">
      <c r="A53">
        <v>52</v>
      </c>
      <c r="B53" t="s">
        <v>53</v>
      </c>
    </row>
    <row r="54" spans="1:6" x14ac:dyDescent="0.25">
      <c r="A54">
        <v>53</v>
      </c>
      <c r="B54" t="s">
        <v>262</v>
      </c>
    </row>
    <row r="55" spans="1:6" x14ac:dyDescent="0.25">
      <c r="A55">
        <v>54</v>
      </c>
      <c r="B55" t="s">
        <v>54</v>
      </c>
    </row>
    <row r="56" spans="1:6" x14ac:dyDescent="0.25">
      <c r="A56">
        <v>55</v>
      </c>
      <c r="B56" t="s">
        <v>470</v>
      </c>
    </row>
    <row r="57" spans="1:6" x14ac:dyDescent="0.25">
      <c r="A57">
        <v>56</v>
      </c>
      <c r="B57" t="s">
        <v>397</v>
      </c>
    </row>
    <row r="58" spans="1:6" x14ac:dyDescent="0.25">
      <c r="A58">
        <v>57</v>
      </c>
      <c r="B58" t="s">
        <v>89</v>
      </c>
    </row>
    <row r="59" spans="1:6" x14ac:dyDescent="0.25">
      <c r="A59">
        <v>58</v>
      </c>
      <c r="B59" t="s">
        <v>348</v>
      </c>
    </row>
    <row r="60" spans="1:6" x14ac:dyDescent="0.25">
      <c r="A60">
        <v>59</v>
      </c>
      <c r="B60" t="s">
        <v>321</v>
      </c>
    </row>
    <row r="61" spans="1:6" x14ac:dyDescent="0.25">
      <c r="A61">
        <v>60</v>
      </c>
      <c r="B61" t="s">
        <v>55</v>
      </c>
    </row>
    <row r="63" spans="1:6" x14ac:dyDescent="0.25">
      <c r="B63" t="s">
        <v>773</v>
      </c>
      <c r="E63" t="s">
        <v>774</v>
      </c>
    </row>
    <row r="64" spans="1:6" x14ac:dyDescent="0.25">
      <c r="A64">
        <v>1</v>
      </c>
      <c r="B64" t="s">
        <v>29</v>
      </c>
      <c r="C64">
        <f>COUNTA(B64:B116)</f>
        <v>53</v>
      </c>
      <c r="E64" t="s">
        <v>5</v>
      </c>
      <c r="F64">
        <f>COUNTA(E64:E97)</f>
        <v>34</v>
      </c>
    </row>
    <row r="65" spans="1:5" x14ac:dyDescent="0.25">
      <c r="A65">
        <v>2</v>
      </c>
      <c r="B65" t="s">
        <v>5</v>
      </c>
      <c r="E65" t="s">
        <v>9</v>
      </c>
    </row>
    <row r="66" spans="1:5" x14ac:dyDescent="0.25">
      <c r="A66">
        <v>3</v>
      </c>
      <c r="B66" t="s">
        <v>9</v>
      </c>
      <c r="E66" t="s">
        <v>11</v>
      </c>
    </row>
    <row r="67" spans="1:5" x14ac:dyDescent="0.25">
      <c r="A67">
        <v>4</v>
      </c>
      <c r="B67" t="s">
        <v>11</v>
      </c>
      <c r="E67" t="s">
        <v>15</v>
      </c>
    </row>
    <row r="68" spans="1:5" x14ac:dyDescent="0.25">
      <c r="A68">
        <v>5</v>
      </c>
      <c r="B68" t="s">
        <v>296</v>
      </c>
      <c r="E68" t="s">
        <v>70</v>
      </c>
    </row>
    <row r="69" spans="1:5" x14ac:dyDescent="0.25">
      <c r="A69">
        <v>6</v>
      </c>
      <c r="B69" t="s">
        <v>35</v>
      </c>
      <c r="E69" t="s">
        <v>59</v>
      </c>
    </row>
    <row r="70" spans="1:5" x14ac:dyDescent="0.25">
      <c r="A70">
        <v>7</v>
      </c>
      <c r="B70" t="s">
        <v>15</v>
      </c>
      <c r="E70" t="s">
        <v>97</v>
      </c>
    </row>
    <row r="71" spans="1:5" x14ac:dyDescent="0.25">
      <c r="A71">
        <v>8</v>
      </c>
      <c r="B71" t="s">
        <v>70</v>
      </c>
      <c r="E71" t="s">
        <v>181</v>
      </c>
    </row>
    <row r="72" spans="1:5" x14ac:dyDescent="0.25">
      <c r="A72">
        <v>9</v>
      </c>
      <c r="B72" t="s">
        <v>59</v>
      </c>
      <c r="E72" t="s">
        <v>36</v>
      </c>
    </row>
    <row r="73" spans="1:5" x14ac:dyDescent="0.25">
      <c r="A73">
        <v>10</v>
      </c>
      <c r="B73" t="s">
        <v>380</v>
      </c>
      <c r="E73" t="s">
        <v>222</v>
      </c>
    </row>
    <row r="74" spans="1:5" x14ac:dyDescent="0.25">
      <c r="A74">
        <v>11</v>
      </c>
      <c r="B74" t="s">
        <v>407</v>
      </c>
      <c r="E74" t="s">
        <v>16</v>
      </c>
    </row>
    <row r="75" spans="1:5" x14ac:dyDescent="0.25">
      <c r="A75">
        <v>12</v>
      </c>
      <c r="B75" t="s">
        <v>181</v>
      </c>
      <c r="E75" t="s">
        <v>184</v>
      </c>
    </row>
    <row r="76" spans="1:5" x14ac:dyDescent="0.25">
      <c r="A76">
        <v>13</v>
      </c>
      <c r="B76" t="s">
        <v>36</v>
      </c>
      <c r="E76" t="s">
        <v>186</v>
      </c>
    </row>
    <row r="77" spans="1:5" x14ac:dyDescent="0.25">
      <c r="A77">
        <v>14</v>
      </c>
      <c r="B77" t="s">
        <v>208</v>
      </c>
      <c r="E77" t="s">
        <v>335</v>
      </c>
    </row>
    <row r="78" spans="1:5" x14ac:dyDescent="0.25">
      <c r="A78">
        <v>15</v>
      </c>
      <c r="B78" t="s">
        <v>37</v>
      </c>
      <c r="E78" t="s">
        <v>18</v>
      </c>
    </row>
    <row r="79" spans="1:5" x14ac:dyDescent="0.25">
      <c r="A79">
        <v>16</v>
      </c>
      <c r="B79" t="s">
        <v>16</v>
      </c>
      <c r="E79" t="s">
        <v>41</v>
      </c>
    </row>
    <row r="80" spans="1:5" x14ac:dyDescent="0.25">
      <c r="A80">
        <v>17</v>
      </c>
      <c r="B80" t="s">
        <v>186</v>
      </c>
      <c r="E80" t="s">
        <v>60</v>
      </c>
    </row>
    <row r="81" spans="1:5" x14ac:dyDescent="0.25">
      <c r="A81">
        <v>18</v>
      </c>
      <c r="B81" t="s">
        <v>409</v>
      </c>
      <c r="E81" t="s">
        <v>20</v>
      </c>
    </row>
    <row r="82" spans="1:5" x14ac:dyDescent="0.25">
      <c r="A82">
        <v>19</v>
      </c>
      <c r="B82" t="s">
        <v>114</v>
      </c>
      <c r="E82" t="s">
        <v>44</v>
      </c>
    </row>
    <row r="83" spans="1:5" x14ac:dyDescent="0.25">
      <c r="A83">
        <v>20</v>
      </c>
      <c r="B83" t="s">
        <v>410</v>
      </c>
      <c r="E83" t="s">
        <v>22</v>
      </c>
    </row>
    <row r="84" spans="1:5" x14ac:dyDescent="0.25">
      <c r="A84">
        <v>21</v>
      </c>
      <c r="B84" t="s">
        <v>335</v>
      </c>
      <c r="E84" t="s">
        <v>46</v>
      </c>
    </row>
    <row r="85" spans="1:5" x14ac:dyDescent="0.25">
      <c r="A85">
        <v>22</v>
      </c>
      <c r="B85" t="s">
        <v>18</v>
      </c>
      <c r="E85" t="s">
        <v>23</v>
      </c>
    </row>
    <row r="86" spans="1:5" x14ac:dyDescent="0.25">
      <c r="A86">
        <v>23</v>
      </c>
      <c r="B86" t="s">
        <v>41</v>
      </c>
      <c r="E86" t="s">
        <v>78</v>
      </c>
    </row>
    <row r="87" spans="1:5" x14ac:dyDescent="0.25">
      <c r="A87">
        <v>24</v>
      </c>
      <c r="B87" t="s">
        <v>267</v>
      </c>
      <c r="E87" t="s">
        <v>25</v>
      </c>
    </row>
    <row r="88" spans="1:5" x14ac:dyDescent="0.25">
      <c r="A88">
        <v>25</v>
      </c>
      <c r="B88" t="s">
        <v>118</v>
      </c>
      <c r="E88" t="s">
        <v>62</v>
      </c>
    </row>
    <row r="89" spans="1:5" x14ac:dyDescent="0.25">
      <c r="A89">
        <v>26</v>
      </c>
      <c r="B89" t="s">
        <v>383</v>
      </c>
      <c r="E89" t="s">
        <v>82</v>
      </c>
    </row>
    <row r="90" spans="1:5" x14ac:dyDescent="0.25">
      <c r="A90">
        <v>27</v>
      </c>
      <c r="B90" t="s">
        <v>20</v>
      </c>
      <c r="E90" t="s">
        <v>83</v>
      </c>
    </row>
    <row r="91" spans="1:5" x14ac:dyDescent="0.25">
      <c r="A91">
        <v>28</v>
      </c>
      <c r="B91" t="s">
        <v>43</v>
      </c>
      <c r="E91" t="s">
        <v>261</v>
      </c>
    </row>
    <row r="92" spans="1:5" x14ac:dyDescent="0.25">
      <c r="A92">
        <v>29</v>
      </c>
      <c r="B92" t="s">
        <v>44</v>
      </c>
      <c r="E92" t="s">
        <v>85</v>
      </c>
    </row>
    <row r="93" spans="1:5" x14ac:dyDescent="0.25">
      <c r="A93">
        <v>30</v>
      </c>
      <c r="B93" t="s">
        <v>99</v>
      </c>
      <c r="E93" t="s">
        <v>101</v>
      </c>
    </row>
    <row r="94" spans="1:5" x14ac:dyDescent="0.25">
      <c r="A94">
        <v>31</v>
      </c>
      <c r="B94" t="s">
        <v>156</v>
      </c>
      <c r="E94" t="s">
        <v>53</v>
      </c>
    </row>
    <row r="95" spans="1:5" x14ac:dyDescent="0.25">
      <c r="A95">
        <v>32</v>
      </c>
      <c r="B95" t="s">
        <v>238</v>
      </c>
      <c r="E95" t="s">
        <v>348</v>
      </c>
    </row>
    <row r="96" spans="1:5" x14ac:dyDescent="0.25">
      <c r="A96">
        <v>33</v>
      </c>
      <c r="B96" t="s">
        <v>22</v>
      </c>
      <c r="E96" t="s">
        <v>321</v>
      </c>
    </row>
    <row r="97" spans="1:5" x14ac:dyDescent="0.25">
      <c r="A97">
        <v>34</v>
      </c>
      <c r="B97" t="s">
        <v>61</v>
      </c>
      <c r="E97" t="s">
        <v>27</v>
      </c>
    </row>
    <row r="98" spans="1:5" x14ac:dyDescent="0.25">
      <c r="A98">
        <v>35</v>
      </c>
      <c r="B98" t="s">
        <v>412</v>
      </c>
    </row>
    <row r="99" spans="1:5" x14ac:dyDescent="0.25">
      <c r="A99">
        <v>36</v>
      </c>
      <c r="B99" t="s">
        <v>100</v>
      </c>
    </row>
    <row r="100" spans="1:5" x14ac:dyDescent="0.25">
      <c r="A100">
        <v>37</v>
      </c>
      <c r="B100" t="s">
        <v>23</v>
      </c>
    </row>
    <row r="101" spans="1:5" x14ac:dyDescent="0.25">
      <c r="A101">
        <v>38</v>
      </c>
      <c r="B101" t="s">
        <v>49</v>
      </c>
    </row>
    <row r="102" spans="1:5" x14ac:dyDescent="0.25">
      <c r="A102">
        <v>39</v>
      </c>
      <c r="B102" t="s">
        <v>25</v>
      </c>
    </row>
    <row r="103" spans="1:5" x14ac:dyDescent="0.25">
      <c r="A103">
        <v>40</v>
      </c>
      <c r="B103" t="s">
        <v>193</v>
      </c>
    </row>
    <row r="104" spans="1:5" x14ac:dyDescent="0.25">
      <c r="A104">
        <v>41</v>
      </c>
      <c r="B104" t="s">
        <v>213</v>
      </c>
    </row>
    <row r="105" spans="1:5" x14ac:dyDescent="0.25">
      <c r="A105">
        <v>42</v>
      </c>
      <c r="B105" t="s">
        <v>50</v>
      </c>
    </row>
    <row r="106" spans="1:5" x14ac:dyDescent="0.25">
      <c r="A106">
        <v>43</v>
      </c>
      <c r="B106" t="s">
        <v>62</v>
      </c>
    </row>
    <row r="107" spans="1:5" x14ac:dyDescent="0.25">
      <c r="A107">
        <v>44</v>
      </c>
      <c r="B107" t="s">
        <v>51</v>
      </c>
    </row>
    <row r="108" spans="1:5" x14ac:dyDescent="0.25">
      <c r="A108">
        <v>45</v>
      </c>
      <c r="B108" t="s">
        <v>83</v>
      </c>
    </row>
    <row r="109" spans="1:5" x14ac:dyDescent="0.25">
      <c r="A109">
        <v>46</v>
      </c>
      <c r="B109" t="s">
        <v>261</v>
      </c>
    </row>
    <row r="110" spans="1:5" x14ac:dyDescent="0.25">
      <c r="A110">
        <v>47</v>
      </c>
      <c r="B110" t="s">
        <v>85</v>
      </c>
    </row>
    <row r="111" spans="1:5" x14ac:dyDescent="0.25">
      <c r="A111">
        <v>48</v>
      </c>
      <c r="B111" t="s">
        <v>53</v>
      </c>
    </row>
    <row r="112" spans="1:5" x14ac:dyDescent="0.25">
      <c r="A112">
        <v>49</v>
      </c>
      <c r="B112" t="s">
        <v>262</v>
      </c>
    </row>
    <row r="113" spans="1:2" x14ac:dyDescent="0.25">
      <c r="A113">
        <v>50</v>
      </c>
      <c r="B113" t="s">
        <v>89</v>
      </c>
    </row>
    <row r="114" spans="1:2" x14ac:dyDescent="0.25">
      <c r="A114">
        <v>51</v>
      </c>
      <c r="B114" t="s">
        <v>348</v>
      </c>
    </row>
    <row r="115" spans="1:2" x14ac:dyDescent="0.25">
      <c r="A115">
        <v>52</v>
      </c>
      <c r="B115" t="s">
        <v>321</v>
      </c>
    </row>
    <row r="116" spans="1:2" x14ac:dyDescent="0.25">
      <c r="A116">
        <v>53</v>
      </c>
      <c r="B116" t="s">
        <v>27</v>
      </c>
    </row>
    <row r="118" spans="1:2" x14ac:dyDescent="0.25">
      <c r="A118">
        <v>1</v>
      </c>
      <c r="B118" t="s">
        <v>5</v>
      </c>
    </row>
    <row r="119" spans="1:2" x14ac:dyDescent="0.25">
      <c r="A119">
        <v>2</v>
      </c>
      <c r="B119" t="s">
        <v>9</v>
      </c>
    </row>
    <row r="120" spans="1:2" x14ac:dyDescent="0.25">
      <c r="A120">
        <v>3</v>
      </c>
      <c r="B120" t="s">
        <v>11</v>
      </c>
    </row>
    <row r="121" spans="1:2" x14ac:dyDescent="0.25">
      <c r="A121">
        <v>4</v>
      </c>
      <c r="B121" t="s">
        <v>15</v>
      </c>
    </row>
    <row r="122" spans="1:2" x14ac:dyDescent="0.25">
      <c r="A122">
        <v>5</v>
      </c>
      <c r="B122" t="s">
        <v>70</v>
      </c>
    </row>
    <row r="123" spans="1:2" x14ac:dyDescent="0.25">
      <c r="A123">
        <v>6</v>
      </c>
      <c r="B123" t="s">
        <v>59</v>
      </c>
    </row>
    <row r="124" spans="1:2" x14ac:dyDescent="0.25">
      <c r="A124">
        <v>7</v>
      </c>
      <c r="B124" t="s">
        <v>97</v>
      </c>
    </row>
    <row r="125" spans="1:2" x14ac:dyDescent="0.25">
      <c r="A125">
        <v>8</v>
      </c>
      <c r="B125" t="s">
        <v>181</v>
      </c>
    </row>
    <row r="126" spans="1:2" x14ac:dyDescent="0.25">
      <c r="A126">
        <v>9</v>
      </c>
      <c r="B126" t="s">
        <v>36</v>
      </c>
    </row>
    <row r="127" spans="1:2" x14ac:dyDescent="0.25">
      <c r="A127">
        <v>10</v>
      </c>
      <c r="B127" t="s">
        <v>222</v>
      </c>
    </row>
    <row r="128" spans="1:2" x14ac:dyDescent="0.25">
      <c r="A128">
        <v>11</v>
      </c>
      <c r="B128" t="s">
        <v>16</v>
      </c>
    </row>
    <row r="129" spans="1:2" x14ac:dyDescent="0.25">
      <c r="A129">
        <v>12</v>
      </c>
      <c r="B129" t="s">
        <v>184</v>
      </c>
    </row>
    <row r="130" spans="1:2" x14ac:dyDescent="0.25">
      <c r="A130">
        <v>13</v>
      </c>
      <c r="B130" t="s">
        <v>186</v>
      </c>
    </row>
    <row r="131" spans="1:2" x14ac:dyDescent="0.25">
      <c r="A131">
        <v>14</v>
      </c>
      <c r="B131" t="s">
        <v>335</v>
      </c>
    </row>
    <row r="132" spans="1:2" x14ac:dyDescent="0.25">
      <c r="A132">
        <v>15</v>
      </c>
      <c r="B132" t="s">
        <v>18</v>
      </c>
    </row>
    <row r="133" spans="1:2" x14ac:dyDescent="0.25">
      <c r="A133">
        <v>16</v>
      </c>
      <c r="B133" t="s">
        <v>41</v>
      </c>
    </row>
    <row r="134" spans="1:2" x14ac:dyDescent="0.25">
      <c r="A134">
        <v>17</v>
      </c>
      <c r="B134" t="s">
        <v>60</v>
      </c>
    </row>
    <row r="135" spans="1:2" x14ac:dyDescent="0.25">
      <c r="A135">
        <v>18</v>
      </c>
      <c r="B135" t="s">
        <v>20</v>
      </c>
    </row>
    <row r="136" spans="1:2" x14ac:dyDescent="0.25">
      <c r="A136">
        <v>19</v>
      </c>
      <c r="B136" t="s">
        <v>44</v>
      </c>
    </row>
    <row r="137" spans="1:2" x14ac:dyDescent="0.25">
      <c r="A137">
        <v>20</v>
      </c>
      <c r="B137" t="s">
        <v>22</v>
      </c>
    </row>
    <row r="138" spans="1:2" x14ac:dyDescent="0.25">
      <c r="A138">
        <v>21</v>
      </c>
      <c r="B138" t="s">
        <v>46</v>
      </c>
    </row>
    <row r="139" spans="1:2" x14ac:dyDescent="0.25">
      <c r="A139">
        <v>22</v>
      </c>
      <c r="B139" t="s">
        <v>23</v>
      </c>
    </row>
    <row r="140" spans="1:2" x14ac:dyDescent="0.25">
      <c r="A140">
        <v>23</v>
      </c>
      <c r="B140" t="s">
        <v>78</v>
      </c>
    </row>
    <row r="141" spans="1:2" x14ac:dyDescent="0.25">
      <c r="A141">
        <v>24</v>
      </c>
      <c r="B141" t="s">
        <v>25</v>
      </c>
    </row>
    <row r="142" spans="1:2" x14ac:dyDescent="0.25">
      <c r="A142">
        <v>25</v>
      </c>
      <c r="B142" t="s">
        <v>62</v>
      </c>
    </row>
    <row r="143" spans="1:2" x14ac:dyDescent="0.25">
      <c r="A143">
        <v>26</v>
      </c>
      <c r="B143" t="s">
        <v>82</v>
      </c>
    </row>
    <row r="144" spans="1:2" x14ac:dyDescent="0.25">
      <c r="A144">
        <v>27</v>
      </c>
      <c r="B144" t="s">
        <v>83</v>
      </c>
    </row>
    <row r="145" spans="1:6" x14ac:dyDescent="0.25">
      <c r="A145">
        <v>28</v>
      </c>
      <c r="B145" t="s">
        <v>261</v>
      </c>
    </row>
    <row r="146" spans="1:6" x14ac:dyDescent="0.25">
      <c r="A146">
        <v>29</v>
      </c>
      <c r="B146" t="s">
        <v>85</v>
      </c>
    </row>
    <row r="147" spans="1:6" x14ac:dyDescent="0.25">
      <c r="A147">
        <v>30</v>
      </c>
      <c r="B147" t="s">
        <v>101</v>
      </c>
    </row>
    <row r="148" spans="1:6" x14ac:dyDescent="0.25">
      <c r="A148">
        <v>31</v>
      </c>
      <c r="B148" t="s">
        <v>53</v>
      </c>
    </row>
    <row r="149" spans="1:6" x14ac:dyDescent="0.25">
      <c r="A149">
        <v>32</v>
      </c>
      <c r="B149" t="s">
        <v>348</v>
      </c>
    </row>
    <row r="150" spans="1:6" x14ac:dyDescent="0.25">
      <c r="A150">
        <v>33</v>
      </c>
      <c r="B150" t="s">
        <v>321</v>
      </c>
    </row>
    <row r="151" spans="1:6" x14ac:dyDescent="0.25">
      <c r="A151">
        <v>34</v>
      </c>
      <c r="B151" t="s">
        <v>27</v>
      </c>
    </row>
    <row r="154" spans="1:6" x14ac:dyDescent="0.25">
      <c r="B154" t="s">
        <v>776</v>
      </c>
      <c r="E154" t="s">
        <v>777</v>
      </c>
    </row>
    <row r="155" spans="1:6" x14ac:dyDescent="0.25">
      <c r="B155" s="5" t="s">
        <v>5</v>
      </c>
      <c r="C155">
        <f>COUNTA(B155:B166)</f>
        <v>12</v>
      </c>
      <c r="E155" s="5" t="s">
        <v>5</v>
      </c>
      <c r="F155">
        <f>COUNTA(E155:E190)</f>
        <v>36</v>
      </c>
    </row>
    <row r="156" spans="1:6" x14ac:dyDescent="0.25">
      <c r="B156" s="6" t="s">
        <v>9</v>
      </c>
      <c r="E156" s="6" t="s">
        <v>9</v>
      </c>
    </row>
    <row r="157" spans="1:6" x14ac:dyDescent="0.25">
      <c r="B157" s="5" t="s">
        <v>11</v>
      </c>
      <c r="E157" s="5" t="s">
        <v>11</v>
      </c>
    </row>
    <row r="158" spans="1:6" x14ac:dyDescent="0.25">
      <c r="B158" s="6" t="s">
        <v>13</v>
      </c>
      <c r="E158" s="6" t="s">
        <v>13</v>
      </c>
    </row>
    <row r="159" spans="1:6" x14ac:dyDescent="0.25">
      <c r="B159" s="5" t="s">
        <v>15</v>
      </c>
      <c r="E159" s="5" t="s">
        <v>15</v>
      </c>
    </row>
    <row r="160" spans="1:6" x14ac:dyDescent="0.25">
      <c r="B160" s="6" t="s">
        <v>16</v>
      </c>
      <c r="E160" s="6" t="s">
        <v>70</v>
      </c>
    </row>
    <row r="161" spans="2:5" x14ac:dyDescent="0.25">
      <c r="B161" s="5" t="s">
        <v>18</v>
      </c>
      <c r="E161" s="5" t="s">
        <v>59</v>
      </c>
    </row>
    <row r="162" spans="2:5" x14ac:dyDescent="0.25">
      <c r="B162" s="6" t="s">
        <v>20</v>
      </c>
      <c r="E162" s="6" t="s">
        <v>97</v>
      </c>
    </row>
    <row r="163" spans="2:5" x14ac:dyDescent="0.25">
      <c r="B163" s="5" t="s">
        <v>22</v>
      </c>
      <c r="E163" s="5" t="s">
        <v>112</v>
      </c>
    </row>
    <row r="164" spans="2:5" x14ac:dyDescent="0.25">
      <c r="B164" s="6" t="s">
        <v>23</v>
      </c>
      <c r="E164" s="6" t="s">
        <v>37</v>
      </c>
    </row>
    <row r="165" spans="2:5" x14ac:dyDescent="0.25">
      <c r="B165" s="5" t="s">
        <v>25</v>
      </c>
      <c r="E165" s="5" t="s">
        <v>16</v>
      </c>
    </row>
    <row r="166" spans="2:5" x14ac:dyDescent="0.25">
      <c r="B166" s="6" t="s">
        <v>27</v>
      </c>
      <c r="E166" s="6" t="s">
        <v>114</v>
      </c>
    </row>
    <row r="167" spans="2:5" x14ac:dyDescent="0.25">
      <c r="E167" s="5" t="s">
        <v>18</v>
      </c>
    </row>
    <row r="168" spans="2:5" x14ac:dyDescent="0.25">
      <c r="E168" s="6" t="s">
        <v>41</v>
      </c>
    </row>
    <row r="169" spans="2:5" x14ac:dyDescent="0.25">
      <c r="E169" s="5" t="s">
        <v>118</v>
      </c>
    </row>
    <row r="170" spans="2:5" x14ac:dyDescent="0.25">
      <c r="E170" s="6" t="s">
        <v>60</v>
      </c>
    </row>
    <row r="171" spans="2:5" x14ac:dyDescent="0.25">
      <c r="E171" s="5" t="s">
        <v>20</v>
      </c>
    </row>
    <row r="172" spans="2:5" x14ac:dyDescent="0.25">
      <c r="E172" s="6" t="s">
        <v>43</v>
      </c>
    </row>
    <row r="173" spans="2:5" x14ac:dyDescent="0.25">
      <c r="E173" s="5" t="s">
        <v>122</v>
      </c>
    </row>
    <row r="174" spans="2:5" x14ac:dyDescent="0.25">
      <c r="E174" s="6" t="s">
        <v>44</v>
      </c>
    </row>
    <row r="175" spans="2:5" x14ac:dyDescent="0.25">
      <c r="E175" s="5" t="s">
        <v>22</v>
      </c>
    </row>
    <row r="176" spans="2:5" x14ac:dyDescent="0.25">
      <c r="E176" s="6" t="s">
        <v>61</v>
      </c>
    </row>
    <row r="177" spans="5:5" x14ac:dyDescent="0.25">
      <c r="E177" s="5" t="s">
        <v>46</v>
      </c>
    </row>
    <row r="178" spans="5:5" x14ac:dyDescent="0.25">
      <c r="E178" s="6" t="s">
        <v>23</v>
      </c>
    </row>
    <row r="179" spans="5:5" x14ac:dyDescent="0.25">
      <c r="E179" s="5" t="s">
        <v>78</v>
      </c>
    </row>
    <row r="180" spans="5:5" x14ac:dyDescent="0.25">
      <c r="E180" s="6" t="s">
        <v>129</v>
      </c>
    </row>
    <row r="181" spans="5:5" x14ac:dyDescent="0.25">
      <c r="E181" s="5" t="s">
        <v>25</v>
      </c>
    </row>
    <row r="182" spans="5:5" x14ac:dyDescent="0.25">
      <c r="E182" s="6" t="s">
        <v>50</v>
      </c>
    </row>
    <row r="183" spans="5:5" x14ac:dyDescent="0.25">
      <c r="E183" s="5" t="s">
        <v>51</v>
      </c>
    </row>
    <row r="184" spans="5:5" x14ac:dyDescent="0.25">
      <c r="E184" s="6" t="s">
        <v>83</v>
      </c>
    </row>
    <row r="185" spans="5:5" x14ac:dyDescent="0.25">
      <c r="E185" s="5" t="s">
        <v>85</v>
      </c>
    </row>
    <row r="186" spans="5:5" x14ac:dyDescent="0.25">
      <c r="E186" s="6" t="s">
        <v>134</v>
      </c>
    </row>
    <row r="187" spans="5:5" x14ac:dyDescent="0.25">
      <c r="E187" s="5" t="s">
        <v>53</v>
      </c>
    </row>
    <row r="188" spans="5:5" x14ac:dyDescent="0.25">
      <c r="E188" s="6" t="s">
        <v>89</v>
      </c>
    </row>
    <row r="189" spans="5:5" x14ac:dyDescent="0.25">
      <c r="E189" s="5" t="s">
        <v>138</v>
      </c>
    </row>
    <row r="190" spans="5:5" x14ac:dyDescent="0.25">
      <c r="E190" s="6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7" workbookViewId="0">
      <selection activeCell="K5" sqref="K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4"/>
  <sheetViews>
    <sheetView topLeftCell="A34" workbookViewId="0">
      <selection activeCell="G2" sqref="G2"/>
    </sheetView>
  </sheetViews>
  <sheetFormatPr defaultRowHeight="15" x14ac:dyDescent="0.25"/>
  <cols>
    <col min="1" max="1" width="15.140625" customWidth="1"/>
    <col min="2" max="2" width="17.28515625" customWidth="1"/>
    <col min="3" max="3" width="13.7109375" customWidth="1"/>
    <col min="5" max="5" width="22.140625" customWidth="1"/>
    <col min="6" max="6" width="16.85546875" customWidth="1"/>
    <col min="7" max="7" width="15" customWidth="1"/>
  </cols>
  <sheetData>
    <row r="1" spans="1:9" x14ac:dyDescent="0.25">
      <c r="A1" t="s">
        <v>736</v>
      </c>
      <c r="B1" t="s">
        <v>745</v>
      </c>
      <c r="C1" t="s">
        <v>743</v>
      </c>
      <c r="E1" s="1" t="s">
        <v>736</v>
      </c>
      <c r="F1" s="1" t="s">
        <v>815</v>
      </c>
      <c r="G1" t="s">
        <v>816</v>
      </c>
      <c r="H1" t="s">
        <v>748</v>
      </c>
    </row>
    <row r="2" spans="1:9" x14ac:dyDescent="0.25">
      <c r="A2" s="5" t="s">
        <v>5</v>
      </c>
      <c r="B2" s="5">
        <v>0</v>
      </c>
      <c r="C2" s="12">
        <v>1</v>
      </c>
      <c r="E2" s="2" t="s">
        <v>29</v>
      </c>
      <c r="F2">
        <v>2</v>
      </c>
      <c r="G2">
        <v>2</v>
      </c>
      <c r="H2">
        <f>IF(AND(F2&gt;=6,G2&lt;=2),1,0)</f>
        <v>0</v>
      </c>
      <c r="I2">
        <f>SUM(H2:H110)</f>
        <v>10</v>
      </c>
    </row>
    <row r="3" spans="1:9" x14ac:dyDescent="0.25">
      <c r="A3" s="6" t="s">
        <v>9</v>
      </c>
      <c r="B3" s="6">
        <v>0</v>
      </c>
      <c r="C3" s="13">
        <v>1</v>
      </c>
      <c r="E3" s="2" t="s">
        <v>5</v>
      </c>
      <c r="F3">
        <v>1</v>
      </c>
      <c r="G3">
        <v>6</v>
      </c>
      <c r="H3">
        <f t="shared" ref="H3:H66" si="0">IF(AND(F3&gt;=6,G3&lt;=2),1,0)</f>
        <v>0</v>
      </c>
    </row>
    <row r="4" spans="1:9" x14ac:dyDescent="0.25">
      <c r="A4" s="5" t="s">
        <v>11</v>
      </c>
      <c r="B4" s="5">
        <v>0</v>
      </c>
      <c r="C4" s="12">
        <v>1</v>
      </c>
      <c r="E4" s="2" t="s">
        <v>9</v>
      </c>
      <c r="F4">
        <v>3</v>
      </c>
      <c r="G4">
        <v>5</v>
      </c>
      <c r="H4">
        <f t="shared" si="0"/>
        <v>0</v>
      </c>
    </row>
    <row r="5" spans="1:9" x14ac:dyDescent="0.25">
      <c r="A5" s="6" t="s">
        <v>13</v>
      </c>
      <c r="B5" s="6">
        <v>0</v>
      </c>
      <c r="C5" s="13">
        <v>1</v>
      </c>
      <c r="E5" s="2" t="s">
        <v>11</v>
      </c>
      <c r="F5">
        <v>6</v>
      </c>
      <c r="G5">
        <v>7</v>
      </c>
      <c r="H5">
        <f t="shared" si="0"/>
        <v>0</v>
      </c>
    </row>
    <row r="6" spans="1:9" x14ac:dyDescent="0.25">
      <c r="A6" s="5" t="s">
        <v>15</v>
      </c>
      <c r="B6" s="5">
        <v>0</v>
      </c>
      <c r="C6" s="12">
        <v>1</v>
      </c>
      <c r="E6" s="2" t="s">
        <v>296</v>
      </c>
      <c r="F6">
        <v>6</v>
      </c>
      <c r="G6">
        <v>0</v>
      </c>
      <c r="H6">
        <f t="shared" si="0"/>
        <v>1</v>
      </c>
    </row>
    <row r="7" spans="1:9" x14ac:dyDescent="0.25">
      <c r="A7" s="6" t="s">
        <v>16</v>
      </c>
      <c r="B7" s="6">
        <v>0</v>
      </c>
      <c r="C7" s="13">
        <v>1</v>
      </c>
      <c r="E7" s="2" t="s">
        <v>13</v>
      </c>
      <c r="F7">
        <v>1</v>
      </c>
      <c r="G7">
        <v>4</v>
      </c>
      <c r="H7">
        <f t="shared" si="0"/>
        <v>0</v>
      </c>
    </row>
    <row r="8" spans="1:9" x14ac:dyDescent="0.25">
      <c r="A8" s="5" t="s">
        <v>18</v>
      </c>
      <c r="B8" s="5">
        <v>0</v>
      </c>
      <c r="C8" s="12">
        <v>1</v>
      </c>
      <c r="E8" s="2" t="s">
        <v>35</v>
      </c>
      <c r="F8">
        <v>6</v>
      </c>
      <c r="G8">
        <v>4</v>
      </c>
      <c r="H8">
        <f t="shared" si="0"/>
        <v>0</v>
      </c>
    </row>
    <row r="9" spans="1:9" x14ac:dyDescent="0.25">
      <c r="A9" s="6" t="s">
        <v>20</v>
      </c>
      <c r="B9" s="6">
        <v>0</v>
      </c>
      <c r="C9" s="13">
        <v>1</v>
      </c>
      <c r="E9" s="2" t="s">
        <v>636</v>
      </c>
      <c r="F9">
        <v>4</v>
      </c>
      <c r="G9">
        <v>0</v>
      </c>
      <c r="H9">
        <f t="shared" si="0"/>
        <v>0</v>
      </c>
    </row>
    <row r="10" spans="1:9" x14ac:dyDescent="0.25">
      <c r="A10" s="5" t="s">
        <v>22</v>
      </c>
      <c r="B10" s="5">
        <v>0</v>
      </c>
      <c r="C10" s="12">
        <v>1</v>
      </c>
      <c r="E10" s="2" t="s">
        <v>585</v>
      </c>
      <c r="F10">
        <v>4</v>
      </c>
      <c r="G10">
        <v>0</v>
      </c>
      <c r="H10">
        <f t="shared" si="0"/>
        <v>0</v>
      </c>
    </row>
    <row r="11" spans="1:9" x14ac:dyDescent="0.25">
      <c r="A11" s="6" t="s">
        <v>23</v>
      </c>
      <c r="B11" s="6">
        <v>0</v>
      </c>
      <c r="C11" s="13">
        <v>1</v>
      </c>
      <c r="E11" s="2" t="s">
        <v>379</v>
      </c>
      <c r="F11">
        <v>0</v>
      </c>
      <c r="G11">
        <v>0</v>
      </c>
      <c r="H11">
        <f t="shared" si="0"/>
        <v>0</v>
      </c>
    </row>
    <row r="12" spans="1:9" x14ac:dyDescent="0.25">
      <c r="A12" s="5" t="s">
        <v>25</v>
      </c>
      <c r="B12" s="5">
        <v>0</v>
      </c>
      <c r="C12" s="12">
        <v>1</v>
      </c>
      <c r="E12" s="2" t="s">
        <v>15</v>
      </c>
      <c r="F12">
        <v>6</v>
      </c>
      <c r="G12">
        <v>5</v>
      </c>
      <c r="H12">
        <f t="shared" si="0"/>
        <v>0</v>
      </c>
    </row>
    <row r="13" spans="1:9" x14ac:dyDescent="0.25">
      <c r="A13" s="6" t="s">
        <v>27</v>
      </c>
      <c r="B13" s="6">
        <v>0</v>
      </c>
      <c r="C13" s="13">
        <v>1</v>
      </c>
      <c r="E13" s="2" t="s">
        <v>70</v>
      </c>
      <c r="F13">
        <v>5</v>
      </c>
      <c r="G13">
        <v>4</v>
      </c>
      <c r="H13">
        <f t="shared" si="0"/>
        <v>0</v>
      </c>
    </row>
    <row r="14" spans="1:9" x14ac:dyDescent="0.25">
      <c r="A14" s="5" t="s">
        <v>29</v>
      </c>
      <c r="B14" s="5">
        <v>0</v>
      </c>
      <c r="C14" s="12">
        <v>1</v>
      </c>
      <c r="E14" s="2" t="s">
        <v>394</v>
      </c>
      <c r="F14">
        <v>0</v>
      </c>
      <c r="G14">
        <v>0</v>
      </c>
      <c r="H14">
        <f t="shared" si="0"/>
        <v>0</v>
      </c>
    </row>
    <row r="15" spans="1:9" x14ac:dyDescent="0.25">
      <c r="A15" s="6" t="s">
        <v>5</v>
      </c>
      <c r="B15" s="6">
        <v>0</v>
      </c>
      <c r="C15" s="13">
        <v>1</v>
      </c>
      <c r="E15" s="2" t="s">
        <v>59</v>
      </c>
      <c r="F15">
        <v>6</v>
      </c>
      <c r="G15">
        <v>3</v>
      </c>
      <c r="H15">
        <f t="shared" si="0"/>
        <v>0</v>
      </c>
    </row>
    <row r="16" spans="1:9" x14ac:dyDescent="0.25">
      <c r="A16" s="5" t="s">
        <v>9</v>
      </c>
      <c r="B16" s="5">
        <v>0</v>
      </c>
      <c r="C16" s="12">
        <v>1</v>
      </c>
      <c r="E16" s="2" t="s">
        <v>97</v>
      </c>
      <c r="F16">
        <v>0</v>
      </c>
      <c r="G16">
        <v>3</v>
      </c>
      <c r="H16">
        <f t="shared" si="0"/>
        <v>0</v>
      </c>
    </row>
    <row r="17" spans="1:8" x14ac:dyDescent="0.25">
      <c r="A17" s="6" t="s">
        <v>11</v>
      </c>
      <c r="B17" s="6">
        <v>0</v>
      </c>
      <c r="C17" s="13">
        <v>1</v>
      </c>
      <c r="E17" s="2" t="s">
        <v>380</v>
      </c>
      <c r="F17">
        <v>6</v>
      </c>
      <c r="G17">
        <v>0</v>
      </c>
      <c r="H17">
        <f t="shared" si="0"/>
        <v>1</v>
      </c>
    </row>
    <row r="18" spans="1:8" x14ac:dyDescent="0.25">
      <c r="A18" s="5" t="s">
        <v>13</v>
      </c>
      <c r="B18" s="5">
        <v>0</v>
      </c>
      <c r="C18" s="12">
        <v>1</v>
      </c>
      <c r="E18" s="2" t="s">
        <v>407</v>
      </c>
      <c r="F18">
        <v>0</v>
      </c>
      <c r="G18">
        <v>0</v>
      </c>
      <c r="H18">
        <f t="shared" si="0"/>
        <v>0</v>
      </c>
    </row>
    <row r="19" spans="1:8" x14ac:dyDescent="0.25">
      <c r="A19" s="6" t="s">
        <v>35</v>
      </c>
      <c r="B19" s="6">
        <v>0</v>
      </c>
      <c r="C19" s="13">
        <v>1</v>
      </c>
      <c r="E19" s="2" t="s">
        <v>112</v>
      </c>
      <c r="F19">
        <v>0</v>
      </c>
      <c r="G19">
        <v>1</v>
      </c>
      <c r="H19">
        <f t="shared" si="0"/>
        <v>0</v>
      </c>
    </row>
    <row r="20" spans="1:8" x14ac:dyDescent="0.25">
      <c r="A20" s="5" t="s">
        <v>15</v>
      </c>
      <c r="B20" s="5">
        <v>0</v>
      </c>
      <c r="C20" s="12">
        <v>1</v>
      </c>
      <c r="E20" s="2" t="s">
        <v>181</v>
      </c>
      <c r="F20">
        <v>6</v>
      </c>
      <c r="G20">
        <v>0</v>
      </c>
      <c r="H20">
        <f t="shared" si="0"/>
        <v>1</v>
      </c>
    </row>
    <row r="21" spans="1:8" x14ac:dyDescent="0.25">
      <c r="A21" s="6" t="s">
        <v>36</v>
      </c>
      <c r="B21" s="6">
        <v>0</v>
      </c>
      <c r="C21" s="13">
        <v>1</v>
      </c>
      <c r="E21" s="2" t="s">
        <v>359</v>
      </c>
      <c r="F21">
        <v>1</v>
      </c>
      <c r="G21">
        <v>0</v>
      </c>
      <c r="H21">
        <f t="shared" si="0"/>
        <v>0</v>
      </c>
    </row>
    <row r="22" spans="1:8" x14ac:dyDescent="0.25">
      <c r="A22" s="5" t="s">
        <v>37</v>
      </c>
      <c r="B22" s="5">
        <v>0</v>
      </c>
      <c r="C22" s="12">
        <v>1</v>
      </c>
      <c r="E22" s="2" t="s">
        <v>36</v>
      </c>
      <c r="F22">
        <v>7</v>
      </c>
      <c r="G22">
        <v>3</v>
      </c>
      <c r="H22">
        <f t="shared" si="0"/>
        <v>0</v>
      </c>
    </row>
    <row r="23" spans="1:8" x14ac:dyDescent="0.25">
      <c r="A23" s="6" t="s">
        <v>16</v>
      </c>
      <c r="B23" s="6">
        <v>0</v>
      </c>
      <c r="C23" s="13">
        <v>1</v>
      </c>
      <c r="E23" s="2" t="s">
        <v>530</v>
      </c>
      <c r="F23">
        <v>5</v>
      </c>
      <c r="G23">
        <v>0</v>
      </c>
      <c r="H23">
        <f t="shared" si="0"/>
        <v>0</v>
      </c>
    </row>
    <row r="24" spans="1:8" x14ac:dyDescent="0.25">
      <c r="A24" s="5" t="s">
        <v>39</v>
      </c>
      <c r="B24" s="5">
        <v>0</v>
      </c>
      <c r="C24" s="12">
        <v>1</v>
      </c>
      <c r="E24" s="2" t="s">
        <v>587</v>
      </c>
      <c r="F24">
        <v>0</v>
      </c>
      <c r="G24">
        <v>0</v>
      </c>
      <c r="H24">
        <f t="shared" si="0"/>
        <v>0</v>
      </c>
    </row>
    <row r="25" spans="1:8" x14ac:dyDescent="0.25">
      <c r="A25" s="6" t="s">
        <v>18</v>
      </c>
      <c r="B25" s="6">
        <v>0</v>
      </c>
      <c r="C25" s="13">
        <v>1</v>
      </c>
      <c r="E25" s="2" t="s">
        <v>208</v>
      </c>
      <c r="F25">
        <v>4</v>
      </c>
      <c r="G25">
        <v>0</v>
      </c>
      <c r="H25">
        <f t="shared" si="0"/>
        <v>0</v>
      </c>
    </row>
    <row r="26" spans="1:8" x14ac:dyDescent="0.25">
      <c r="A26" s="5" t="s">
        <v>41</v>
      </c>
      <c r="B26" s="5">
        <v>0</v>
      </c>
      <c r="C26" s="12">
        <v>1</v>
      </c>
      <c r="E26" s="2" t="s">
        <v>222</v>
      </c>
      <c r="F26">
        <v>2</v>
      </c>
      <c r="G26">
        <v>0</v>
      </c>
      <c r="H26">
        <f t="shared" si="0"/>
        <v>0</v>
      </c>
    </row>
    <row r="27" spans="1:8" x14ac:dyDescent="0.25">
      <c r="A27" s="6" t="s">
        <v>20</v>
      </c>
      <c r="B27" s="6">
        <v>0</v>
      </c>
      <c r="C27" s="13">
        <v>1</v>
      </c>
      <c r="E27" s="2" t="s">
        <v>37</v>
      </c>
      <c r="F27">
        <v>2</v>
      </c>
      <c r="G27">
        <v>4</v>
      </c>
      <c r="H27">
        <f t="shared" si="0"/>
        <v>0</v>
      </c>
    </row>
    <row r="28" spans="1:8" x14ac:dyDescent="0.25">
      <c r="A28" s="5" t="s">
        <v>43</v>
      </c>
      <c r="B28" s="5">
        <v>0</v>
      </c>
      <c r="C28" s="12">
        <v>1</v>
      </c>
      <c r="E28" s="2" t="s">
        <v>16</v>
      </c>
      <c r="F28">
        <v>7</v>
      </c>
      <c r="G28">
        <v>7</v>
      </c>
      <c r="H28">
        <f t="shared" si="0"/>
        <v>0</v>
      </c>
    </row>
    <row r="29" spans="1:8" x14ac:dyDescent="0.25">
      <c r="A29" s="6" t="s">
        <v>44</v>
      </c>
      <c r="B29" s="6">
        <v>0</v>
      </c>
      <c r="C29" s="13">
        <v>1</v>
      </c>
      <c r="E29" s="2" t="s">
        <v>39</v>
      </c>
      <c r="F29">
        <v>0</v>
      </c>
      <c r="G29">
        <v>4</v>
      </c>
      <c r="H29">
        <f t="shared" si="0"/>
        <v>0</v>
      </c>
    </row>
    <row r="30" spans="1:8" x14ac:dyDescent="0.25">
      <c r="A30" s="5" t="s">
        <v>22</v>
      </c>
      <c r="B30" s="5">
        <v>0</v>
      </c>
      <c r="C30" s="12">
        <v>1</v>
      </c>
      <c r="E30" s="2" t="s">
        <v>686</v>
      </c>
      <c r="F30">
        <v>1</v>
      </c>
      <c r="G30">
        <v>0</v>
      </c>
      <c r="H30">
        <f t="shared" si="0"/>
        <v>0</v>
      </c>
    </row>
    <row r="31" spans="1:8" x14ac:dyDescent="0.25">
      <c r="A31" s="6" t="s">
        <v>46</v>
      </c>
      <c r="B31" s="6">
        <v>0</v>
      </c>
      <c r="C31" s="13">
        <v>1</v>
      </c>
      <c r="E31" s="2" t="s">
        <v>184</v>
      </c>
      <c r="F31">
        <v>3</v>
      </c>
      <c r="G31">
        <v>0</v>
      </c>
      <c r="H31">
        <f t="shared" si="0"/>
        <v>0</v>
      </c>
    </row>
    <row r="32" spans="1:8" x14ac:dyDescent="0.25">
      <c r="A32" s="5" t="s">
        <v>23</v>
      </c>
      <c r="B32" s="5">
        <v>0</v>
      </c>
      <c r="C32" s="12">
        <v>1</v>
      </c>
      <c r="E32" s="2" t="s">
        <v>534</v>
      </c>
      <c r="F32">
        <v>4</v>
      </c>
      <c r="G32">
        <v>0</v>
      </c>
      <c r="H32">
        <f t="shared" si="0"/>
        <v>0</v>
      </c>
    </row>
    <row r="33" spans="1:8" x14ac:dyDescent="0.25">
      <c r="A33" s="6" t="s">
        <v>49</v>
      </c>
      <c r="B33" s="6">
        <v>0</v>
      </c>
      <c r="C33" s="13">
        <v>1</v>
      </c>
      <c r="E33" s="2" t="s">
        <v>186</v>
      </c>
      <c r="F33">
        <v>6</v>
      </c>
      <c r="G33">
        <v>0</v>
      </c>
      <c r="H33">
        <f t="shared" si="0"/>
        <v>1</v>
      </c>
    </row>
    <row r="34" spans="1:8" x14ac:dyDescent="0.25">
      <c r="A34" s="5" t="s">
        <v>25</v>
      </c>
      <c r="B34" s="5">
        <v>0</v>
      </c>
      <c r="C34" s="12">
        <v>1</v>
      </c>
      <c r="E34" s="2" t="s">
        <v>689</v>
      </c>
      <c r="F34">
        <v>1</v>
      </c>
      <c r="G34">
        <v>0</v>
      </c>
      <c r="H34">
        <f t="shared" si="0"/>
        <v>0</v>
      </c>
    </row>
    <row r="35" spans="1:8" x14ac:dyDescent="0.25">
      <c r="A35" s="6" t="s">
        <v>50</v>
      </c>
      <c r="B35" s="6">
        <v>0</v>
      </c>
      <c r="C35" s="13">
        <v>1</v>
      </c>
      <c r="E35" s="2" t="s">
        <v>625</v>
      </c>
      <c r="F35">
        <v>2</v>
      </c>
      <c r="G35">
        <v>0</v>
      </c>
      <c r="H35">
        <f t="shared" si="0"/>
        <v>0</v>
      </c>
    </row>
    <row r="36" spans="1:8" x14ac:dyDescent="0.25">
      <c r="A36" s="5" t="s">
        <v>51</v>
      </c>
      <c r="B36" s="5">
        <v>0</v>
      </c>
      <c r="C36" s="12">
        <v>1</v>
      </c>
      <c r="E36" s="2" t="s">
        <v>409</v>
      </c>
      <c r="F36">
        <v>5</v>
      </c>
      <c r="G36">
        <v>0</v>
      </c>
      <c r="H36">
        <f t="shared" si="0"/>
        <v>0</v>
      </c>
    </row>
    <row r="37" spans="1:8" x14ac:dyDescent="0.25">
      <c r="A37" s="6" t="s">
        <v>53</v>
      </c>
      <c r="B37" s="6">
        <v>0</v>
      </c>
      <c r="C37" s="13">
        <v>1</v>
      </c>
      <c r="E37" s="2" t="s">
        <v>503</v>
      </c>
      <c r="F37">
        <v>0</v>
      </c>
      <c r="G37">
        <v>0</v>
      </c>
      <c r="H37">
        <f t="shared" si="0"/>
        <v>0</v>
      </c>
    </row>
    <row r="38" spans="1:8" x14ac:dyDescent="0.25">
      <c r="A38" s="5" t="s">
        <v>54</v>
      </c>
      <c r="B38" s="5">
        <v>0</v>
      </c>
      <c r="C38" s="12">
        <v>1</v>
      </c>
      <c r="E38" s="2" t="s">
        <v>538</v>
      </c>
      <c r="F38">
        <v>5</v>
      </c>
      <c r="G38">
        <v>0</v>
      </c>
      <c r="H38">
        <f t="shared" si="0"/>
        <v>0</v>
      </c>
    </row>
    <row r="39" spans="1:8" x14ac:dyDescent="0.25">
      <c r="A39" s="6" t="s">
        <v>27</v>
      </c>
      <c r="B39" s="6">
        <v>0</v>
      </c>
      <c r="C39" s="13">
        <v>1</v>
      </c>
      <c r="E39" s="2" t="s">
        <v>114</v>
      </c>
      <c r="F39">
        <v>7</v>
      </c>
      <c r="G39">
        <v>1</v>
      </c>
      <c r="H39">
        <f t="shared" si="0"/>
        <v>1</v>
      </c>
    </row>
    <row r="40" spans="1:8" x14ac:dyDescent="0.25">
      <c r="A40" s="5" t="s">
        <v>55</v>
      </c>
      <c r="B40" s="5">
        <v>0</v>
      </c>
      <c r="C40" s="12">
        <v>1</v>
      </c>
      <c r="E40" s="2" t="s">
        <v>410</v>
      </c>
      <c r="F40">
        <v>5</v>
      </c>
      <c r="G40">
        <v>0</v>
      </c>
      <c r="H40">
        <f t="shared" si="0"/>
        <v>0</v>
      </c>
    </row>
    <row r="41" spans="1:8" x14ac:dyDescent="0.25">
      <c r="A41" s="6" t="s">
        <v>5</v>
      </c>
      <c r="B41" s="6">
        <v>0</v>
      </c>
      <c r="C41" s="13">
        <v>1</v>
      </c>
      <c r="E41" s="2" t="s">
        <v>668</v>
      </c>
      <c r="F41">
        <v>1</v>
      </c>
      <c r="G41">
        <v>0</v>
      </c>
      <c r="H41">
        <f t="shared" si="0"/>
        <v>0</v>
      </c>
    </row>
    <row r="42" spans="1:8" x14ac:dyDescent="0.25">
      <c r="A42" s="5" t="s">
        <v>11</v>
      </c>
      <c r="B42" s="5">
        <v>0</v>
      </c>
      <c r="C42" s="12">
        <v>1</v>
      </c>
      <c r="E42" s="2" t="s">
        <v>335</v>
      </c>
      <c r="F42">
        <v>0</v>
      </c>
      <c r="G42">
        <v>0</v>
      </c>
      <c r="H42">
        <f t="shared" si="0"/>
        <v>0</v>
      </c>
    </row>
    <row r="43" spans="1:8" x14ac:dyDescent="0.25">
      <c r="A43" s="6" t="s">
        <v>35</v>
      </c>
      <c r="B43" s="6">
        <v>0</v>
      </c>
      <c r="C43" s="13">
        <v>1</v>
      </c>
      <c r="E43" s="2" t="s">
        <v>18</v>
      </c>
      <c r="F43">
        <v>6</v>
      </c>
      <c r="G43">
        <v>7</v>
      </c>
      <c r="H43">
        <f t="shared" si="0"/>
        <v>0</v>
      </c>
    </row>
    <row r="44" spans="1:8" x14ac:dyDescent="0.25">
      <c r="A44" s="5" t="s">
        <v>59</v>
      </c>
      <c r="B44" s="5">
        <v>0</v>
      </c>
      <c r="C44" s="12">
        <v>1</v>
      </c>
      <c r="E44" s="2" t="s">
        <v>41</v>
      </c>
      <c r="F44">
        <v>6</v>
      </c>
      <c r="G44">
        <v>5</v>
      </c>
      <c r="H44">
        <f t="shared" si="0"/>
        <v>0</v>
      </c>
    </row>
    <row r="45" spans="1:8" x14ac:dyDescent="0.25">
      <c r="A45" s="6" t="s">
        <v>36</v>
      </c>
      <c r="B45" s="6">
        <v>0</v>
      </c>
      <c r="C45" s="13">
        <v>1</v>
      </c>
      <c r="E45" s="2" t="s">
        <v>267</v>
      </c>
      <c r="F45">
        <v>2</v>
      </c>
      <c r="G45">
        <v>0</v>
      </c>
      <c r="H45">
        <f t="shared" si="0"/>
        <v>0</v>
      </c>
    </row>
    <row r="46" spans="1:8" x14ac:dyDescent="0.25">
      <c r="A46" s="5" t="s">
        <v>16</v>
      </c>
      <c r="B46" s="5">
        <v>0</v>
      </c>
      <c r="C46" s="12">
        <v>1</v>
      </c>
      <c r="E46" s="2" t="s">
        <v>506</v>
      </c>
      <c r="F46">
        <v>5</v>
      </c>
      <c r="G46">
        <v>0</v>
      </c>
      <c r="H46">
        <f t="shared" si="0"/>
        <v>0</v>
      </c>
    </row>
    <row r="47" spans="1:8" x14ac:dyDescent="0.25">
      <c r="A47" s="6" t="s">
        <v>39</v>
      </c>
      <c r="B47" s="6">
        <v>0</v>
      </c>
      <c r="C47" s="13">
        <v>1</v>
      </c>
      <c r="E47" s="2" t="s">
        <v>118</v>
      </c>
      <c r="F47">
        <v>5</v>
      </c>
      <c r="G47">
        <v>1</v>
      </c>
      <c r="H47">
        <f t="shared" si="0"/>
        <v>0</v>
      </c>
    </row>
    <row r="48" spans="1:8" x14ac:dyDescent="0.25">
      <c r="A48" s="5" t="s">
        <v>18</v>
      </c>
      <c r="B48" s="5">
        <v>0</v>
      </c>
      <c r="C48" s="12">
        <v>1</v>
      </c>
      <c r="E48" s="2" t="s">
        <v>383</v>
      </c>
      <c r="F48">
        <v>3</v>
      </c>
      <c r="G48">
        <v>0</v>
      </c>
      <c r="H48">
        <f t="shared" si="0"/>
        <v>0</v>
      </c>
    </row>
    <row r="49" spans="1:8" x14ac:dyDescent="0.25">
      <c r="A49" s="6" t="s">
        <v>60</v>
      </c>
      <c r="B49" s="6">
        <v>0</v>
      </c>
      <c r="C49" s="13">
        <v>1</v>
      </c>
      <c r="E49" s="2" t="s">
        <v>60</v>
      </c>
      <c r="F49">
        <v>1</v>
      </c>
      <c r="G49">
        <v>2</v>
      </c>
      <c r="H49">
        <f t="shared" si="0"/>
        <v>0</v>
      </c>
    </row>
    <row r="50" spans="1:8" x14ac:dyDescent="0.25">
      <c r="A50" s="5" t="s">
        <v>43</v>
      </c>
      <c r="B50" s="5">
        <v>0</v>
      </c>
      <c r="C50" s="12">
        <v>1</v>
      </c>
      <c r="E50" s="2" t="s">
        <v>236</v>
      </c>
      <c r="F50">
        <v>1</v>
      </c>
      <c r="G50">
        <v>0</v>
      </c>
      <c r="H50">
        <f t="shared" si="0"/>
        <v>0</v>
      </c>
    </row>
    <row r="51" spans="1:8" x14ac:dyDescent="0.25">
      <c r="A51" s="6" t="s">
        <v>44</v>
      </c>
      <c r="B51" s="6">
        <v>0</v>
      </c>
      <c r="C51" s="13">
        <v>1</v>
      </c>
      <c r="E51" s="2" t="s">
        <v>592</v>
      </c>
      <c r="F51">
        <v>1</v>
      </c>
      <c r="G51">
        <v>0</v>
      </c>
      <c r="H51">
        <f t="shared" si="0"/>
        <v>0</v>
      </c>
    </row>
    <row r="52" spans="1:8" x14ac:dyDescent="0.25">
      <c r="A52" s="5" t="s">
        <v>22</v>
      </c>
      <c r="B52" s="5">
        <v>0</v>
      </c>
      <c r="C52" s="12">
        <v>1</v>
      </c>
      <c r="E52" s="2" t="s">
        <v>20</v>
      </c>
      <c r="F52">
        <v>6</v>
      </c>
      <c r="G52">
        <v>6</v>
      </c>
      <c r="H52">
        <f t="shared" si="0"/>
        <v>0</v>
      </c>
    </row>
    <row r="53" spans="1:8" x14ac:dyDescent="0.25">
      <c r="A53" s="6" t="s">
        <v>61</v>
      </c>
      <c r="B53" s="6">
        <v>0</v>
      </c>
      <c r="C53" s="13">
        <v>1</v>
      </c>
      <c r="E53" s="2" t="s">
        <v>540</v>
      </c>
      <c r="F53">
        <v>2</v>
      </c>
      <c r="G53">
        <v>0</v>
      </c>
      <c r="H53">
        <f t="shared" si="0"/>
        <v>0</v>
      </c>
    </row>
    <row r="54" spans="1:8" x14ac:dyDescent="0.25">
      <c r="A54" s="5" t="s">
        <v>46</v>
      </c>
      <c r="B54" s="5">
        <v>0</v>
      </c>
      <c r="C54" s="12">
        <v>1</v>
      </c>
      <c r="E54" s="2" t="s">
        <v>43</v>
      </c>
      <c r="F54">
        <v>3</v>
      </c>
      <c r="G54">
        <v>4</v>
      </c>
      <c r="H54">
        <f t="shared" si="0"/>
        <v>0</v>
      </c>
    </row>
    <row r="55" spans="1:8" x14ac:dyDescent="0.25">
      <c r="A55" s="6" t="s">
        <v>25</v>
      </c>
      <c r="B55" s="6">
        <v>0</v>
      </c>
      <c r="C55" s="13">
        <v>1</v>
      </c>
      <c r="E55" s="2" t="s">
        <v>223</v>
      </c>
      <c r="F55">
        <v>0</v>
      </c>
      <c r="G55">
        <v>0</v>
      </c>
      <c r="H55">
        <f t="shared" si="0"/>
        <v>0</v>
      </c>
    </row>
    <row r="56" spans="1:8" x14ac:dyDescent="0.25">
      <c r="A56" s="5" t="s">
        <v>50</v>
      </c>
      <c r="B56" s="5">
        <v>0</v>
      </c>
      <c r="C56" s="12">
        <v>1</v>
      </c>
      <c r="E56" s="2" t="s">
        <v>122</v>
      </c>
      <c r="F56">
        <v>0</v>
      </c>
      <c r="G56">
        <v>1</v>
      </c>
      <c r="H56">
        <f t="shared" si="0"/>
        <v>0</v>
      </c>
    </row>
    <row r="57" spans="1:8" x14ac:dyDescent="0.25">
      <c r="A57" s="6" t="s">
        <v>62</v>
      </c>
      <c r="B57" s="6">
        <v>0</v>
      </c>
      <c r="C57" s="13">
        <v>1</v>
      </c>
      <c r="E57" s="2" t="s">
        <v>44</v>
      </c>
      <c r="F57">
        <v>0</v>
      </c>
      <c r="G57">
        <v>6</v>
      </c>
      <c r="H57">
        <f t="shared" si="0"/>
        <v>0</v>
      </c>
    </row>
    <row r="58" spans="1:8" x14ac:dyDescent="0.25">
      <c r="A58" s="5" t="s">
        <v>51</v>
      </c>
      <c r="B58" s="5">
        <v>0</v>
      </c>
      <c r="C58" s="12">
        <v>1</v>
      </c>
      <c r="E58" s="2" t="s">
        <v>671</v>
      </c>
      <c r="F58">
        <v>1</v>
      </c>
      <c r="G58">
        <v>0</v>
      </c>
      <c r="H58">
        <f t="shared" si="0"/>
        <v>0</v>
      </c>
    </row>
    <row r="59" spans="1:8" x14ac:dyDescent="0.25">
      <c r="A59" s="6" t="s">
        <v>5</v>
      </c>
      <c r="B59" s="6">
        <v>0</v>
      </c>
      <c r="C59" s="13">
        <v>1</v>
      </c>
      <c r="E59" s="2" t="s">
        <v>99</v>
      </c>
      <c r="F59">
        <v>5</v>
      </c>
      <c r="G59">
        <v>2</v>
      </c>
      <c r="H59">
        <f t="shared" si="0"/>
        <v>0</v>
      </c>
    </row>
    <row r="60" spans="1:8" x14ac:dyDescent="0.25">
      <c r="A60" s="5" t="s">
        <v>9</v>
      </c>
      <c r="B60" s="5">
        <v>0</v>
      </c>
      <c r="C60" s="12">
        <v>1</v>
      </c>
      <c r="E60" s="2" t="s">
        <v>156</v>
      </c>
      <c r="F60">
        <v>5</v>
      </c>
      <c r="G60">
        <v>1</v>
      </c>
      <c r="H60">
        <f t="shared" si="0"/>
        <v>0</v>
      </c>
    </row>
    <row r="61" spans="1:8" x14ac:dyDescent="0.25">
      <c r="A61" s="6" t="s">
        <v>11</v>
      </c>
      <c r="B61" s="6">
        <v>0</v>
      </c>
      <c r="C61" s="13">
        <v>1</v>
      </c>
      <c r="E61" s="2" t="s">
        <v>384</v>
      </c>
      <c r="F61">
        <v>3</v>
      </c>
      <c r="G61">
        <v>0</v>
      </c>
      <c r="H61">
        <f t="shared" si="0"/>
        <v>0</v>
      </c>
    </row>
    <row r="62" spans="1:8" x14ac:dyDescent="0.25">
      <c r="A62" s="5" t="s">
        <v>13</v>
      </c>
      <c r="B62" s="5">
        <v>0</v>
      </c>
      <c r="C62" s="12">
        <v>1</v>
      </c>
      <c r="E62" s="2" t="s">
        <v>238</v>
      </c>
      <c r="F62">
        <v>6</v>
      </c>
      <c r="G62">
        <v>0</v>
      </c>
      <c r="H62">
        <f t="shared" si="0"/>
        <v>1</v>
      </c>
    </row>
    <row r="63" spans="1:8" x14ac:dyDescent="0.25">
      <c r="A63" s="6" t="s">
        <v>35</v>
      </c>
      <c r="B63" s="6">
        <v>0</v>
      </c>
      <c r="C63" s="13">
        <v>1</v>
      </c>
      <c r="E63" s="2" t="s">
        <v>22</v>
      </c>
      <c r="F63">
        <v>7</v>
      </c>
      <c r="G63">
        <v>7</v>
      </c>
      <c r="H63">
        <f t="shared" si="0"/>
        <v>0</v>
      </c>
    </row>
    <row r="64" spans="1:8" x14ac:dyDescent="0.25">
      <c r="A64" s="5" t="s">
        <v>15</v>
      </c>
      <c r="B64" s="5">
        <v>0</v>
      </c>
      <c r="C64" s="12">
        <v>1</v>
      </c>
      <c r="E64" s="2" t="s">
        <v>61</v>
      </c>
      <c r="F64">
        <v>5</v>
      </c>
      <c r="G64">
        <v>4</v>
      </c>
      <c r="H64">
        <f t="shared" si="0"/>
        <v>0</v>
      </c>
    </row>
    <row r="65" spans="1:8" x14ac:dyDescent="0.25">
      <c r="A65" s="6" t="s">
        <v>70</v>
      </c>
      <c r="B65" s="6">
        <v>0</v>
      </c>
      <c r="C65" s="13">
        <v>1</v>
      </c>
      <c r="E65" s="2" t="s">
        <v>412</v>
      </c>
      <c r="F65">
        <v>0</v>
      </c>
      <c r="G65">
        <v>0</v>
      </c>
      <c r="H65">
        <f t="shared" si="0"/>
        <v>0</v>
      </c>
    </row>
    <row r="66" spans="1:8" x14ac:dyDescent="0.25">
      <c r="A66" s="5" t="s">
        <v>36</v>
      </c>
      <c r="B66" s="5">
        <v>0</v>
      </c>
      <c r="C66" s="12">
        <v>1</v>
      </c>
      <c r="E66" s="2" t="s">
        <v>46</v>
      </c>
      <c r="F66">
        <v>7</v>
      </c>
      <c r="G66">
        <v>6</v>
      </c>
      <c r="H66">
        <f t="shared" si="0"/>
        <v>0</v>
      </c>
    </row>
    <row r="67" spans="1:8" x14ac:dyDescent="0.25">
      <c r="A67" s="6" t="s">
        <v>37</v>
      </c>
      <c r="B67" s="6">
        <v>0</v>
      </c>
      <c r="C67" s="13">
        <v>1</v>
      </c>
      <c r="E67" s="2" t="s">
        <v>596</v>
      </c>
      <c r="F67">
        <v>0</v>
      </c>
      <c r="G67">
        <v>0</v>
      </c>
      <c r="H67">
        <f t="shared" ref="H67:H110" si="1">IF(AND(F67&gt;=6,G67&lt;=2),1,0)</f>
        <v>0</v>
      </c>
    </row>
    <row r="68" spans="1:8" x14ac:dyDescent="0.25">
      <c r="A68" s="5" t="s">
        <v>16</v>
      </c>
      <c r="B68" s="5">
        <v>0</v>
      </c>
      <c r="C68" s="12">
        <v>1</v>
      </c>
      <c r="E68" s="2" t="s">
        <v>100</v>
      </c>
      <c r="F68">
        <v>5</v>
      </c>
      <c r="G68">
        <v>2</v>
      </c>
      <c r="H68">
        <f t="shared" si="1"/>
        <v>0</v>
      </c>
    </row>
    <row r="69" spans="1:8" x14ac:dyDescent="0.25">
      <c r="A69" s="6" t="s">
        <v>39</v>
      </c>
      <c r="B69" s="6">
        <v>0</v>
      </c>
      <c r="C69" s="13">
        <v>1</v>
      </c>
      <c r="E69" s="2" t="s">
        <v>23</v>
      </c>
      <c r="F69">
        <v>6</v>
      </c>
      <c r="G69">
        <v>4</v>
      </c>
      <c r="H69">
        <f t="shared" si="1"/>
        <v>0</v>
      </c>
    </row>
    <row r="70" spans="1:8" x14ac:dyDescent="0.25">
      <c r="A70" s="5" t="s">
        <v>18</v>
      </c>
      <c r="B70" s="5">
        <v>0</v>
      </c>
      <c r="C70" s="12">
        <v>1</v>
      </c>
      <c r="E70" s="2" t="s">
        <v>511</v>
      </c>
      <c r="F70">
        <v>4</v>
      </c>
      <c r="G70">
        <v>0</v>
      </c>
      <c r="H70">
        <f t="shared" si="1"/>
        <v>0</v>
      </c>
    </row>
    <row r="71" spans="1:8" x14ac:dyDescent="0.25">
      <c r="A71" s="6" t="s">
        <v>41</v>
      </c>
      <c r="B71" s="6">
        <v>0</v>
      </c>
      <c r="C71" s="13">
        <v>1</v>
      </c>
      <c r="E71" s="2" t="s">
        <v>49</v>
      </c>
      <c r="F71">
        <v>4</v>
      </c>
      <c r="G71">
        <v>2</v>
      </c>
      <c r="H71">
        <f t="shared" si="1"/>
        <v>0</v>
      </c>
    </row>
    <row r="72" spans="1:8" x14ac:dyDescent="0.25">
      <c r="A72" s="5" t="s">
        <v>20</v>
      </c>
      <c r="B72" s="5">
        <v>0</v>
      </c>
      <c r="C72" s="12">
        <v>1</v>
      </c>
      <c r="E72" s="2" t="s">
        <v>78</v>
      </c>
      <c r="F72">
        <v>0</v>
      </c>
      <c r="G72">
        <v>3</v>
      </c>
      <c r="H72">
        <f t="shared" si="1"/>
        <v>0</v>
      </c>
    </row>
    <row r="73" spans="1:8" x14ac:dyDescent="0.25">
      <c r="A73" s="6" t="s">
        <v>44</v>
      </c>
      <c r="B73" s="6">
        <v>0</v>
      </c>
      <c r="C73" s="13">
        <v>1</v>
      </c>
      <c r="E73" s="2" t="s">
        <v>268</v>
      </c>
      <c r="F73">
        <v>3</v>
      </c>
      <c r="G73">
        <v>0</v>
      </c>
      <c r="H73">
        <f t="shared" si="1"/>
        <v>0</v>
      </c>
    </row>
    <row r="74" spans="1:8" x14ac:dyDescent="0.25">
      <c r="A74" s="5" t="s">
        <v>22</v>
      </c>
      <c r="B74" s="5">
        <v>0</v>
      </c>
      <c r="C74" s="12">
        <v>1</v>
      </c>
      <c r="E74" s="2" t="s">
        <v>243</v>
      </c>
      <c r="F74">
        <v>1</v>
      </c>
      <c r="G74">
        <v>0</v>
      </c>
      <c r="H74">
        <f t="shared" si="1"/>
        <v>0</v>
      </c>
    </row>
    <row r="75" spans="1:8" x14ac:dyDescent="0.25">
      <c r="A75" s="6" t="s">
        <v>61</v>
      </c>
      <c r="B75" s="6">
        <v>0</v>
      </c>
      <c r="C75" s="13">
        <v>1</v>
      </c>
      <c r="E75" s="2" t="s">
        <v>129</v>
      </c>
      <c r="F75">
        <v>0</v>
      </c>
      <c r="G75">
        <v>1</v>
      </c>
      <c r="H75">
        <f t="shared" si="1"/>
        <v>0</v>
      </c>
    </row>
    <row r="76" spans="1:8" x14ac:dyDescent="0.25">
      <c r="A76" s="5" t="s">
        <v>46</v>
      </c>
      <c r="B76" s="5">
        <v>0</v>
      </c>
      <c r="C76" s="12">
        <v>1</v>
      </c>
      <c r="E76" s="2" t="s">
        <v>200</v>
      </c>
      <c r="F76">
        <v>0</v>
      </c>
      <c r="G76">
        <v>0</v>
      </c>
      <c r="H76">
        <f t="shared" si="1"/>
        <v>0</v>
      </c>
    </row>
    <row r="77" spans="1:8" x14ac:dyDescent="0.25">
      <c r="A77" s="6" t="s">
        <v>78</v>
      </c>
      <c r="B77" s="6">
        <v>0</v>
      </c>
      <c r="C77" s="13">
        <v>1</v>
      </c>
      <c r="E77" s="2" t="s">
        <v>25</v>
      </c>
      <c r="F77">
        <v>0</v>
      </c>
      <c r="G77">
        <v>7</v>
      </c>
      <c r="H77">
        <f t="shared" si="1"/>
        <v>0</v>
      </c>
    </row>
    <row r="78" spans="1:8" x14ac:dyDescent="0.25">
      <c r="A78" s="5" t="s">
        <v>25</v>
      </c>
      <c r="B78" s="5">
        <v>0</v>
      </c>
      <c r="C78" s="12">
        <v>1</v>
      </c>
      <c r="E78" s="2" t="s">
        <v>546</v>
      </c>
      <c r="F78">
        <v>3</v>
      </c>
      <c r="G78">
        <v>0</v>
      </c>
      <c r="H78">
        <f t="shared" si="1"/>
        <v>0</v>
      </c>
    </row>
    <row r="79" spans="1:8" x14ac:dyDescent="0.25">
      <c r="A79" s="6" t="s">
        <v>50</v>
      </c>
      <c r="B79" s="6">
        <v>0</v>
      </c>
      <c r="C79" s="13">
        <v>1</v>
      </c>
      <c r="E79" s="2" t="s">
        <v>193</v>
      </c>
      <c r="F79">
        <v>4</v>
      </c>
      <c r="G79">
        <v>0</v>
      </c>
      <c r="H79">
        <f t="shared" si="1"/>
        <v>0</v>
      </c>
    </row>
    <row r="80" spans="1:8" x14ac:dyDescent="0.25">
      <c r="A80" s="5" t="s">
        <v>62</v>
      </c>
      <c r="B80" s="5">
        <v>0</v>
      </c>
      <c r="C80" s="12">
        <v>1</v>
      </c>
      <c r="E80" s="2" t="s">
        <v>213</v>
      </c>
      <c r="F80">
        <v>3</v>
      </c>
      <c r="G80">
        <v>0</v>
      </c>
      <c r="H80">
        <f t="shared" si="1"/>
        <v>0</v>
      </c>
    </row>
    <row r="81" spans="1:8" x14ac:dyDescent="0.25">
      <c r="A81" s="6" t="s">
        <v>82</v>
      </c>
      <c r="B81" s="6">
        <v>0</v>
      </c>
      <c r="C81" s="13">
        <v>1</v>
      </c>
      <c r="E81" s="2" t="s">
        <v>50</v>
      </c>
      <c r="F81">
        <v>6</v>
      </c>
      <c r="G81">
        <v>6</v>
      </c>
      <c r="H81">
        <f t="shared" si="1"/>
        <v>0</v>
      </c>
    </row>
    <row r="82" spans="1:8" x14ac:dyDescent="0.25">
      <c r="A82" s="5" t="s">
        <v>83</v>
      </c>
      <c r="B82" s="5">
        <v>0</v>
      </c>
      <c r="C82" s="12">
        <v>1</v>
      </c>
      <c r="E82" s="2" t="s">
        <v>570</v>
      </c>
      <c r="F82">
        <v>7</v>
      </c>
      <c r="G82">
        <v>0</v>
      </c>
      <c r="H82">
        <f t="shared" si="1"/>
        <v>1</v>
      </c>
    </row>
    <row r="83" spans="1:8" x14ac:dyDescent="0.25">
      <c r="A83" s="6" t="s">
        <v>85</v>
      </c>
      <c r="B83" s="6">
        <v>0</v>
      </c>
      <c r="C83" s="13">
        <v>1</v>
      </c>
      <c r="E83" s="2" t="s">
        <v>62</v>
      </c>
      <c r="F83">
        <v>6</v>
      </c>
      <c r="G83">
        <v>3</v>
      </c>
      <c r="H83">
        <f t="shared" si="1"/>
        <v>0</v>
      </c>
    </row>
    <row r="84" spans="1:8" x14ac:dyDescent="0.25">
      <c r="A84" s="5" t="s">
        <v>53</v>
      </c>
      <c r="B84" s="5">
        <v>0</v>
      </c>
      <c r="C84" s="12">
        <v>1</v>
      </c>
      <c r="E84" s="2" t="s">
        <v>483</v>
      </c>
      <c r="F84">
        <v>0</v>
      </c>
      <c r="G84">
        <v>0</v>
      </c>
      <c r="H84">
        <f t="shared" si="1"/>
        <v>0</v>
      </c>
    </row>
    <row r="85" spans="1:8" x14ac:dyDescent="0.25">
      <c r="A85" s="6" t="s">
        <v>54</v>
      </c>
      <c r="B85" s="6">
        <v>0</v>
      </c>
      <c r="C85" s="13">
        <v>1</v>
      </c>
      <c r="E85" s="2" t="s">
        <v>516</v>
      </c>
      <c r="F85">
        <v>4</v>
      </c>
      <c r="G85">
        <v>0</v>
      </c>
      <c r="H85">
        <f t="shared" si="1"/>
        <v>0</v>
      </c>
    </row>
    <row r="86" spans="1:8" x14ac:dyDescent="0.25">
      <c r="A86" s="5" t="s">
        <v>89</v>
      </c>
      <c r="B86" s="5">
        <v>0</v>
      </c>
      <c r="C86" s="12">
        <v>1</v>
      </c>
      <c r="E86" s="2" t="s">
        <v>315</v>
      </c>
      <c r="F86">
        <v>0</v>
      </c>
      <c r="G86">
        <v>0</v>
      </c>
      <c r="H86">
        <f t="shared" si="1"/>
        <v>0</v>
      </c>
    </row>
    <row r="87" spans="1:8" x14ac:dyDescent="0.25">
      <c r="A87" s="6" t="s">
        <v>27</v>
      </c>
      <c r="B87" s="6">
        <v>0</v>
      </c>
      <c r="C87" s="13">
        <v>1</v>
      </c>
      <c r="E87" s="2" t="s">
        <v>51</v>
      </c>
      <c r="F87">
        <v>4</v>
      </c>
      <c r="G87">
        <v>5</v>
      </c>
      <c r="H87">
        <f t="shared" si="1"/>
        <v>0</v>
      </c>
    </row>
    <row r="88" spans="1:8" x14ac:dyDescent="0.25">
      <c r="A88" s="5" t="s">
        <v>5</v>
      </c>
      <c r="B88" s="5">
        <v>0</v>
      </c>
      <c r="C88" s="12">
        <v>1</v>
      </c>
      <c r="E88" s="2" t="s">
        <v>82</v>
      </c>
      <c r="F88">
        <v>1</v>
      </c>
      <c r="G88">
        <v>1</v>
      </c>
      <c r="H88">
        <f t="shared" si="1"/>
        <v>0</v>
      </c>
    </row>
    <row r="89" spans="1:8" x14ac:dyDescent="0.25">
      <c r="A89" s="6" t="s">
        <v>9</v>
      </c>
      <c r="B89" s="6">
        <v>0</v>
      </c>
      <c r="C89" s="13">
        <v>1</v>
      </c>
      <c r="E89" s="2" t="s">
        <v>83</v>
      </c>
      <c r="F89">
        <v>4</v>
      </c>
      <c r="G89">
        <v>4</v>
      </c>
      <c r="H89">
        <f t="shared" si="1"/>
        <v>0</v>
      </c>
    </row>
    <row r="90" spans="1:8" x14ac:dyDescent="0.25">
      <c r="A90" s="5" t="s">
        <v>11</v>
      </c>
      <c r="B90" s="5">
        <v>0</v>
      </c>
      <c r="C90" s="12">
        <v>1</v>
      </c>
      <c r="E90" s="2" t="s">
        <v>706</v>
      </c>
      <c r="F90">
        <v>1</v>
      </c>
      <c r="G90">
        <v>0</v>
      </c>
      <c r="H90">
        <f t="shared" si="1"/>
        <v>0</v>
      </c>
    </row>
    <row r="91" spans="1:8" x14ac:dyDescent="0.25">
      <c r="A91" s="6" t="s">
        <v>35</v>
      </c>
      <c r="B91" s="6">
        <v>0</v>
      </c>
      <c r="C91" s="13">
        <v>1</v>
      </c>
      <c r="E91" s="2" t="s">
        <v>261</v>
      </c>
      <c r="F91">
        <v>0</v>
      </c>
      <c r="G91">
        <v>0</v>
      </c>
      <c r="H91">
        <f t="shared" si="1"/>
        <v>0</v>
      </c>
    </row>
    <row r="92" spans="1:8" x14ac:dyDescent="0.25">
      <c r="A92" s="5" t="s">
        <v>15</v>
      </c>
      <c r="B92" s="5">
        <v>0</v>
      </c>
      <c r="C92" s="12">
        <v>1</v>
      </c>
      <c r="E92" s="2" t="s">
        <v>549</v>
      </c>
      <c r="F92">
        <v>4</v>
      </c>
      <c r="G92">
        <v>0</v>
      </c>
      <c r="H92">
        <f t="shared" si="1"/>
        <v>0</v>
      </c>
    </row>
    <row r="93" spans="1:8" x14ac:dyDescent="0.25">
      <c r="A93" s="6" t="s">
        <v>70</v>
      </c>
      <c r="B93" s="6">
        <v>0</v>
      </c>
      <c r="C93" s="13">
        <v>1</v>
      </c>
      <c r="E93" s="2" t="s">
        <v>85</v>
      </c>
      <c r="F93">
        <v>2</v>
      </c>
      <c r="G93">
        <v>3</v>
      </c>
      <c r="H93">
        <f t="shared" si="1"/>
        <v>0</v>
      </c>
    </row>
    <row r="94" spans="1:8" x14ac:dyDescent="0.25">
      <c r="A94" s="5" t="s">
        <v>97</v>
      </c>
      <c r="B94" s="5">
        <v>0</v>
      </c>
      <c r="C94" s="12">
        <v>1</v>
      </c>
      <c r="E94" s="2" t="s">
        <v>134</v>
      </c>
      <c r="F94">
        <v>0</v>
      </c>
      <c r="G94">
        <v>1</v>
      </c>
      <c r="H94">
        <f t="shared" si="1"/>
        <v>0</v>
      </c>
    </row>
    <row r="95" spans="1:8" x14ac:dyDescent="0.25">
      <c r="A95" s="6" t="s">
        <v>16</v>
      </c>
      <c r="B95" s="6">
        <v>0</v>
      </c>
      <c r="C95" s="13">
        <v>1</v>
      </c>
      <c r="E95" s="2" t="s">
        <v>101</v>
      </c>
      <c r="F95">
        <v>2</v>
      </c>
      <c r="G95">
        <v>2</v>
      </c>
      <c r="H95">
        <f t="shared" si="1"/>
        <v>0</v>
      </c>
    </row>
    <row r="96" spans="1:8" x14ac:dyDescent="0.25">
      <c r="A96" s="5" t="s">
        <v>39</v>
      </c>
      <c r="B96" s="5">
        <v>0</v>
      </c>
      <c r="C96" s="12">
        <v>1</v>
      </c>
      <c r="E96" s="2" t="s">
        <v>53</v>
      </c>
      <c r="F96">
        <v>7</v>
      </c>
      <c r="G96">
        <v>5</v>
      </c>
      <c r="H96">
        <f t="shared" si="1"/>
        <v>0</v>
      </c>
    </row>
    <row r="97" spans="1:8" x14ac:dyDescent="0.25">
      <c r="A97" s="6" t="s">
        <v>18</v>
      </c>
      <c r="B97" s="6">
        <v>0</v>
      </c>
      <c r="C97" s="13">
        <v>1</v>
      </c>
      <c r="E97" s="2" t="s">
        <v>651</v>
      </c>
      <c r="F97">
        <v>1</v>
      </c>
      <c r="G97">
        <v>0</v>
      </c>
      <c r="H97">
        <f t="shared" si="1"/>
        <v>0</v>
      </c>
    </row>
    <row r="98" spans="1:8" x14ac:dyDescent="0.25">
      <c r="A98" s="5" t="s">
        <v>41</v>
      </c>
      <c r="B98" s="5">
        <v>0</v>
      </c>
      <c r="C98" s="12">
        <v>1</v>
      </c>
      <c r="E98" s="2" t="s">
        <v>262</v>
      </c>
      <c r="F98">
        <v>4</v>
      </c>
      <c r="G98">
        <v>0</v>
      </c>
      <c r="H98">
        <f t="shared" si="1"/>
        <v>0</v>
      </c>
    </row>
    <row r="99" spans="1:8" x14ac:dyDescent="0.25">
      <c r="A99" s="6" t="s">
        <v>20</v>
      </c>
      <c r="B99" s="6">
        <v>0</v>
      </c>
      <c r="C99" s="13">
        <v>1</v>
      </c>
      <c r="E99" s="2" t="s">
        <v>54</v>
      </c>
      <c r="F99">
        <v>5</v>
      </c>
      <c r="G99">
        <v>4</v>
      </c>
      <c r="H99">
        <f t="shared" si="1"/>
        <v>0</v>
      </c>
    </row>
    <row r="100" spans="1:8" x14ac:dyDescent="0.25">
      <c r="A100" s="5" t="s">
        <v>44</v>
      </c>
      <c r="B100" s="5">
        <v>0</v>
      </c>
      <c r="C100" s="12">
        <v>1</v>
      </c>
      <c r="E100" s="2" t="s">
        <v>470</v>
      </c>
      <c r="F100">
        <v>6</v>
      </c>
      <c r="G100">
        <v>0</v>
      </c>
      <c r="H100">
        <f t="shared" si="1"/>
        <v>1</v>
      </c>
    </row>
    <row r="101" spans="1:8" x14ac:dyDescent="0.25">
      <c r="A101" s="6" t="s">
        <v>99</v>
      </c>
      <c r="B101" s="6">
        <v>0</v>
      </c>
      <c r="C101" s="13">
        <v>1</v>
      </c>
      <c r="E101" s="2" t="s">
        <v>397</v>
      </c>
      <c r="F101">
        <v>6</v>
      </c>
      <c r="G101">
        <v>0</v>
      </c>
      <c r="H101">
        <f t="shared" si="1"/>
        <v>1</v>
      </c>
    </row>
    <row r="102" spans="1:8" x14ac:dyDescent="0.25">
      <c r="A102" s="5" t="s">
        <v>22</v>
      </c>
      <c r="B102" s="5">
        <v>0</v>
      </c>
      <c r="C102" s="12">
        <v>1</v>
      </c>
      <c r="E102" s="2" t="s">
        <v>575</v>
      </c>
      <c r="F102">
        <v>0</v>
      </c>
      <c r="G102">
        <v>0</v>
      </c>
      <c r="H102">
        <f t="shared" si="1"/>
        <v>0</v>
      </c>
    </row>
    <row r="103" spans="1:8" x14ac:dyDescent="0.25">
      <c r="A103" s="6" t="s">
        <v>46</v>
      </c>
      <c r="B103" s="6">
        <v>0</v>
      </c>
      <c r="C103" s="13">
        <v>1</v>
      </c>
      <c r="E103" s="2" t="s">
        <v>486</v>
      </c>
      <c r="F103">
        <v>0</v>
      </c>
      <c r="G103">
        <v>0</v>
      </c>
      <c r="H103">
        <f t="shared" si="1"/>
        <v>0</v>
      </c>
    </row>
    <row r="104" spans="1:8" x14ac:dyDescent="0.25">
      <c r="A104" s="5" t="s">
        <v>100</v>
      </c>
      <c r="B104" s="5">
        <v>0</v>
      </c>
      <c r="C104" s="12">
        <v>1</v>
      </c>
      <c r="E104" s="2" t="s">
        <v>89</v>
      </c>
      <c r="F104">
        <v>6</v>
      </c>
      <c r="G104">
        <v>2</v>
      </c>
      <c r="H104">
        <f t="shared" si="1"/>
        <v>1</v>
      </c>
    </row>
    <row r="105" spans="1:8" x14ac:dyDescent="0.25">
      <c r="A105" s="6" t="s">
        <v>25</v>
      </c>
      <c r="B105" s="6">
        <v>0</v>
      </c>
      <c r="C105" s="13">
        <v>1</v>
      </c>
      <c r="E105" s="2" t="s">
        <v>138</v>
      </c>
      <c r="F105">
        <v>1</v>
      </c>
      <c r="G105">
        <v>1</v>
      </c>
      <c r="H105">
        <f t="shared" si="1"/>
        <v>0</v>
      </c>
    </row>
    <row r="106" spans="1:8" x14ac:dyDescent="0.25">
      <c r="A106" s="5" t="s">
        <v>50</v>
      </c>
      <c r="B106" s="5">
        <v>0</v>
      </c>
      <c r="C106" s="12">
        <v>1</v>
      </c>
      <c r="E106" s="2" t="s">
        <v>348</v>
      </c>
      <c r="F106">
        <v>5</v>
      </c>
      <c r="G106">
        <v>0</v>
      </c>
      <c r="H106">
        <f t="shared" si="1"/>
        <v>0</v>
      </c>
    </row>
    <row r="107" spans="1:8" x14ac:dyDescent="0.25">
      <c r="A107" s="6" t="s">
        <v>51</v>
      </c>
      <c r="B107" s="6">
        <v>0</v>
      </c>
      <c r="C107" s="13">
        <v>1</v>
      </c>
      <c r="E107" s="2" t="s">
        <v>321</v>
      </c>
      <c r="F107">
        <v>5</v>
      </c>
      <c r="G107">
        <v>0</v>
      </c>
      <c r="H107">
        <f t="shared" si="1"/>
        <v>0</v>
      </c>
    </row>
    <row r="108" spans="1:8" x14ac:dyDescent="0.25">
      <c r="A108" s="5" t="s">
        <v>83</v>
      </c>
      <c r="B108" s="5">
        <v>0</v>
      </c>
      <c r="C108" s="12">
        <v>1</v>
      </c>
      <c r="E108" s="2" t="s">
        <v>27</v>
      </c>
      <c r="F108">
        <v>0</v>
      </c>
      <c r="G108">
        <v>4</v>
      </c>
      <c r="H108">
        <f t="shared" si="1"/>
        <v>0</v>
      </c>
    </row>
    <row r="109" spans="1:8" x14ac:dyDescent="0.25">
      <c r="A109" s="6" t="s">
        <v>101</v>
      </c>
      <c r="B109" s="6">
        <v>0</v>
      </c>
      <c r="C109" s="13">
        <v>1</v>
      </c>
      <c r="E109" s="2" t="s">
        <v>55</v>
      </c>
      <c r="F109">
        <v>3</v>
      </c>
      <c r="G109">
        <v>2</v>
      </c>
      <c r="H109">
        <f t="shared" si="1"/>
        <v>0</v>
      </c>
    </row>
    <row r="110" spans="1:8" x14ac:dyDescent="0.25">
      <c r="A110" s="5" t="s">
        <v>53</v>
      </c>
      <c r="B110" s="5">
        <v>0</v>
      </c>
      <c r="C110" s="12">
        <v>1</v>
      </c>
      <c r="E110" s="2" t="s">
        <v>716</v>
      </c>
      <c r="F110">
        <v>333</v>
      </c>
      <c r="G110">
        <v>177</v>
      </c>
      <c r="H110">
        <f t="shared" si="1"/>
        <v>0</v>
      </c>
    </row>
    <row r="111" spans="1:8" x14ac:dyDescent="0.25">
      <c r="A111" s="6" t="s">
        <v>54</v>
      </c>
      <c r="B111" s="6">
        <v>0</v>
      </c>
      <c r="C111" s="13">
        <v>1</v>
      </c>
    </row>
    <row r="112" spans="1:8" x14ac:dyDescent="0.25">
      <c r="A112" s="5" t="s">
        <v>5</v>
      </c>
      <c r="B112" s="5">
        <v>0</v>
      </c>
      <c r="C112" s="12">
        <v>1</v>
      </c>
    </row>
    <row r="113" spans="1:3" x14ac:dyDescent="0.25">
      <c r="A113" s="6" t="s">
        <v>9</v>
      </c>
      <c r="B113" s="6">
        <v>0</v>
      </c>
      <c r="C113" s="13">
        <v>1</v>
      </c>
    </row>
    <row r="114" spans="1:3" x14ac:dyDescent="0.25">
      <c r="A114" s="5" t="s">
        <v>11</v>
      </c>
      <c r="B114" s="5">
        <v>0</v>
      </c>
      <c r="C114" s="12">
        <v>1</v>
      </c>
    </row>
    <row r="115" spans="1:3" x14ac:dyDescent="0.25">
      <c r="A115" s="6" t="s">
        <v>13</v>
      </c>
      <c r="B115" s="6">
        <v>0</v>
      </c>
      <c r="C115" s="13">
        <v>1</v>
      </c>
    </row>
    <row r="116" spans="1:3" x14ac:dyDescent="0.25">
      <c r="A116" s="5" t="s">
        <v>15</v>
      </c>
      <c r="B116" s="5">
        <v>0</v>
      </c>
      <c r="C116" s="12">
        <v>1</v>
      </c>
    </row>
    <row r="117" spans="1:3" x14ac:dyDescent="0.25">
      <c r="A117" s="6" t="s">
        <v>70</v>
      </c>
      <c r="B117" s="6">
        <v>0</v>
      </c>
      <c r="C117" s="13">
        <v>1</v>
      </c>
    </row>
    <row r="118" spans="1:3" x14ac:dyDescent="0.25">
      <c r="A118" s="5" t="s">
        <v>59</v>
      </c>
      <c r="B118" s="5">
        <v>0</v>
      </c>
      <c r="C118" s="12">
        <v>1</v>
      </c>
    </row>
    <row r="119" spans="1:3" x14ac:dyDescent="0.25">
      <c r="A119" s="6" t="s">
        <v>97</v>
      </c>
      <c r="B119" s="6">
        <v>0</v>
      </c>
      <c r="C119" s="13">
        <v>1</v>
      </c>
    </row>
    <row r="120" spans="1:3" x14ac:dyDescent="0.25">
      <c r="A120" s="5" t="s">
        <v>112</v>
      </c>
      <c r="B120" s="5">
        <v>0</v>
      </c>
      <c r="C120" s="12">
        <v>1</v>
      </c>
    </row>
    <row r="121" spans="1:3" x14ac:dyDescent="0.25">
      <c r="A121" s="6" t="s">
        <v>37</v>
      </c>
      <c r="B121" s="6">
        <v>0</v>
      </c>
      <c r="C121" s="13">
        <v>1</v>
      </c>
    </row>
    <row r="122" spans="1:3" x14ac:dyDescent="0.25">
      <c r="A122" s="5" t="s">
        <v>16</v>
      </c>
      <c r="B122" s="5">
        <v>0</v>
      </c>
      <c r="C122" s="12">
        <v>1</v>
      </c>
    </row>
    <row r="123" spans="1:3" x14ac:dyDescent="0.25">
      <c r="A123" s="6" t="s">
        <v>114</v>
      </c>
      <c r="B123" s="6">
        <v>0</v>
      </c>
      <c r="C123" s="13">
        <v>1</v>
      </c>
    </row>
    <row r="124" spans="1:3" x14ac:dyDescent="0.25">
      <c r="A124" s="5" t="s">
        <v>18</v>
      </c>
      <c r="B124" s="5">
        <v>0</v>
      </c>
      <c r="C124" s="12">
        <v>1</v>
      </c>
    </row>
    <row r="125" spans="1:3" x14ac:dyDescent="0.25">
      <c r="A125" s="6" t="s">
        <v>41</v>
      </c>
      <c r="B125" s="6">
        <v>0</v>
      </c>
      <c r="C125" s="13">
        <v>1</v>
      </c>
    </row>
    <row r="126" spans="1:3" x14ac:dyDescent="0.25">
      <c r="A126" s="5" t="s">
        <v>118</v>
      </c>
      <c r="B126" s="5">
        <v>0</v>
      </c>
      <c r="C126" s="12">
        <v>1</v>
      </c>
    </row>
    <row r="127" spans="1:3" x14ac:dyDescent="0.25">
      <c r="A127" s="6" t="s">
        <v>60</v>
      </c>
      <c r="B127" s="6">
        <v>0</v>
      </c>
      <c r="C127" s="13">
        <v>1</v>
      </c>
    </row>
    <row r="128" spans="1:3" x14ac:dyDescent="0.25">
      <c r="A128" s="5" t="s">
        <v>20</v>
      </c>
      <c r="B128" s="5">
        <v>0</v>
      </c>
      <c r="C128" s="12">
        <v>1</v>
      </c>
    </row>
    <row r="129" spans="1:3" x14ac:dyDescent="0.25">
      <c r="A129" s="6" t="s">
        <v>43</v>
      </c>
      <c r="B129" s="6">
        <v>0</v>
      </c>
      <c r="C129" s="13">
        <v>1</v>
      </c>
    </row>
    <row r="130" spans="1:3" x14ac:dyDescent="0.25">
      <c r="A130" s="5" t="s">
        <v>122</v>
      </c>
      <c r="B130" s="5">
        <v>0</v>
      </c>
      <c r="C130" s="12">
        <v>1</v>
      </c>
    </row>
    <row r="131" spans="1:3" x14ac:dyDescent="0.25">
      <c r="A131" s="6" t="s">
        <v>44</v>
      </c>
      <c r="B131" s="6">
        <v>0</v>
      </c>
      <c r="C131" s="13">
        <v>1</v>
      </c>
    </row>
    <row r="132" spans="1:3" x14ac:dyDescent="0.25">
      <c r="A132" s="5" t="s">
        <v>22</v>
      </c>
      <c r="B132" s="5">
        <v>0</v>
      </c>
      <c r="C132" s="12">
        <v>1</v>
      </c>
    </row>
    <row r="133" spans="1:3" x14ac:dyDescent="0.25">
      <c r="A133" s="6" t="s">
        <v>61</v>
      </c>
      <c r="B133" s="6">
        <v>0</v>
      </c>
      <c r="C133" s="13">
        <v>1</v>
      </c>
    </row>
    <row r="134" spans="1:3" x14ac:dyDescent="0.25">
      <c r="A134" s="5" t="s">
        <v>46</v>
      </c>
      <c r="B134" s="5">
        <v>0</v>
      </c>
      <c r="C134" s="12">
        <v>1</v>
      </c>
    </row>
    <row r="135" spans="1:3" x14ac:dyDescent="0.25">
      <c r="A135" s="6" t="s">
        <v>23</v>
      </c>
      <c r="B135" s="6">
        <v>0</v>
      </c>
      <c r="C135" s="13">
        <v>1</v>
      </c>
    </row>
    <row r="136" spans="1:3" x14ac:dyDescent="0.25">
      <c r="A136" s="5" t="s">
        <v>78</v>
      </c>
      <c r="B136" s="5">
        <v>0</v>
      </c>
      <c r="C136" s="12">
        <v>1</v>
      </c>
    </row>
    <row r="137" spans="1:3" x14ac:dyDescent="0.25">
      <c r="A137" s="6" t="s">
        <v>129</v>
      </c>
      <c r="B137" s="6">
        <v>0</v>
      </c>
      <c r="C137" s="13">
        <v>1</v>
      </c>
    </row>
    <row r="138" spans="1:3" x14ac:dyDescent="0.25">
      <c r="A138" s="5" t="s">
        <v>25</v>
      </c>
      <c r="B138" s="5">
        <v>0</v>
      </c>
      <c r="C138" s="12">
        <v>1</v>
      </c>
    </row>
    <row r="139" spans="1:3" x14ac:dyDescent="0.25">
      <c r="A139" s="6" t="s">
        <v>50</v>
      </c>
      <c r="B139" s="6">
        <v>0</v>
      </c>
      <c r="C139" s="13">
        <v>1</v>
      </c>
    </row>
    <row r="140" spans="1:3" x14ac:dyDescent="0.25">
      <c r="A140" s="5" t="s">
        <v>51</v>
      </c>
      <c r="B140" s="5">
        <v>0</v>
      </c>
      <c r="C140" s="12">
        <v>1</v>
      </c>
    </row>
    <row r="141" spans="1:3" x14ac:dyDescent="0.25">
      <c r="A141" s="6" t="s">
        <v>83</v>
      </c>
      <c r="B141" s="6">
        <v>0</v>
      </c>
      <c r="C141" s="13">
        <v>1</v>
      </c>
    </row>
    <row r="142" spans="1:3" x14ac:dyDescent="0.25">
      <c r="A142" s="5" t="s">
        <v>85</v>
      </c>
      <c r="B142" s="5">
        <v>0</v>
      </c>
      <c r="C142" s="12">
        <v>1</v>
      </c>
    </row>
    <row r="143" spans="1:3" x14ac:dyDescent="0.25">
      <c r="A143" s="6" t="s">
        <v>134</v>
      </c>
      <c r="B143" s="6">
        <v>0</v>
      </c>
      <c r="C143" s="13">
        <v>1</v>
      </c>
    </row>
    <row r="144" spans="1:3" x14ac:dyDescent="0.25">
      <c r="A144" s="5" t="s">
        <v>53</v>
      </c>
      <c r="B144" s="5">
        <v>0</v>
      </c>
      <c r="C144" s="12">
        <v>1</v>
      </c>
    </row>
    <row r="145" spans="1:3" x14ac:dyDescent="0.25">
      <c r="A145" s="6" t="s">
        <v>89</v>
      </c>
      <c r="B145" s="6">
        <v>0</v>
      </c>
      <c r="C145" s="13">
        <v>1</v>
      </c>
    </row>
    <row r="146" spans="1:3" x14ac:dyDescent="0.25">
      <c r="A146" s="5" t="s">
        <v>138</v>
      </c>
      <c r="B146" s="5">
        <v>0</v>
      </c>
      <c r="C146" s="12">
        <v>1</v>
      </c>
    </row>
    <row r="147" spans="1:3" x14ac:dyDescent="0.25">
      <c r="A147" s="6" t="s">
        <v>27</v>
      </c>
      <c r="B147" s="6">
        <v>0</v>
      </c>
      <c r="C147" s="13">
        <v>1</v>
      </c>
    </row>
    <row r="148" spans="1:3" x14ac:dyDescent="0.25">
      <c r="A148" s="5" t="s">
        <v>29</v>
      </c>
      <c r="B148" s="5">
        <v>0</v>
      </c>
      <c r="C148" s="12">
        <v>1</v>
      </c>
    </row>
    <row r="149" spans="1:3" x14ac:dyDescent="0.25">
      <c r="A149" s="6" t="s">
        <v>11</v>
      </c>
      <c r="B149" s="6">
        <v>0</v>
      </c>
      <c r="C149" s="13">
        <v>1</v>
      </c>
    </row>
    <row r="150" spans="1:3" x14ac:dyDescent="0.25">
      <c r="A150" s="5" t="s">
        <v>70</v>
      </c>
      <c r="B150" s="5">
        <v>0</v>
      </c>
      <c r="C150" s="12">
        <v>1</v>
      </c>
    </row>
    <row r="151" spans="1:3" x14ac:dyDescent="0.25">
      <c r="A151" s="6" t="s">
        <v>59</v>
      </c>
      <c r="B151" s="6">
        <v>0</v>
      </c>
      <c r="C151" s="13">
        <v>1</v>
      </c>
    </row>
    <row r="152" spans="1:3" x14ac:dyDescent="0.25">
      <c r="A152" s="5" t="s">
        <v>97</v>
      </c>
      <c r="B152" s="5">
        <v>0</v>
      </c>
      <c r="C152" s="12">
        <v>1</v>
      </c>
    </row>
    <row r="153" spans="1:3" x14ac:dyDescent="0.25">
      <c r="A153" s="6" t="s">
        <v>37</v>
      </c>
      <c r="B153" s="6">
        <v>0</v>
      </c>
      <c r="C153" s="13">
        <v>1</v>
      </c>
    </row>
    <row r="154" spans="1:3" x14ac:dyDescent="0.25">
      <c r="A154" s="5" t="s">
        <v>16</v>
      </c>
      <c r="B154" s="5">
        <v>0</v>
      </c>
      <c r="C154" s="12">
        <v>1</v>
      </c>
    </row>
    <row r="155" spans="1:3" x14ac:dyDescent="0.25">
      <c r="A155" s="6" t="s">
        <v>18</v>
      </c>
      <c r="B155" s="6">
        <v>0</v>
      </c>
      <c r="C155" s="13">
        <v>1</v>
      </c>
    </row>
    <row r="156" spans="1:3" x14ac:dyDescent="0.25">
      <c r="A156" s="5" t="s">
        <v>41</v>
      </c>
      <c r="B156" s="5">
        <v>0</v>
      </c>
      <c r="C156" s="12">
        <v>1</v>
      </c>
    </row>
    <row r="157" spans="1:3" x14ac:dyDescent="0.25">
      <c r="A157" s="6" t="s">
        <v>20</v>
      </c>
      <c r="B157" s="6">
        <v>0</v>
      </c>
      <c r="C157" s="13">
        <v>1</v>
      </c>
    </row>
    <row r="158" spans="1:3" x14ac:dyDescent="0.25">
      <c r="A158" s="5" t="s">
        <v>43</v>
      </c>
      <c r="B158" s="5">
        <v>0</v>
      </c>
      <c r="C158" s="12">
        <v>1</v>
      </c>
    </row>
    <row r="159" spans="1:3" x14ac:dyDescent="0.25">
      <c r="A159" s="6" t="s">
        <v>44</v>
      </c>
      <c r="B159" s="6">
        <v>0</v>
      </c>
      <c r="C159" s="13">
        <v>1</v>
      </c>
    </row>
    <row r="160" spans="1:3" x14ac:dyDescent="0.25">
      <c r="A160" s="5" t="s">
        <v>99</v>
      </c>
      <c r="B160" s="5">
        <v>0</v>
      </c>
      <c r="C160" s="12">
        <v>1</v>
      </c>
    </row>
    <row r="161" spans="1:3" x14ac:dyDescent="0.25">
      <c r="A161" s="6" t="s">
        <v>156</v>
      </c>
      <c r="B161" s="6">
        <v>0</v>
      </c>
      <c r="C161" s="13">
        <v>1</v>
      </c>
    </row>
    <row r="162" spans="1:3" x14ac:dyDescent="0.25">
      <c r="A162" s="5" t="s">
        <v>22</v>
      </c>
      <c r="B162" s="5">
        <v>0</v>
      </c>
      <c r="C162" s="12">
        <v>1</v>
      </c>
    </row>
    <row r="163" spans="1:3" x14ac:dyDescent="0.25">
      <c r="A163" s="6" t="s">
        <v>61</v>
      </c>
      <c r="B163" s="6">
        <v>0</v>
      </c>
      <c r="C163" s="13">
        <v>1</v>
      </c>
    </row>
    <row r="164" spans="1:3" x14ac:dyDescent="0.25">
      <c r="A164" s="5" t="s">
        <v>46</v>
      </c>
      <c r="B164" s="5">
        <v>0</v>
      </c>
      <c r="C164" s="12">
        <v>1</v>
      </c>
    </row>
    <row r="165" spans="1:3" x14ac:dyDescent="0.25">
      <c r="A165" s="6" t="s">
        <v>100</v>
      </c>
      <c r="B165" s="6">
        <v>0</v>
      </c>
      <c r="C165" s="13">
        <v>1</v>
      </c>
    </row>
    <row r="166" spans="1:3" x14ac:dyDescent="0.25">
      <c r="A166" s="5" t="s">
        <v>23</v>
      </c>
      <c r="B166" s="5">
        <v>0</v>
      </c>
      <c r="C166" s="12">
        <v>1</v>
      </c>
    </row>
    <row r="167" spans="1:3" x14ac:dyDescent="0.25">
      <c r="A167" s="6" t="s">
        <v>49</v>
      </c>
      <c r="B167" s="6">
        <v>0</v>
      </c>
      <c r="C167" s="13">
        <v>1</v>
      </c>
    </row>
    <row r="168" spans="1:3" x14ac:dyDescent="0.25">
      <c r="A168" s="5" t="s">
        <v>78</v>
      </c>
      <c r="B168" s="5">
        <v>0</v>
      </c>
      <c r="C168" s="12">
        <v>1</v>
      </c>
    </row>
    <row r="169" spans="1:3" x14ac:dyDescent="0.25">
      <c r="A169" s="6" t="s">
        <v>25</v>
      </c>
      <c r="B169" s="6">
        <v>0</v>
      </c>
      <c r="C169" s="13">
        <v>1</v>
      </c>
    </row>
    <row r="170" spans="1:3" x14ac:dyDescent="0.25">
      <c r="A170" s="5" t="s">
        <v>50</v>
      </c>
      <c r="B170" s="5">
        <v>0</v>
      </c>
      <c r="C170" s="12">
        <v>1</v>
      </c>
    </row>
    <row r="171" spans="1:3" x14ac:dyDescent="0.25">
      <c r="A171" s="6" t="s">
        <v>62</v>
      </c>
      <c r="B171" s="6">
        <v>0</v>
      </c>
      <c r="C171" s="13">
        <v>1</v>
      </c>
    </row>
    <row r="172" spans="1:3" x14ac:dyDescent="0.25">
      <c r="A172" s="5" t="s">
        <v>51</v>
      </c>
      <c r="B172" s="5">
        <v>0</v>
      </c>
      <c r="C172" s="12">
        <v>1</v>
      </c>
    </row>
    <row r="173" spans="1:3" x14ac:dyDescent="0.25">
      <c r="A173" s="6" t="s">
        <v>83</v>
      </c>
      <c r="B173" s="6">
        <v>0</v>
      </c>
      <c r="C173" s="13">
        <v>1</v>
      </c>
    </row>
    <row r="174" spans="1:3" x14ac:dyDescent="0.25">
      <c r="A174" s="5" t="s">
        <v>85</v>
      </c>
      <c r="B174" s="5">
        <v>0</v>
      </c>
      <c r="C174" s="12">
        <v>1</v>
      </c>
    </row>
    <row r="175" spans="1:3" x14ac:dyDescent="0.25">
      <c r="A175" s="6" t="s">
        <v>101</v>
      </c>
      <c r="B175" s="6">
        <v>0</v>
      </c>
      <c r="C175" s="13">
        <v>1</v>
      </c>
    </row>
    <row r="176" spans="1:3" x14ac:dyDescent="0.25">
      <c r="A176" s="5" t="s">
        <v>53</v>
      </c>
      <c r="B176" s="5">
        <v>0</v>
      </c>
      <c r="C176" s="12">
        <v>1</v>
      </c>
    </row>
    <row r="177" spans="1:3" x14ac:dyDescent="0.25">
      <c r="A177" s="6" t="s">
        <v>54</v>
      </c>
      <c r="B177" s="6">
        <v>0</v>
      </c>
      <c r="C177" s="13">
        <v>1</v>
      </c>
    </row>
    <row r="178" spans="1:3" x14ac:dyDescent="0.25">
      <c r="A178" s="5" t="s">
        <v>55</v>
      </c>
      <c r="B178" s="5">
        <v>0</v>
      </c>
      <c r="C178" s="12">
        <v>1</v>
      </c>
    </row>
    <row r="179" spans="1:3" x14ac:dyDescent="0.25">
      <c r="A179" s="6" t="s">
        <v>5</v>
      </c>
      <c r="B179" s="6">
        <v>0</v>
      </c>
      <c r="C179" s="13">
        <v>0</v>
      </c>
    </row>
    <row r="180" spans="1:3" x14ac:dyDescent="0.25">
      <c r="A180" s="5" t="s">
        <v>9</v>
      </c>
      <c r="B180" s="5">
        <v>0</v>
      </c>
      <c r="C180" s="12">
        <v>0</v>
      </c>
    </row>
    <row r="181" spans="1:3" x14ac:dyDescent="0.25">
      <c r="A181" s="6" t="s">
        <v>11</v>
      </c>
      <c r="B181" s="6">
        <v>0</v>
      </c>
      <c r="C181" s="13">
        <v>0</v>
      </c>
    </row>
    <row r="182" spans="1:3" x14ac:dyDescent="0.25">
      <c r="A182" s="5" t="s">
        <v>13</v>
      </c>
      <c r="B182" s="5">
        <v>0</v>
      </c>
      <c r="C182" s="12">
        <v>0</v>
      </c>
    </row>
    <row r="183" spans="1:3" x14ac:dyDescent="0.25">
      <c r="A183" s="6" t="s">
        <v>15</v>
      </c>
      <c r="B183" s="6">
        <v>0</v>
      </c>
      <c r="C183" s="13">
        <v>0</v>
      </c>
    </row>
    <row r="184" spans="1:3" x14ac:dyDescent="0.25">
      <c r="A184" s="5" t="s">
        <v>70</v>
      </c>
      <c r="B184" s="5">
        <v>0</v>
      </c>
      <c r="C184" s="12">
        <v>0</v>
      </c>
    </row>
    <row r="185" spans="1:3" x14ac:dyDescent="0.25">
      <c r="A185" s="6" t="s">
        <v>181</v>
      </c>
      <c r="B185" s="6">
        <v>0</v>
      </c>
      <c r="C185" s="13">
        <v>0</v>
      </c>
    </row>
    <row r="186" spans="1:3" x14ac:dyDescent="0.25">
      <c r="A186" s="5" t="s">
        <v>36</v>
      </c>
      <c r="B186" s="5">
        <v>0</v>
      </c>
      <c r="C186" s="12">
        <v>0</v>
      </c>
    </row>
    <row r="187" spans="1:3" x14ac:dyDescent="0.25">
      <c r="A187" s="6" t="s">
        <v>16</v>
      </c>
      <c r="B187" s="6">
        <v>0</v>
      </c>
      <c r="C187" s="13">
        <v>0</v>
      </c>
    </row>
    <row r="188" spans="1:3" x14ac:dyDescent="0.25">
      <c r="A188" s="5" t="s">
        <v>184</v>
      </c>
      <c r="B188" s="5">
        <v>0</v>
      </c>
      <c r="C188" s="12">
        <v>0</v>
      </c>
    </row>
    <row r="189" spans="1:3" x14ac:dyDescent="0.25">
      <c r="A189" s="6" t="s">
        <v>186</v>
      </c>
      <c r="B189" s="6">
        <v>0</v>
      </c>
      <c r="C189" s="13">
        <v>0</v>
      </c>
    </row>
    <row r="190" spans="1:3" x14ac:dyDescent="0.25">
      <c r="A190" s="5" t="s">
        <v>18</v>
      </c>
      <c r="B190" s="5">
        <v>0</v>
      </c>
      <c r="C190" s="12">
        <v>0</v>
      </c>
    </row>
    <row r="191" spans="1:3" x14ac:dyDescent="0.25">
      <c r="A191" s="6" t="s">
        <v>118</v>
      </c>
      <c r="B191" s="6">
        <v>0</v>
      </c>
      <c r="C191" s="13">
        <v>0</v>
      </c>
    </row>
    <row r="192" spans="1:3" x14ac:dyDescent="0.25">
      <c r="A192" s="5" t="s">
        <v>20</v>
      </c>
      <c r="B192" s="5">
        <v>0</v>
      </c>
      <c r="C192" s="12">
        <v>0</v>
      </c>
    </row>
    <row r="193" spans="1:3" x14ac:dyDescent="0.25">
      <c r="A193" s="6" t="s">
        <v>43</v>
      </c>
      <c r="B193" s="6">
        <v>0</v>
      </c>
      <c r="C193" s="13">
        <v>0</v>
      </c>
    </row>
    <row r="194" spans="1:3" x14ac:dyDescent="0.25">
      <c r="A194" s="5" t="s">
        <v>44</v>
      </c>
      <c r="B194" s="5">
        <v>0</v>
      </c>
      <c r="C194" s="12">
        <v>0</v>
      </c>
    </row>
    <row r="195" spans="1:3" x14ac:dyDescent="0.25">
      <c r="A195" s="6" t="s">
        <v>22</v>
      </c>
      <c r="B195" s="6">
        <v>0</v>
      </c>
      <c r="C195" s="13">
        <v>0</v>
      </c>
    </row>
    <row r="196" spans="1:3" x14ac:dyDescent="0.25">
      <c r="A196" s="5" t="s">
        <v>46</v>
      </c>
      <c r="B196" s="5">
        <v>0</v>
      </c>
      <c r="C196" s="12">
        <v>0</v>
      </c>
    </row>
    <row r="197" spans="1:3" x14ac:dyDescent="0.25">
      <c r="A197" s="6" t="s">
        <v>23</v>
      </c>
      <c r="B197" s="6">
        <v>0</v>
      </c>
      <c r="C197" s="13">
        <v>0</v>
      </c>
    </row>
    <row r="198" spans="1:3" x14ac:dyDescent="0.25">
      <c r="A198" s="5" t="s">
        <v>25</v>
      </c>
      <c r="B198" s="5">
        <v>0</v>
      </c>
      <c r="C198" s="12">
        <v>0</v>
      </c>
    </row>
    <row r="199" spans="1:3" x14ac:dyDescent="0.25">
      <c r="A199" s="6" t="s">
        <v>193</v>
      </c>
      <c r="B199" s="6">
        <v>0</v>
      </c>
      <c r="C199" s="13">
        <v>0</v>
      </c>
    </row>
    <row r="200" spans="1:3" x14ac:dyDescent="0.25">
      <c r="A200" s="5" t="s">
        <v>50</v>
      </c>
      <c r="B200" s="5">
        <v>0</v>
      </c>
      <c r="C200" s="12">
        <v>0</v>
      </c>
    </row>
    <row r="201" spans="1:3" x14ac:dyDescent="0.25">
      <c r="A201" s="6" t="s">
        <v>51</v>
      </c>
      <c r="B201" s="6">
        <v>0</v>
      </c>
      <c r="C201" s="13">
        <v>0</v>
      </c>
    </row>
    <row r="202" spans="1:3" x14ac:dyDescent="0.25">
      <c r="A202" s="5" t="s">
        <v>53</v>
      </c>
      <c r="B202" s="5">
        <v>0</v>
      </c>
      <c r="C202" s="12">
        <v>0</v>
      </c>
    </row>
    <row r="203" spans="1:3" x14ac:dyDescent="0.25">
      <c r="A203" s="6" t="s">
        <v>5</v>
      </c>
      <c r="B203" s="6">
        <v>0</v>
      </c>
      <c r="C203" s="13">
        <v>0</v>
      </c>
    </row>
    <row r="204" spans="1:3" x14ac:dyDescent="0.25">
      <c r="A204" s="5" t="s">
        <v>9</v>
      </c>
      <c r="B204" s="5">
        <v>0</v>
      </c>
      <c r="C204" s="12">
        <v>0</v>
      </c>
    </row>
    <row r="205" spans="1:3" x14ac:dyDescent="0.25">
      <c r="A205" s="6" t="s">
        <v>11</v>
      </c>
      <c r="B205" s="6">
        <v>0</v>
      </c>
      <c r="C205" s="13">
        <v>0</v>
      </c>
    </row>
    <row r="206" spans="1:3" x14ac:dyDescent="0.25">
      <c r="A206" s="5" t="s">
        <v>15</v>
      </c>
      <c r="B206" s="5">
        <v>0</v>
      </c>
      <c r="C206" s="12">
        <v>0</v>
      </c>
    </row>
    <row r="207" spans="1:3" x14ac:dyDescent="0.25">
      <c r="A207" s="6" t="s">
        <v>70</v>
      </c>
      <c r="B207" s="6">
        <v>0</v>
      </c>
      <c r="C207" s="13">
        <v>0</v>
      </c>
    </row>
    <row r="208" spans="1:3" x14ac:dyDescent="0.25">
      <c r="A208" s="5" t="s">
        <v>59</v>
      </c>
      <c r="B208" s="5">
        <v>0</v>
      </c>
      <c r="C208" s="12">
        <v>0</v>
      </c>
    </row>
    <row r="209" spans="1:3" x14ac:dyDescent="0.25">
      <c r="A209" s="6" t="s">
        <v>36</v>
      </c>
      <c r="B209" s="6">
        <v>0</v>
      </c>
      <c r="C209" s="13">
        <v>0</v>
      </c>
    </row>
    <row r="210" spans="1:3" x14ac:dyDescent="0.25">
      <c r="A210" s="5" t="s">
        <v>37</v>
      </c>
      <c r="B210" s="5">
        <v>0</v>
      </c>
      <c r="C210" s="12">
        <v>0</v>
      </c>
    </row>
    <row r="211" spans="1:3" x14ac:dyDescent="0.25">
      <c r="A211" s="6" t="s">
        <v>16</v>
      </c>
      <c r="B211" s="6">
        <v>0</v>
      </c>
      <c r="C211" s="13">
        <v>0</v>
      </c>
    </row>
    <row r="212" spans="1:3" x14ac:dyDescent="0.25">
      <c r="A212" s="5" t="s">
        <v>18</v>
      </c>
      <c r="B212" s="5">
        <v>0</v>
      </c>
      <c r="C212" s="12">
        <v>0</v>
      </c>
    </row>
    <row r="213" spans="1:3" x14ac:dyDescent="0.25">
      <c r="A213" s="6" t="s">
        <v>60</v>
      </c>
      <c r="B213" s="6">
        <v>0</v>
      </c>
      <c r="C213" s="13">
        <v>0</v>
      </c>
    </row>
    <row r="214" spans="1:3" x14ac:dyDescent="0.25">
      <c r="A214" s="5" t="s">
        <v>20</v>
      </c>
      <c r="B214" s="5">
        <v>0</v>
      </c>
      <c r="C214" s="12">
        <v>0</v>
      </c>
    </row>
    <row r="215" spans="1:3" x14ac:dyDescent="0.25">
      <c r="A215" s="6" t="s">
        <v>43</v>
      </c>
      <c r="B215" s="6">
        <v>0</v>
      </c>
      <c r="C215" s="13">
        <v>0</v>
      </c>
    </row>
    <row r="216" spans="1:3" x14ac:dyDescent="0.25">
      <c r="A216" s="5" t="s">
        <v>44</v>
      </c>
      <c r="B216" s="5">
        <v>0</v>
      </c>
      <c r="C216" s="12">
        <v>0</v>
      </c>
    </row>
    <row r="217" spans="1:3" x14ac:dyDescent="0.25">
      <c r="A217" s="6" t="s">
        <v>22</v>
      </c>
      <c r="B217" s="6">
        <v>0</v>
      </c>
      <c r="C217" s="13">
        <v>0</v>
      </c>
    </row>
    <row r="218" spans="1:3" x14ac:dyDescent="0.25">
      <c r="A218" s="5" t="s">
        <v>46</v>
      </c>
      <c r="B218" s="5">
        <v>0</v>
      </c>
      <c r="C218" s="12">
        <v>0</v>
      </c>
    </row>
    <row r="219" spans="1:3" x14ac:dyDescent="0.25">
      <c r="A219" s="6" t="s">
        <v>23</v>
      </c>
      <c r="B219" s="6">
        <v>0</v>
      </c>
      <c r="C219" s="13">
        <v>0</v>
      </c>
    </row>
    <row r="220" spans="1:3" x14ac:dyDescent="0.25">
      <c r="A220" s="5" t="s">
        <v>200</v>
      </c>
      <c r="B220" s="5">
        <v>0</v>
      </c>
      <c r="C220" s="12">
        <v>0</v>
      </c>
    </row>
    <row r="221" spans="1:3" x14ac:dyDescent="0.25">
      <c r="A221" s="6" t="s">
        <v>25</v>
      </c>
      <c r="B221" s="6">
        <v>0</v>
      </c>
      <c r="C221" s="13">
        <v>0</v>
      </c>
    </row>
    <row r="222" spans="1:3" x14ac:dyDescent="0.25">
      <c r="A222" s="5" t="s">
        <v>50</v>
      </c>
      <c r="B222" s="5">
        <v>0</v>
      </c>
      <c r="C222" s="12">
        <v>0</v>
      </c>
    </row>
    <row r="223" spans="1:3" x14ac:dyDescent="0.25">
      <c r="A223" s="6" t="s">
        <v>51</v>
      </c>
      <c r="B223" s="6">
        <v>0</v>
      </c>
      <c r="C223" s="13">
        <v>0</v>
      </c>
    </row>
    <row r="224" spans="1:3" x14ac:dyDescent="0.25">
      <c r="A224" s="5" t="s">
        <v>83</v>
      </c>
      <c r="B224" s="5">
        <v>0</v>
      </c>
      <c r="C224" s="12">
        <v>0</v>
      </c>
    </row>
    <row r="225" spans="1:3" x14ac:dyDescent="0.25">
      <c r="A225" s="6" t="s">
        <v>85</v>
      </c>
      <c r="B225" s="6">
        <v>0</v>
      </c>
      <c r="C225" s="13">
        <v>0</v>
      </c>
    </row>
    <row r="226" spans="1:3" x14ac:dyDescent="0.25">
      <c r="A226" s="5" t="s">
        <v>134</v>
      </c>
      <c r="B226" s="5">
        <v>0</v>
      </c>
      <c r="C226" s="12">
        <v>0</v>
      </c>
    </row>
    <row r="227" spans="1:3" x14ac:dyDescent="0.25">
      <c r="A227" s="6" t="s">
        <v>53</v>
      </c>
      <c r="B227" s="6">
        <v>0</v>
      </c>
      <c r="C227" s="13">
        <v>0</v>
      </c>
    </row>
    <row r="228" spans="1:3" x14ac:dyDescent="0.25">
      <c r="A228" s="5" t="s">
        <v>29</v>
      </c>
      <c r="B228" s="5">
        <v>0</v>
      </c>
      <c r="C228" s="12">
        <v>0</v>
      </c>
    </row>
    <row r="229" spans="1:3" x14ac:dyDescent="0.25">
      <c r="A229" s="6" t="s">
        <v>5</v>
      </c>
      <c r="B229" s="6">
        <v>0</v>
      </c>
      <c r="C229" s="13">
        <v>0</v>
      </c>
    </row>
    <row r="230" spans="1:3" x14ac:dyDescent="0.25">
      <c r="A230" s="5" t="s">
        <v>9</v>
      </c>
      <c r="B230" s="5">
        <v>0</v>
      </c>
      <c r="C230" s="12">
        <v>0</v>
      </c>
    </row>
    <row r="231" spans="1:3" x14ac:dyDescent="0.25">
      <c r="A231" s="6" t="s">
        <v>11</v>
      </c>
      <c r="B231" s="6">
        <v>0</v>
      </c>
      <c r="C231" s="13">
        <v>0</v>
      </c>
    </row>
    <row r="232" spans="1:3" x14ac:dyDescent="0.25">
      <c r="A232" s="5" t="s">
        <v>35</v>
      </c>
      <c r="B232" s="5">
        <v>0</v>
      </c>
      <c r="C232" s="12">
        <v>0</v>
      </c>
    </row>
    <row r="233" spans="1:3" x14ac:dyDescent="0.25">
      <c r="A233" s="6" t="s">
        <v>97</v>
      </c>
      <c r="B233" s="6">
        <v>0</v>
      </c>
      <c r="C233" s="13">
        <v>0</v>
      </c>
    </row>
    <row r="234" spans="1:3" x14ac:dyDescent="0.25">
      <c r="A234" s="5" t="s">
        <v>208</v>
      </c>
      <c r="B234" s="5">
        <v>0</v>
      </c>
      <c r="C234" s="12">
        <v>0</v>
      </c>
    </row>
    <row r="235" spans="1:3" x14ac:dyDescent="0.25">
      <c r="A235" s="6" t="s">
        <v>37</v>
      </c>
      <c r="B235" s="6">
        <v>0</v>
      </c>
      <c r="C235" s="13">
        <v>0</v>
      </c>
    </row>
    <row r="236" spans="1:3" x14ac:dyDescent="0.25">
      <c r="A236" s="5" t="s">
        <v>16</v>
      </c>
      <c r="B236" s="5">
        <v>0</v>
      </c>
      <c r="C236" s="12">
        <v>0</v>
      </c>
    </row>
    <row r="237" spans="1:3" x14ac:dyDescent="0.25">
      <c r="A237" s="6" t="s">
        <v>18</v>
      </c>
      <c r="B237" s="6">
        <v>0</v>
      </c>
      <c r="C237" s="13">
        <v>0</v>
      </c>
    </row>
    <row r="238" spans="1:3" x14ac:dyDescent="0.25">
      <c r="A238" s="5" t="s">
        <v>41</v>
      </c>
      <c r="B238" s="5">
        <v>0</v>
      </c>
      <c r="C238" s="12">
        <v>0</v>
      </c>
    </row>
    <row r="239" spans="1:3" x14ac:dyDescent="0.25">
      <c r="A239" s="6" t="s">
        <v>118</v>
      </c>
      <c r="B239" s="6">
        <v>0</v>
      </c>
      <c r="C239" s="13">
        <v>0</v>
      </c>
    </row>
    <row r="240" spans="1:3" x14ac:dyDescent="0.25">
      <c r="A240" s="5" t="s">
        <v>60</v>
      </c>
      <c r="B240" s="5">
        <v>0</v>
      </c>
      <c r="C240" s="12">
        <v>0</v>
      </c>
    </row>
    <row r="241" spans="1:3" x14ac:dyDescent="0.25">
      <c r="A241" s="6" t="s">
        <v>43</v>
      </c>
      <c r="B241" s="6">
        <v>0</v>
      </c>
      <c r="C241" s="13">
        <v>0</v>
      </c>
    </row>
    <row r="242" spans="1:3" x14ac:dyDescent="0.25">
      <c r="A242" s="5" t="s">
        <v>44</v>
      </c>
      <c r="B242" s="5">
        <v>0</v>
      </c>
      <c r="C242" s="12">
        <v>0</v>
      </c>
    </row>
    <row r="243" spans="1:3" x14ac:dyDescent="0.25">
      <c r="A243" s="6" t="s">
        <v>22</v>
      </c>
      <c r="B243" s="6">
        <v>0</v>
      </c>
      <c r="C243" s="13">
        <v>0</v>
      </c>
    </row>
    <row r="244" spans="1:3" x14ac:dyDescent="0.25">
      <c r="A244" s="5" t="s">
        <v>61</v>
      </c>
      <c r="B244" s="5">
        <v>0</v>
      </c>
      <c r="C244" s="12">
        <v>0</v>
      </c>
    </row>
    <row r="245" spans="1:3" x14ac:dyDescent="0.25">
      <c r="A245" s="6" t="s">
        <v>46</v>
      </c>
      <c r="B245" s="6">
        <v>0</v>
      </c>
      <c r="C245" s="13">
        <v>0</v>
      </c>
    </row>
    <row r="246" spans="1:3" x14ac:dyDescent="0.25">
      <c r="A246" s="5" t="s">
        <v>100</v>
      </c>
      <c r="B246" s="5">
        <v>0</v>
      </c>
      <c r="C246" s="12">
        <v>0</v>
      </c>
    </row>
    <row r="247" spans="1:3" x14ac:dyDescent="0.25">
      <c r="A247" s="6" t="s">
        <v>23</v>
      </c>
      <c r="B247" s="6">
        <v>0</v>
      </c>
      <c r="C247" s="13">
        <v>0</v>
      </c>
    </row>
    <row r="248" spans="1:3" x14ac:dyDescent="0.25">
      <c r="A248" s="5" t="s">
        <v>49</v>
      </c>
      <c r="B248" s="5">
        <v>0</v>
      </c>
      <c r="C248" s="12">
        <v>0</v>
      </c>
    </row>
    <row r="249" spans="1:3" x14ac:dyDescent="0.25">
      <c r="A249" s="6" t="s">
        <v>25</v>
      </c>
      <c r="B249" s="6">
        <v>0</v>
      </c>
      <c r="C249" s="13">
        <v>0</v>
      </c>
    </row>
    <row r="250" spans="1:3" x14ac:dyDescent="0.25">
      <c r="A250" s="5" t="s">
        <v>193</v>
      </c>
      <c r="B250" s="5">
        <v>0</v>
      </c>
      <c r="C250" s="12">
        <v>0</v>
      </c>
    </row>
    <row r="251" spans="1:3" x14ac:dyDescent="0.25">
      <c r="A251" s="6" t="s">
        <v>213</v>
      </c>
      <c r="B251" s="6">
        <v>0</v>
      </c>
      <c r="C251" s="13">
        <v>0</v>
      </c>
    </row>
    <row r="252" spans="1:3" x14ac:dyDescent="0.25">
      <c r="A252" s="5" t="s">
        <v>62</v>
      </c>
      <c r="B252" s="5">
        <v>0</v>
      </c>
      <c r="C252" s="12">
        <v>0</v>
      </c>
    </row>
    <row r="253" spans="1:3" x14ac:dyDescent="0.25">
      <c r="A253" s="6" t="s">
        <v>51</v>
      </c>
      <c r="B253" s="6">
        <v>0</v>
      </c>
      <c r="C253" s="13">
        <v>0</v>
      </c>
    </row>
    <row r="254" spans="1:3" x14ac:dyDescent="0.25">
      <c r="A254" s="5" t="s">
        <v>83</v>
      </c>
      <c r="B254" s="5">
        <v>0</v>
      </c>
      <c r="C254" s="12">
        <v>0</v>
      </c>
    </row>
    <row r="255" spans="1:3" x14ac:dyDescent="0.25">
      <c r="A255" s="6" t="s">
        <v>85</v>
      </c>
      <c r="B255" s="6">
        <v>0</v>
      </c>
      <c r="C255" s="13">
        <v>0</v>
      </c>
    </row>
    <row r="256" spans="1:3" x14ac:dyDescent="0.25">
      <c r="A256" s="5" t="s">
        <v>134</v>
      </c>
      <c r="B256" s="5">
        <v>0</v>
      </c>
      <c r="C256" s="12">
        <v>0</v>
      </c>
    </row>
    <row r="257" spans="1:3" x14ac:dyDescent="0.25">
      <c r="A257" s="6" t="s">
        <v>53</v>
      </c>
      <c r="B257" s="6">
        <v>0</v>
      </c>
      <c r="C257" s="13">
        <v>0</v>
      </c>
    </row>
    <row r="258" spans="1:3" x14ac:dyDescent="0.25">
      <c r="A258" s="5" t="s">
        <v>27</v>
      </c>
      <c r="B258" s="5">
        <v>0</v>
      </c>
      <c r="C258" s="12">
        <v>0</v>
      </c>
    </row>
    <row r="259" spans="1:3" x14ac:dyDescent="0.25">
      <c r="A259" s="6" t="s">
        <v>9</v>
      </c>
      <c r="B259" s="6">
        <v>0</v>
      </c>
      <c r="C259" s="13">
        <v>0</v>
      </c>
    </row>
    <row r="260" spans="1:3" x14ac:dyDescent="0.25">
      <c r="A260" s="5" t="s">
        <v>11</v>
      </c>
      <c r="B260" s="5">
        <v>0</v>
      </c>
      <c r="C260" s="12">
        <v>0</v>
      </c>
    </row>
    <row r="261" spans="1:3" x14ac:dyDescent="0.25">
      <c r="A261" s="6" t="s">
        <v>35</v>
      </c>
      <c r="B261" s="6">
        <v>0</v>
      </c>
      <c r="C261" s="13">
        <v>0</v>
      </c>
    </row>
    <row r="262" spans="1:3" x14ac:dyDescent="0.25">
      <c r="A262" s="5" t="s">
        <v>70</v>
      </c>
      <c r="B262" s="5">
        <v>0</v>
      </c>
      <c r="C262" s="12">
        <v>0</v>
      </c>
    </row>
    <row r="263" spans="1:3" x14ac:dyDescent="0.25">
      <c r="A263" s="6" t="s">
        <v>97</v>
      </c>
      <c r="B263" s="6">
        <v>0</v>
      </c>
      <c r="C263" s="13">
        <v>0</v>
      </c>
    </row>
    <row r="264" spans="1:3" x14ac:dyDescent="0.25">
      <c r="A264" s="5" t="s">
        <v>181</v>
      </c>
      <c r="B264" s="5">
        <v>0</v>
      </c>
      <c r="C264" s="12">
        <v>0</v>
      </c>
    </row>
    <row r="265" spans="1:3" x14ac:dyDescent="0.25">
      <c r="A265" s="6" t="s">
        <v>222</v>
      </c>
      <c r="B265" s="6">
        <v>0</v>
      </c>
      <c r="C265" s="13">
        <v>0</v>
      </c>
    </row>
    <row r="266" spans="1:3" x14ac:dyDescent="0.25">
      <c r="A266" s="5" t="s">
        <v>16</v>
      </c>
      <c r="B266" s="5">
        <v>0</v>
      </c>
      <c r="C266" s="12">
        <v>0</v>
      </c>
    </row>
    <row r="267" spans="1:3" x14ac:dyDescent="0.25">
      <c r="A267" s="6" t="s">
        <v>184</v>
      </c>
      <c r="B267" s="6">
        <v>0</v>
      </c>
      <c r="C267" s="13">
        <v>0</v>
      </c>
    </row>
    <row r="268" spans="1:3" x14ac:dyDescent="0.25">
      <c r="A268" s="5" t="s">
        <v>186</v>
      </c>
      <c r="B268" s="5">
        <v>0</v>
      </c>
      <c r="C268" s="12">
        <v>0</v>
      </c>
    </row>
    <row r="269" spans="1:3" x14ac:dyDescent="0.25">
      <c r="A269" s="6" t="s">
        <v>18</v>
      </c>
      <c r="B269" s="6">
        <v>0</v>
      </c>
      <c r="C269" s="13">
        <v>0</v>
      </c>
    </row>
    <row r="270" spans="1:3" x14ac:dyDescent="0.25">
      <c r="A270" s="5" t="s">
        <v>41</v>
      </c>
      <c r="B270" s="5">
        <v>0</v>
      </c>
      <c r="C270" s="12">
        <v>0</v>
      </c>
    </row>
    <row r="271" spans="1:3" x14ac:dyDescent="0.25">
      <c r="A271" s="6" t="s">
        <v>60</v>
      </c>
      <c r="B271" s="6">
        <v>0</v>
      </c>
      <c r="C271" s="13">
        <v>0</v>
      </c>
    </row>
    <row r="272" spans="1:3" x14ac:dyDescent="0.25">
      <c r="A272" s="5" t="s">
        <v>20</v>
      </c>
      <c r="B272" s="5">
        <v>0</v>
      </c>
      <c r="C272" s="12">
        <v>0</v>
      </c>
    </row>
    <row r="273" spans="1:3" x14ac:dyDescent="0.25">
      <c r="A273" s="6" t="s">
        <v>223</v>
      </c>
      <c r="B273" s="6">
        <v>0</v>
      </c>
      <c r="C273" s="13">
        <v>0</v>
      </c>
    </row>
    <row r="274" spans="1:3" x14ac:dyDescent="0.25">
      <c r="A274" s="5" t="s">
        <v>44</v>
      </c>
      <c r="B274" s="5">
        <v>0</v>
      </c>
      <c r="C274" s="12">
        <v>0</v>
      </c>
    </row>
    <row r="275" spans="1:3" x14ac:dyDescent="0.25">
      <c r="A275" s="6" t="s">
        <v>22</v>
      </c>
      <c r="B275" s="6">
        <v>0</v>
      </c>
      <c r="C275" s="13">
        <v>0</v>
      </c>
    </row>
    <row r="276" spans="1:3" x14ac:dyDescent="0.25">
      <c r="A276" s="5" t="s">
        <v>46</v>
      </c>
      <c r="B276" s="5">
        <v>0</v>
      </c>
      <c r="C276" s="12">
        <v>0</v>
      </c>
    </row>
    <row r="277" spans="1:3" x14ac:dyDescent="0.25">
      <c r="A277" s="6" t="s">
        <v>49</v>
      </c>
      <c r="B277" s="6">
        <v>0</v>
      </c>
      <c r="C277" s="13">
        <v>0</v>
      </c>
    </row>
    <row r="278" spans="1:3" x14ac:dyDescent="0.25">
      <c r="A278" s="5" t="s">
        <v>200</v>
      </c>
      <c r="B278" s="5">
        <v>0</v>
      </c>
      <c r="C278" s="12">
        <v>0</v>
      </c>
    </row>
    <row r="279" spans="1:3" x14ac:dyDescent="0.25">
      <c r="A279" s="6" t="s">
        <v>25</v>
      </c>
      <c r="B279" s="6">
        <v>0</v>
      </c>
      <c r="C279" s="13">
        <v>0</v>
      </c>
    </row>
    <row r="280" spans="1:3" x14ac:dyDescent="0.25">
      <c r="A280" s="5" t="s">
        <v>50</v>
      </c>
      <c r="B280" s="5">
        <v>0</v>
      </c>
      <c r="C280" s="12">
        <v>0</v>
      </c>
    </row>
    <row r="281" spans="1:3" x14ac:dyDescent="0.25">
      <c r="A281" s="6" t="s">
        <v>83</v>
      </c>
      <c r="B281" s="6">
        <v>0</v>
      </c>
      <c r="C281" s="13">
        <v>0</v>
      </c>
    </row>
    <row r="282" spans="1:3" x14ac:dyDescent="0.25">
      <c r="A282" s="5" t="s">
        <v>134</v>
      </c>
      <c r="B282" s="5">
        <v>0</v>
      </c>
      <c r="C282" s="12">
        <v>0</v>
      </c>
    </row>
    <row r="283" spans="1:3" x14ac:dyDescent="0.25">
      <c r="A283" s="6" t="s">
        <v>53</v>
      </c>
      <c r="B283" s="6">
        <v>0</v>
      </c>
      <c r="C283" s="13">
        <v>0</v>
      </c>
    </row>
    <row r="284" spans="1:3" x14ac:dyDescent="0.25">
      <c r="A284" s="5" t="s">
        <v>89</v>
      </c>
      <c r="B284" s="5">
        <v>0</v>
      </c>
      <c r="C284" s="12">
        <v>0</v>
      </c>
    </row>
    <row r="285" spans="1:3" x14ac:dyDescent="0.25">
      <c r="A285" s="6" t="s">
        <v>138</v>
      </c>
      <c r="B285" s="6">
        <v>0</v>
      </c>
      <c r="C285" s="13">
        <v>0</v>
      </c>
    </row>
    <row r="286" spans="1:3" x14ac:dyDescent="0.25">
      <c r="A286" s="5" t="s">
        <v>5</v>
      </c>
      <c r="B286" s="5">
        <v>0</v>
      </c>
      <c r="C286" s="12">
        <v>0</v>
      </c>
    </row>
    <row r="287" spans="1:3" x14ac:dyDescent="0.25">
      <c r="A287" s="6" t="s">
        <v>11</v>
      </c>
      <c r="B287" s="6">
        <v>0</v>
      </c>
      <c r="C287" s="13">
        <v>0</v>
      </c>
    </row>
    <row r="288" spans="1:3" x14ac:dyDescent="0.25">
      <c r="A288" s="5" t="s">
        <v>35</v>
      </c>
      <c r="B288" s="5">
        <v>0</v>
      </c>
      <c r="C288" s="12">
        <v>0</v>
      </c>
    </row>
    <row r="289" spans="1:3" x14ac:dyDescent="0.25">
      <c r="A289" s="6" t="s">
        <v>70</v>
      </c>
      <c r="B289" s="6">
        <v>0</v>
      </c>
      <c r="C289" s="13">
        <v>0</v>
      </c>
    </row>
    <row r="290" spans="1:3" x14ac:dyDescent="0.25">
      <c r="A290" s="5" t="s">
        <v>97</v>
      </c>
      <c r="B290" s="5">
        <v>0</v>
      </c>
      <c r="C290" s="12">
        <v>0</v>
      </c>
    </row>
    <row r="291" spans="1:3" x14ac:dyDescent="0.25">
      <c r="A291" s="6" t="s">
        <v>112</v>
      </c>
      <c r="B291" s="6">
        <v>0</v>
      </c>
      <c r="C291" s="13">
        <v>0</v>
      </c>
    </row>
    <row r="292" spans="1:3" x14ac:dyDescent="0.25">
      <c r="A292" s="5" t="s">
        <v>181</v>
      </c>
      <c r="B292" s="5">
        <v>0</v>
      </c>
      <c r="C292" s="12">
        <v>0</v>
      </c>
    </row>
    <row r="293" spans="1:3" x14ac:dyDescent="0.25">
      <c r="A293" s="6" t="s">
        <v>36</v>
      </c>
      <c r="B293" s="6">
        <v>0</v>
      </c>
      <c r="C293" s="13">
        <v>0</v>
      </c>
    </row>
    <row r="294" spans="1:3" x14ac:dyDescent="0.25">
      <c r="A294" s="5" t="s">
        <v>16</v>
      </c>
      <c r="B294" s="5">
        <v>0</v>
      </c>
      <c r="C294" s="12">
        <v>0</v>
      </c>
    </row>
    <row r="295" spans="1:3" x14ac:dyDescent="0.25">
      <c r="A295" s="6" t="s">
        <v>184</v>
      </c>
      <c r="B295" s="6">
        <v>0</v>
      </c>
      <c r="C295" s="13">
        <v>0</v>
      </c>
    </row>
    <row r="296" spans="1:3" x14ac:dyDescent="0.25">
      <c r="A296" s="5" t="s">
        <v>186</v>
      </c>
      <c r="B296" s="5">
        <v>0</v>
      </c>
      <c r="C296" s="12">
        <v>0</v>
      </c>
    </row>
    <row r="297" spans="1:3" x14ac:dyDescent="0.25">
      <c r="A297" s="6" t="s">
        <v>18</v>
      </c>
      <c r="B297" s="6">
        <v>0</v>
      </c>
      <c r="C297" s="13">
        <v>0</v>
      </c>
    </row>
    <row r="298" spans="1:3" x14ac:dyDescent="0.25">
      <c r="A298" s="5" t="s">
        <v>41</v>
      </c>
      <c r="B298" s="5">
        <v>0</v>
      </c>
      <c r="C298" s="12">
        <v>0</v>
      </c>
    </row>
    <row r="299" spans="1:3" x14ac:dyDescent="0.25">
      <c r="A299" s="6" t="s">
        <v>60</v>
      </c>
      <c r="B299" s="6">
        <v>0</v>
      </c>
      <c r="C299" s="13">
        <v>0</v>
      </c>
    </row>
    <row r="300" spans="1:3" x14ac:dyDescent="0.25">
      <c r="A300" s="5" t="s">
        <v>236</v>
      </c>
      <c r="B300" s="5">
        <v>0</v>
      </c>
      <c r="C300" s="12">
        <v>0</v>
      </c>
    </row>
    <row r="301" spans="1:3" x14ac:dyDescent="0.25">
      <c r="A301" s="6" t="s">
        <v>20</v>
      </c>
      <c r="B301" s="6">
        <v>0</v>
      </c>
      <c r="C301" s="13">
        <v>0</v>
      </c>
    </row>
    <row r="302" spans="1:3" x14ac:dyDescent="0.25">
      <c r="A302" s="5" t="s">
        <v>44</v>
      </c>
      <c r="B302" s="5">
        <v>0</v>
      </c>
      <c r="C302" s="12">
        <v>0</v>
      </c>
    </row>
    <row r="303" spans="1:3" x14ac:dyDescent="0.25">
      <c r="A303" s="6" t="s">
        <v>238</v>
      </c>
      <c r="B303" s="6">
        <v>0</v>
      </c>
      <c r="C303" s="13">
        <v>0</v>
      </c>
    </row>
    <row r="304" spans="1:3" x14ac:dyDescent="0.25">
      <c r="A304" s="5" t="s">
        <v>22</v>
      </c>
      <c r="B304" s="5">
        <v>0</v>
      </c>
      <c r="C304" s="12">
        <v>0</v>
      </c>
    </row>
    <row r="305" spans="1:3" x14ac:dyDescent="0.25">
      <c r="A305" s="6" t="s">
        <v>46</v>
      </c>
      <c r="B305" s="6">
        <v>0</v>
      </c>
      <c r="C305" s="13">
        <v>0</v>
      </c>
    </row>
    <row r="306" spans="1:3" x14ac:dyDescent="0.25">
      <c r="A306" s="5" t="s">
        <v>23</v>
      </c>
      <c r="B306" s="5">
        <v>0</v>
      </c>
      <c r="C306" s="12">
        <v>0</v>
      </c>
    </row>
    <row r="307" spans="1:3" x14ac:dyDescent="0.25">
      <c r="A307" s="6" t="s">
        <v>49</v>
      </c>
      <c r="B307" s="6">
        <v>0</v>
      </c>
      <c r="C307" s="13">
        <v>0</v>
      </c>
    </row>
    <row r="308" spans="1:3" x14ac:dyDescent="0.25">
      <c r="A308" s="5" t="s">
        <v>243</v>
      </c>
      <c r="B308" s="5">
        <v>0</v>
      </c>
      <c r="C308" s="12">
        <v>0</v>
      </c>
    </row>
    <row r="309" spans="1:3" x14ac:dyDescent="0.25">
      <c r="A309" s="6" t="s">
        <v>50</v>
      </c>
      <c r="B309" s="6">
        <v>0</v>
      </c>
      <c r="C309" s="13">
        <v>0</v>
      </c>
    </row>
    <row r="310" spans="1:3" x14ac:dyDescent="0.25">
      <c r="A310" s="5" t="s">
        <v>62</v>
      </c>
      <c r="B310" s="5">
        <v>0</v>
      </c>
      <c r="C310" s="12">
        <v>0</v>
      </c>
    </row>
    <row r="311" spans="1:3" x14ac:dyDescent="0.25">
      <c r="A311" s="6" t="s">
        <v>51</v>
      </c>
      <c r="B311" s="6">
        <v>0</v>
      </c>
      <c r="C311" s="13">
        <v>0</v>
      </c>
    </row>
    <row r="312" spans="1:3" x14ac:dyDescent="0.25">
      <c r="A312" s="5" t="s">
        <v>83</v>
      </c>
      <c r="B312" s="5">
        <v>0</v>
      </c>
      <c r="C312" s="12">
        <v>0</v>
      </c>
    </row>
    <row r="313" spans="1:3" x14ac:dyDescent="0.25">
      <c r="A313" s="6" t="s">
        <v>85</v>
      </c>
      <c r="B313" s="6">
        <v>0</v>
      </c>
      <c r="C313" s="13">
        <v>0</v>
      </c>
    </row>
    <row r="314" spans="1:3" x14ac:dyDescent="0.25">
      <c r="A314" s="5" t="s">
        <v>134</v>
      </c>
      <c r="B314" s="5">
        <v>0</v>
      </c>
      <c r="C314" s="12">
        <v>0</v>
      </c>
    </row>
    <row r="315" spans="1:3" x14ac:dyDescent="0.25">
      <c r="A315" s="6" t="s">
        <v>53</v>
      </c>
      <c r="B315" s="6">
        <v>0</v>
      </c>
      <c r="C315" s="13">
        <v>0</v>
      </c>
    </row>
    <row r="316" spans="1:3" x14ac:dyDescent="0.25">
      <c r="A316" s="5" t="s">
        <v>89</v>
      </c>
      <c r="B316" s="5">
        <v>0</v>
      </c>
      <c r="C316" s="12">
        <v>0</v>
      </c>
    </row>
    <row r="317" spans="1:3" x14ac:dyDescent="0.25">
      <c r="A317" s="6" t="s">
        <v>55</v>
      </c>
      <c r="B317" s="6">
        <v>0</v>
      </c>
      <c r="C317" s="13">
        <v>0</v>
      </c>
    </row>
    <row r="318" spans="1:3" x14ac:dyDescent="0.25">
      <c r="A318" s="5" t="s">
        <v>5</v>
      </c>
      <c r="B318" s="5">
        <v>0</v>
      </c>
      <c r="C318" s="12">
        <v>0</v>
      </c>
    </row>
    <row r="319" spans="1:3" x14ac:dyDescent="0.25">
      <c r="A319" s="6" t="s">
        <v>9</v>
      </c>
      <c r="B319" s="6">
        <v>0</v>
      </c>
      <c r="C319" s="13">
        <v>0</v>
      </c>
    </row>
    <row r="320" spans="1:3" x14ac:dyDescent="0.25">
      <c r="A320" s="5" t="s">
        <v>11</v>
      </c>
      <c r="B320" s="5">
        <v>0</v>
      </c>
      <c r="C320" s="12">
        <v>0</v>
      </c>
    </row>
    <row r="321" spans="1:3" x14ac:dyDescent="0.25">
      <c r="A321" s="6" t="s">
        <v>13</v>
      </c>
      <c r="B321" s="6">
        <v>0</v>
      </c>
      <c r="C321" s="13">
        <v>0</v>
      </c>
    </row>
    <row r="322" spans="1:3" x14ac:dyDescent="0.25">
      <c r="A322" s="5" t="s">
        <v>35</v>
      </c>
      <c r="B322" s="5">
        <v>0</v>
      </c>
      <c r="C322" s="12">
        <v>0</v>
      </c>
    </row>
    <row r="323" spans="1:3" x14ac:dyDescent="0.25">
      <c r="A323" s="6" t="s">
        <v>70</v>
      </c>
      <c r="B323" s="6">
        <v>0</v>
      </c>
      <c r="C323" s="13">
        <v>0</v>
      </c>
    </row>
    <row r="324" spans="1:3" x14ac:dyDescent="0.25">
      <c r="A324" s="5" t="s">
        <v>112</v>
      </c>
      <c r="B324" s="5">
        <v>0</v>
      </c>
      <c r="C324" s="12">
        <v>0</v>
      </c>
    </row>
    <row r="325" spans="1:3" x14ac:dyDescent="0.25">
      <c r="A325" s="6" t="s">
        <v>181</v>
      </c>
      <c r="B325" s="6">
        <v>0</v>
      </c>
      <c r="C325" s="13">
        <v>0</v>
      </c>
    </row>
    <row r="326" spans="1:3" x14ac:dyDescent="0.25">
      <c r="A326" s="5" t="s">
        <v>36</v>
      </c>
      <c r="B326" s="5">
        <v>0</v>
      </c>
      <c r="C326" s="12">
        <v>0</v>
      </c>
    </row>
    <row r="327" spans="1:3" x14ac:dyDescent="0.25">
      <c r="A327" s="6" t="s">
        <v>222</v>
      </c>
      <c r="B327" s="6">
        <v>0</v>
      </c>
      <c r="C327" s="13">
        <v>0</v>
      </c>
    </row>
    <row r="328" spans="1:3" x14ac:dyDescent="0.25">
      <c r="A328" s="5" t="s">
        <v>16</v>
      </c>
      <c r="B328" s="5">
        <v>0</v>
      </c>
      <c r="C328" s="12">
        <v>0</v>
      </c>
    </row>
    <row r="329" spans="1:3" x14ac:dyDescent="0.25">
      <c r="A329" s="6" t="s">
        <v>184</v>
      </c>
      <c r="B329" s="6">
        <v>0</v>
      </c>
      <c r="C329" s="13">
        <v>0</v>
      </c>
    </row>
    <row r="330" spans="1:3" x14ac:dyDescent="0.25">
      <c r="A330" s="5" t="s">
        <v>186</v>
      </c>
      <c r="B330" s="5">
        <v>0</v>
      </c>
      <c r="C330" s="12">
        <v>0</v>
      </c>
    </row>
    <row r="331" spans="1:3" x14ac:dyDescent="0.25">
      <c r="A331" s="6" t="s">
        <v>18</v>
      </c>
      <c r="B331" s="6">
        <v>0</v>
      </c>
      <c r="C331" s="13">
        <v>0</v>
      </c>
    </row>
    <row r="332" spans="1:3" x14ac:dyDescent="0.25">
      <c r="A332" s="5" t="s">
        <v>41</v>
      </c>
      <c r="B332" s="5">
        <v>0</v>
      </c>
      <c r="C332" s="12">
        <v>0</v>
      </c>
    </row>
    <row r="333" spans="1:3" x14ac:dyDescent="0.25">
      <c r="A333" s="6" t="s">
        <v>60</v>
      </c>
      <c r="B333" s="6">
        <v>0</v>
      </c>
      <c r="C333" s="13">
        <v>0</v>
      </c>
    </row>
    <row r="334" spans="1:3" x14ac:dyDescent="0.25">
      <c r="A334" s="5" t="s">
        <v>20</v>
      </c>
      <c r="B334" s="5">
        <v>0</v>
      </c>
      <c r="C334" s="12">
        <v>0</v>
      </c>
    </row>
    <row r="335" spans="1:3" x14ac:dyDescent="0.25">
      <c r="A335" s="6" t="s">
        <v>44</v>
      </c>
      <c r="B335" s="6">
        <v>0</v>
      </c>
      <c r="C335" s="13">
        <v>0</v>
      </c>
    </row>
    <row r="336" spans="1:3" x14ac:dyDescent="0.25">
      <c r="A336" s="5" t="s">
        <v>99</v>
      </c>
      <c r="B336" s="5">
        <v>0</v>
      </c>
      <c r="C336" s="12">
        <v>0</v>
      </c>
    </row>
    <row r="337" spans="1:3" x14ac:dyDescent="0.25">
      <c r="A337" s="6" t="s">
        <v>156</v>
      </c>
      <c r="B337" s="6">
        <v>0</v>
      </c>
      <c r="C337" s="13">
        <v>0</v>
      </c>
    </row>
    <row r="338" spans="1:3" x14ac:dyDescent="0.25">
      <c r="A338" s="5" t="s">
        <v>22</v>
      </c>
      <c r="B338" s="5">
        <v>0</v>
      </c>
      <c r="C338" s="12">
        <v>0</v>
      </c>
    </row>
    <row r="339" spans="1:3" x14ac:dyDescent="0.25">
      <c r="A339" s="6" t="s">
        <v>46</v>
      </c>
      <c r="B339" s="6">
        <v>0</v>
      </c>
      <c r="C339" s="13">
        <v>0</v>
      </c>
    </row>
    <row r="340" spans="1:3" x14ac:dyDescent="0.25">
      <c r="A340" s="5" t="s">
        <v>23</v>
      </c>
      <c r="B340" s="5">
        <v>0</v>
      </c>
      <c r="C340" s="12">
        <v>0</v>
      </c>
    </row>
    <row r="341" spans="1:3" x14ac:dyDescent="0.25">
      <c r="A341" s="6" t="s">
        <v>49</v>
      </c>
      <c r="B341" s="6">
        <v>0</v>
      </c>
      <c r="C341" s="13">
        <v>0</v>
      </c>
    </row>
    <row r="342" spans="1:3" x14ac:dyDescent="0.25">
      <c r="A342" s="5" t="s">
        <v>25</v>
      </c>
      <c r="B342" s="5">
        <v>0</v>
      </c>
      <c r="C342" s="12">
        <v>0</v>
      </c>
    </row>
    <row r="343" spans="1:3" x14ac:dyDescent="0.25">
      <c r="A343" s="6" t="s">
        <v>51</v>
      </c>
      <c r="B343" s="6">
        <v>0</v>
      </c>
      <c r="C343" s="13">
        <v>0</v>
      </c>
    </row>
    <row r="344" spans="1:3" x14ac:dyDescent="0.25">
      <c r="A344" s="5" t="s">
        <v>83</v>
      </c>
      <c r="B344" s="5">
        <v>0</v>
      </c>
      <c r="C344" s="12">
        <v>0</v>
      </c>
    </row>
    <row r="345" spans="1:3" x14ac:dyDescent="0.25">
      <c r="A345" s="6" t="s">
        <v>261</v>
      </c>
      <c r="B345" s="6">
        <v>0</v>
      </c>
      <c r="C345" s="13">
        <v>0</v>
      </c>
    </row>
    <row r="346" spans="1:3" x14ac:dyDescent="0.25">
      <c r="A346" s="5" t="s">
        <v>85</v>
      </c>
      <c r="B346" s="5">
        <v>0</v>
      </c>
      <c r="C346" s="12">
        <v>0</v>
      </c>
    </row>
    <row r="347" spans="1:3" x14ac:dyDescent="0.25">
      <c r="A347" s="6" t="s">
        <v>134</v>
      </c>
      <c r="B347" s="6">
        <v>0</v>
      </c>
      <c r="C347" s="13">
        <v>0</v>
      </c>
    </row>
    <row r="348" spans="1:3" x14ac:dyDescent="0.25">
      <c r="A348" s="5" t="s">
        <v>53</v>
      </c>
      <c r="B348" s="5">
        <v>0</v>
      </c>
      <c r="C348" s="12">
        <v>0</v>
      </c>
    </row>
    <row r="349" spans="1:3" x14ac:dyDescent="0.25">
      <c r="A349" s="6" t="s">
        <v>262</v>
      </c>
      <c r="B349" s="6">
        <v>0</v>
      </c>
      <c r="C349" s="13">
        <v>0</v>
      </c>
    </row>
    <row r="350" spans="1:3" x14ac:dyDescent="0.25">
      <c r="A350" s="5" t="s">
        <v>89</v>
      </c>
      <c r="B350" s="5">
        <v>0</v>
      </c>
      <c r="C350" s="12">
        <v>0</v>
      </c>
    </row>
    <row r="351" spans="1:3" x14ac:dyDescent="0.25">
      <c r="A351" s="6" t="s">
        <v>27</v>
      </c>
      <c r="B351" s="6">
        <v>0</v>
      </c>
      <c r="C351" s="13">
        <v>0</v>
      </c>
    </row>
    <row r="352" spans="1:3" x14ac:dyDescent="0.25">
      <c r="A352" s="5" t="s">
        <v>29</v>
      </c>
      <c r="B352" s="5">
        <v>0</v>
      </c>
      <c r="C352" s="12">
        <v>0</v>
      </c>
    </row>
    <row r="353" spans="1:3" x14ac:dyDescent="0.25">
      <c r="A353" s="6" t="s">
        <v>5</v>
      </c>
      <c r="B353" s="6">
        <v>0</v>
      </c>
      <c r="C353" s="13">
        <v>0</v>
      </c>
    </row>
    <row r="354" spans="1:3" x14ac:dyDescent="0.25">
      <c r="A354" s="5" t="s">
        <v>9</v>
      </c>
      <c r="B354" s="5">
        <v>0</v>
      </c>
      <c r="C354" s="12">
        <v>0</v>
      </c>
    </row>
    <row r="355" spans="1:3" x14ac:dyDescent="0.25">
      <c r="A355" s="6" t="s">
        <v>11</v>
      </c>
      <c r="B355" s="6">
        <v>0</v>
      </c>
      <c r="C355" s="13">
        <v>0</v>
      </c>
    </row>
    <row r="356" spans="1:3" x14ac:dyDescent="0.25">
      <c r="A356" s="5" t="s">
        <v>35</v>
      </c>
      <c r="B356" s="5">
        <v>0</v>
      </c>
      <c r="C356" s="12">
        <v>0</v>
      </c>
    </row>
    <row r="357" spans="1:3" x14ac:dyDescent="0.25">
      <c r="A357" s="6" t="s">
        <v>15</v>
      </c>
      <c r="B357" s="6">
        <v>0</v>
      </c>
      <c r="C357" s="13">
        <v>0</v>
      </c>
    </row>
    <row r="358" spans="1:3" x14ac:dyDescent="0.25">
      <c r="A358" s="5" t="s">
        <v>70</v>
      </c>
      <c r="B358" s="5">
        <v>0</v>
      </c>
      <c r="C358" s="12">
        <v>0</v>
      </c>
    </row>
    <row r="359" spans="1:3" x14ac:dyDescent="0.25">
      <c r="A359" s="6" t="s">
        <v>59</v>
      </c>
      <c r="B359" s="6">
        <v>0</v>
      </c>
      <c r="C359" s="13">
        <v>0</v>
      </c>
    </row>
    <row r="360" spans="1:3" x14ac:dyDescent="0.25">
      <c r="A360" s="5" t="s">
        <v>97</v>
      </c>
      <c r="B360" s="5">
        <v>0</v>
      </c>
      <c r="C360" s="12">
        <v>0</v>
      </c>
    </row>
    <row r="361" spans="1:3" x14ac:dyDescent="0.25">
      <c r="A361" s="6" t="s">
        <v>112</v>
      </c>
      <c r="B361" s="6">
        <v>0</v>
      </c>
      <c r="C361" s="13">
        <v>0</v>
      </c>
    </row>
    <row r="362" spans="1:3" x14ac:dyDescent="0.25">
      <c r="A362" s="5" t="s">
        <v>181</v>
      </c>
      <c r="B362" s="5">
        <v>0</v>
      </c>
      <c r="C362" s="12">
        <v>0</v>
      </c>
    </row>
    <row r="363" spans="1:3" x14ac:dyDescent="0.25">
      <c r="A363" s="6" t="s">
        <v>36</v>
      </c>
      <c r="B363" s="6">
        <v>0</v>
      </c>
      <c r="C363" s="13">
        <v>0</v>
      </c>
    </row>
    <row r="364" spans="1:3" x14ac:dyDescent="0.25">
      <c r="A364" s="5" t="s">
        <v>222</v>
      </c>
      <c r="B364" s="5">
        <v>0</v>
      </c>
      <c r="C364" s="12">
        <v>0</v>
      </c>
    </row>
    <row r="365" spans="1:3" x14ac:dyDescent="0.25">
      <c r="A365" s="6" t="s">
        <v>37</v>
      </c>
      <c r="B365" s="6">
        <v>0</v>
      </c>
      <c r="C365" s="13">
        <v>0</v>
      </c>
    </row>
    <row r="366" spans="1:3" x14ac:dyDescent="0.25">
      <c r="A366" s="5" t="s">
        <v>16</v>
      </c>
      <c r="B366" s="5">
        <v>0</v>
      </c>
      <c r="C366" s="12">
        <v>0</v>
      </c>
    </row>
    <row r="367" spans="1:3" x14ac:dyDescent="0.25">
      <c r="A367" s="6" t="s">
        <v>186</v>
      </c>
      <c r="B367" s="6">
        <v>0</v>
      </c>
      <c r="C367" s="13">
        <v>0</v>
      </c>
    </row>
    <row r="368" spans="1:3" x14ac:dyDescent="0.25">
      <c r="A368" s="5" t="s">
        <v>41</v>
      </c>
      <c r="B368" s="5">
        <v>0</v>
      </c>
      <c r="C368" s="12">
        <v>0</v>
      </c>
    </row>
    <row r="369" spans="1:3" x14ac:dyDescent="0.25">
      <c r="A369" s="6" t="s">
        <v>267</v>
      </c>
      <c r="B369" s="6">
        <v>0</v>
      </c>
      <c r="C369" s="13">
        <v>0</v>
      </c>
    </row>
    <row r="370" spans="1:3" x14ac:dyDescent="0.25">
      <c r="A370" s="5" t="s">
        <v>118</v>
      </c>
      <c r="B370" s="5">
        <v>0</v>
      </c>
      <c r="C370" s="12">
        <v>0</v>
      </c>
    </row>
    <row r="371" spans="1:3" x14ac:dyDescent="0.25">
      <c r="A371" s="6" t="s">
        <v>60</v>
      </c>
      <c r="B371" s="6">
        <v>0</v>
      </c>
      <c r="C371" s="13">
        <v>0</v>
      </c>
    </row>
    <row r="372" spans="1:3" x14ac:dyDescent="0.25">
      <c r="A372" s="5" t="s">
        <v>20</v>
      </c>
      <c r="B372" s="5">
        <v>0</v>
      </c>
      <c r="C372" s="12">
        <v>0</v>
      </c>
    </row>
    <row r="373" spans="1:3" x14ac:dyDescent="0.25">
      <c r="A373" s="6" t="s">
        <v>44</v>
      </c>
      <c r="B373" s="6">
        <v>0</v>
      </c>
      <c r="C373" s="13">
        <v>0</v>
      </c>
    </row>
    <row r="374" spans="1:3" x14ac:dyDescent="0.25">
      <c r="A374" s="5" t="s">
        <v>99</v>
      </c>
      <c r="B374" s="5">
        <v>0</v>
      </c>
      <c r="C374" s="12">
        <v>0</v>
      </c>
    </row>
    <row r="375" spans="1:3" x14ac:dyDescent="0.25">
      <c r="A375" s="6" t="s">
        <v>156</v>
      </c>
      <c r="B375" s="6">
        <v>0</v>
      </c>
      <c r="C375" s="13">
        <v>0</v>
      </c>
    </row>
    <row r="376" spans="1:3" x14ac:dyDescent="0.25">
      <c r="A376" s="5" t="s">
        <v>238</v>
      </c>
      <c r="B376" s="5">
        <v>0</v>
      </c>
      <c r="C376" s="12">
        <v>0</v>
      </c>
    </row>
    <row r="377" spans="1:3" x14ac:dyDescent="0.25">
      <c r="A377" s="6" t="s">
        <v>22</v>
      </c>
      <c r="B377" s="6">
        <v>0</v>
      </c>
      <c r="C377" s="13">
        <v>0</v>
      </c>
    </row>
    <row r="378" spans="1:3" x14ac:dyDescent="0.25">
      <c r="A378" s="5" t="s">
        <v>46</v>
      </c>
      <c r="B378" s="5">
        <v>0</v>
      </c>
      <c r="C378" s="12">
        <v>0</v>
      </c>
    </row>
    <row r="379" spans="1:3" x14ac:dyDescent="0.25">
      <c r="A379" s="6" t="s">
        <v>100</v>
      </c>
      <c r="B379" s="6">
        <v>0</v>
      </c>
      <c r="C379" s="13">
        <v>0</v>
      </c>
    </row>
    <row r="380" spans="1:3" x14ac:dyDescent="0.25">
      <c r="A380" s="5" t="s">
        <v>49</v>
      </c>
      <c r="B380" s="5">
        <v>0</v>
      </c>
      <c r="C380" s="12">
        <v>0</v>
      </c>
    </row>
    <row r="381" spans="1:3" x14ac:dyDescent="0.25">
      <c r="A381" s="6" t="s">
        <v>268</v>
      </c>
      <c r="B381" s="6">
        <v>0</v>
      </c>
      <c r="C381" s="13">
        <v>0</v>
      </c>
    </row>
    <row r="382" spans="1:3" x14ac:dyDescent="0.25">
      <c r="A382" s="5" t="s">
        <v>200</v>
      </c>
      <c r="B382" s="5">
        <v>0</v>
      </c>
      <c r="C382" s="12">
        <v>0</v>
      </c>
    </row>
    <row r="383" spans="1:3" x14ac:dyDescent="0.25">
      <c r="A383" s="6" t="s">
        <v>25</v>
      </c>
      <c r="B383" s="6">
        <v>0</v>
      </c>
      <c r="C383" s="13">
        <v>0</v>
      </c>
    </row>
    <row r="384" spans="1:3" x14ac:dyDescent="0.25">
      <c r="A384" s="5" t="s">
        <v>50</v>
      </c>
      <c r="B384" s="5">
        <v>0</v>
      </c>
      <c r="C384" s="12">
        <v>0</v>
      </c>
    </row>
    <row r="385" spans="1:3" x14ac:dyDescent="0.25">
      <c r="A385" s="6" t="s">
        <v>62</v>
      </c>
      <c r="B385" s="6">
        <v>0</v>
      </c>
      <c r="C385" s="13">
        <v>0</v>
      </c>
    </row>
    <row r="386" spans="1:3" x14ac:dyDescent="0.25">
      <c r="A386" s="5" t="s">
        <v>83</v>
      </c>
      <c r="B386" s="5">
        <v>0</v>
      </c>
      <c r="C386" s="12">
        <v>0</v>
      </c>
    </row>
    <row r="387" spans="1:3" x14ac:dyDescent="0.25">
      <c r="A387" s="6" t="s">
        <v>85</v>
      </c>
      <c r="B387" s="6">
        <v>0</v>
      </c>
      <c r="C387" s="13">
        <v>0</v>
      </c>
    </row>
    <row r="388" spans="1:3" x14ac:dyDescent="0.25">
      <c r="A388" s="5" t="s">
        <v>134</v>
      </c>
      <c r="B388" s="5">
        <v>0</v>
      </c>
      <c r="C388" s="12">
        <v>0</v>
      </c>
    </row>
    <row r="389" spans="1:3" x14ac:dyDescent="0.25">
      <c r="A389" s="6" t="s">
        <v>53</v>
      </c>
      <c r="B389" s="6">
        <v>0</v>
      </c>
      <c r="C389" s="13">
        <v>0</v>
      </c>
    </row>
    <row r="390" spans="1:3" x14ac:dyDescent="0.25">
      <c r="A390" s="5" t="s">
        <v>262</v>
      </c>
      <c r="B390" s="5">
        <v>0</v>
      </c>
      <c r="C390" s="12">
        <v>0</v>
      </c>
    </row>
    <row r="391" spans="1:3" x14ac:dyDescent="0.25">
      <c r="A391" s="6" t="s">
        <v>54</v>
      </c>
      <c r="B391" s="6">
        <v>0</v>
      </c>
      <c r="C391" s="13">
        <v>0</v>
      </c>
    </row>
    <row r="392" spans="1:3" x14ac:dyDescent="0.25">
      <c r="A392" s="5" t="s">
        <v>27</v>
      </c>
      <c r="B392" s="5">
        <v>0</v>
      </c>
      <c r="C392" s="12">
        <v>0</v>
      </c>
    </row>
    <row r="393" spans="1:3" x14ac:dyDescent="0.25">
      <c r="A393" s="6" t="s">
        <v>29</v>
      </c>
      <c r="B393" s="6">
        <v>0</v>
      </c>
      <c r="C393" s="13">
        <v>0</v>
      </c>
    </row>
    <row r="394" spans="1:3" x14ac:dyDescent="0.25">
      <c r="A394" s="5" t="s">
        <v>5</v>
      </c>
      <c r="B394" s="5">
        <v>0</v>
      </c>
      <c r="C394" s="12">
        <v>0</v>
      </c>
    </row>
    <row r="395" spans="1:3" x14ac:dyDescent="0.25">
      <c r="A395" s="6" t="s">
        <v>9</v>
      </c>
      <c r="B395" s="6">
        <v>0</v>
      </c>
      <c r="C395" s="13">
        <v>0</v>
      </c>
    </row>
    <row r="396" spans="1:3" x14ac:dyDescent="0.25">
      <c r="A396" s="5" t="s">
        <v>11</v>
      </c>
      <c r="B396" s="5">
        <v>0</v>
      </c>
      <c r="C396" s="12">
        <v>0</v>
      </c>
    </row>
    <row r="397" spans="1:3" x14ac:dyDescent="0.25">
      <c r="A397" s="6" t="s">
        <v>35</v>
      </c>
      <c r="B397" s="6">
        <v>0</v>
      </c>
      <c r="C397" s="13">
        <v>0</v>
      </c>
    </row>
    <row r="398" spans="1:3" x14ac:dyDescent="0.25">
      <c r="A398" s="5" t="s">
        <v>15</v>
      </c>
      <c r="B398" s="5">
        <v>0</v>
      </c>
      <c r="C398" s="12">
        <v>0</v>
      </c>
    </row>
    <row r="399" spans="1:3" x14ac:dyDescent="0.25">
      <c r="A399" s="6" t="s">
        <v>70</v>
      </c>
      <c r="B399" s="6">
        <v>0</v>
      </c>
      <c r="C399" s="13">
        <v>0</v>
      </c>
    </row>
    <row r="400" spans="1:3" x14ac:dyDescent="0.25">
      <c r="A400" s="5" t="s">
        <v>59</v>
      </c>
      <c r="B400" s="5">
        <v>0</v>
      </c>
      <c r="C400" s="12">
        <v>0</v>
      </c>
    </row>
    <row r="401" spans="1:3" x14ac:dyDescent="0.25">
      <c r="A401" s="6" t="s">
        <v>97</v>
      </c>
      <c r="B401" s="6">
        <v>0</v>
      </c>
      <c r="C401" s="13">
        <v>0</v>
      </c>
    </row>
    <row r="402" spans="1:3" x14ac:dyDescent="0.25">
      <c r="A402" s="5" t="s">
        <v>181</v>
      </c>
      <c r="B402" s="5">
        <v>0</v>
      </c>
      <c r="C402" s="12">
        <v>0</v>
      </c>
    </row>
    <row r="403" spans="1:3" x14ac:dyDescent="0.25">
      <c r="A403" s="6" t="s">
        <v>36</v>
      </c>
      <c r="B403" s="6">
        <v>0</v>
      </c>
      <c r="C403" s="13">
        <v>0</v>
      </c>
    </row>
    <row r="404" spans="1:3" x14ac:dyDescent="0.25">
      <c r="A404" s="5" t="s">
        <v>37</v>
      </c>
      <c r="B404" s="5">
        <v>0</v>
      </c>
      <c r="C404" s="12">
        <v>0</v>
      </c>
    </row>
    <row r="405" spans="1:3" x14ac:dyDescent="0.25">
      <c r="A405" s="6" t="s">
        <v>16</v>
      </c>
      <c r="B405" s="6">
        <v>0</v>
      </c>
      <c r="C405" s="13">
        <v>0</v>
      </c>
    </row>
    <row r="406" spans="1:3" x14ac:dyDescent="0.25">
      <c r="A406" s="5" t="s">
        <v>186</v>
      </c>
      <c r="B406" s="5">
        <v>0</v>
      </c>
      <c r="C406" s="12">
        <v>0</v>
      </c>
    </row>
    <row r="407" spans="1:3" x14ac:dyDescent="0.25">
      <c r="A407" s="6" t="s">
        <v>18</v>
      </c>
      <c r="B407" s="6">
        <v>0</v>
      </c>
      <c r="C407" s="13">
        <v>0</v>
      </c>
    </row>
    <row r="408" spans="1:3" x14ac:dyDescent="0.25">
      <c r="A408" s="5" t="s">
        <v>41</v>
      </c>
      <c r="B408" s="5">
        <v>0</v>
      </c>
      <c r="C408" s="12">
        <v>0</v>
      </c>
    </row>
    <row r="409" spans="1:3" x14ac:dyDescent="0.25">
      <c r="A409" s="6" t="s">
        <v>60</v>
      </c>
      <c r="B409" s="6">
        <v>0</v>
      </c>
      <c r="C409" s="13">
        <v>0</v>
      </c>
    </row>
    <row r="410" spans="1:3" x14ac:dyDescent="0.25">
      <c r="A410" s="5" t="s">
        <v>20</v>
      </c>
      <c r="B410" s="5">
        <v>0</v>
      </c>
      <c r="C410" s="12">
        <v>0</v>
      </c>
    </row>
    <row r="411" spans="1:3" x14ac:dyDescent="0.25">
      <c r="A411" s="6" t="s">
        <v>44</v>
      </c>
      <c r="B411" s="6">
        <v>0</v>
      </c>
      <c r="C411" s="13">
        <v>0</v>
      </c>
    </row>
    <row r="412" spans="1:3" x14ac:dyDescent="0.25">
      <c r="A412" s="5" t="s">
        <v>99</v>
      </c>
      <c r="B412" s="5">
        <v>0</v>
      </c>
      <c r="C412" s="12">
        <v>0</v>
      </c>
    </row>
    <row r="413" spans="1:3" x14ac:dyDescent="0.25">
      <c r="A413" s="6" t="s">
        <v>156</v>
      </c>
      <c r="B413" s="6">
        <v>0</v>
      </c>
      <c r="C413" s="13">
        <v>0</v>
      </c>
    </row>
    <row r="414" spans="1:3" x14ac:dyDescent="0.25">
      <c r="A414" s="5" t="s">
        <v>22</v>
      </c>
      <c r="B414" s="5">
        <v>0</v>
      </c>
      <c r="C414" s="12">
        <v>0</v>
      </c>
    </row>
    <row r="415" spans="1:3" x14ac:dyDescent="0.25">
      <c r="A415" s="6" t="s">
        <v>46</v>
      </c>
      <c r="B415" s="6">
        <v>0</v>
      </c>
      <c r="C415" s="13">
        <v>0</v>
      </c>
    </row>
    <row r="416" spans="1:3" x14ac:dyDescent="0.25">
      <c r="A416" s="5" t="s">
        <v>23</v>
      </c>
      <c r="B416" s="5">
        <v>0</v>
      </c>
      <c r="C416" s="12">
        <v>0</v>
      </c>
    </row>
    <row r="417" spans="1:3" x14ac:dyDescent="0.25">
      <c r="A417" s="6" t="s">
        <v>25</v>
      </c>
      <c r="B417" s="6">
        <v>0</v>
      </c>
      <c r="C417" s="13">
        <v>0</v>
      </c>
    </row>
    <row r="418" spans="1:3" x14ac:dyDescent="0.25">
      <c r="A418" s="5" t="s">
        <v>193</v>
      </c>
      <c r="B418" s="5">
        <v>0</v>
      </c>
      <c r="C418" s="12">
        <v>0</v>
      </c>
    </row>
    <row r="419" spans="1:3" x14ac:dyDescent="0.25">
      <c r="A419" s="6" t="s">
        <v>50</v>
      </c>
      <c r="B419" s="6">
        <v>0</v>
      </c>
      <c r="C419" s="13">
        <v>0</v>
      </c>
    </row>
    <row r="420" spans="1:3" x14ac:dyDescent="0.25">
      <c r="A420" s="5" t="s">
        <v>62</v>
      </c>
      <c r="B420" s="5">
        <v>0</v>
      </c>
      <c r="C420" s="12">
        <v>0</v>
      </c>
    </row>
    <row r="421" spans="1:3" x14ac:dyDescent="0.25">
      <c r="A421" s="6" t="s">
        <v>51</v>
      </c>
      <c r="B421" s="6">
        <v>0</v>
      </c>
      <c r="C421" s="13">
        <v>0</v>
      </c>
    </row>
    <row r="422" spans="1:3" x14ac:dyDescent="0.25">
      <c r="A422" s="5" t="s">
        <v>83</v>
      </c>
      <c r="B422" s="5">
        <v>0</v>
      </c>
      <c r="C422" s="12">
        <v>0</v>
      </c>
    </row>
    <row r="423" spans="1:3" x14ac:dyDescent="0.25">
      <c r="A423" s="6" t="s">
        <v>85</v>
      </c>
      <c r="B423" s="6">
        <v>0</v>
      </c>
      <c r="C423" s="13">
        <v>0</v>
      </c>
    </row>
    <row r="424" spans="1:3" x14ac:dyDescent="0.25">
      <c r="A424" s="5" t="s">
        <v>134</v>
      </c>
      <c r="B424" s="5">
        <v>0</v>
      </c>
      <c r="C424" s="12">
        <v>0</v>
      </c>
    </row>
    <row r="425" spans="1:3" x14ac:dyDescent="0.25">
      <c r="A425" s="6" t="s">
        <v>53</v>
      </c>
      <c r="B425" s="6">
        <v>0</v>
      </c>
      <c r="C425" s="13">
        <v>0</v>
      </c>
    </row>
    <row r="426" spans="1:3" x14ac:dyDescent="0.25">
      <c r="A426" s="5" t="s">
        <v>5</v>
      </c>
      <c r="B426" s="5">
        <v>0</v>
      </c>
      <c r="C426" s="12">
        <v>0</v>
      </c>
    </row>
    <row r="427" spans="1:3" x14ac:dyDescent="0.25">
      <c r="A427" s="6" t="s">
        <v>9</v>
      </c>
      <c r="B427" s="6">
        <v>0</v>
      </c>
      <c r="C427" s="13">
        <v>0</v>
      </c>
    </row>
    <row r="428" spans="1:3" x14ac:dyDescent="0.25">
      <c r="A428" s="5" t="s">
        <v>11</v>
      </c>
      <c r="B428" s="5">
        <v>0</v>
      </c>
      <c r="C428" s="12">
        <v>0</v>
      </c>
    </row>
    <row r="429" spans="1:3" x14ac:dyDescent="0.25">
      <c r="A429" s="6" t="s">
        <v>296</v>
      </c>
      <c r="B429" s="6">
        <v>0</v>
      </c>
      <c r="C429" s="13">
        <v>0</v>
      </c>
    </row>
    <row r="430" spans="1:3" x14ac:dyDescent="0.25">
      <c r="A430" s="5" t="s">
        <v>35</v>
      </c>
      <c r="B430" s="5">
        <v>0</v>
      </c>
      <c r="C430" s="12">
        <v>0</v>
      </c>
    </row>
    <row r="431" spans="1:3" x14ac:dyDescent="0.25">
      <c r="A431" s="6" t="s">
        <v>70</v>
      </c>
      <c r="B431" s="6">
        <v>0</v>
      </c>
      <c r="C431" s="13">
        <v>0</v>
      </c>
    </row>
    <row r="432" spans="1:3" x14ac:dyDescent="0.25">
      <c r="A432" s="5" t="s">
        <v>97</v>
      </c>
      <c r="B432" s="5">
        <v>0</v>
      </c>
      <c r="C432" s="12">
        <v>0</v>
      </c>
    </row>
    <row r="433" spans="1:3" x14ac:dyDescent="0.25">
      <c r="A433" s="6" t="s">
        <v>181</v>
      </c>
      <c r="B433" s="6">
        <v>0</v>
      </c>
      <c r="C433" s="13">
        <v>0</v>
      </c>
    </row>
    <row r="434" spans="1:3" x14ac:dyDescent="0.25">
      <c r="A434" s="5" t="s">
        <v>36</v>
      </c>
      <c r="B434" s="5">
        <v>0</v>
      </c>
      <c r="C434" s="12">
        <v>0</v>
      </c>
    </row>
    <row r="435" spans="1:3" x14ac:dyDescent="0.25">
      <c r="A435" s="6" t="s">
        <v>222</v>
      </c>
      <c r="B435" s="6">
        <v>0</v>
      </c>
      <c r="C435" s="13">
        <v>0</v>
      </c>
    </row>
    <row r="436" spans="1:3" x14ac:dyDescent="0.25">
      <c r="A436" s="5" t="s">
        <v>37</v>
      </c>
      <c r="B436" s="5">
        <v>0</v>
      </c>
      <c r="C436" s="12">
        <v>0</v>
      </c>
    </row>
    <row r="437" spans="1:3" x14ac:dyDescent="0.25">
      <c r="A437" s="6" t="s">
        <v>16</v>
      </c>
      <c r="B437" s="6">
        <v>0</v>
      </c>
      <c r="C437" s="13">
        <v>0</v>
      </c>
    </row>
    <row r="438" spans="1:3" x14ac:dyDescent="0.25">
      <c r="A438" s="5" t="s">
        <v>186</v>
      </c>
      <c r="B438" s="5">
        <v>0</v>
      </c>
      <c r="C438" s="12">
        <v>0</v>
      </c>
    </row>
    <row r="439" spans="1:3" x14ac:dyDescent="0.25">
      <c r="A439" s="6" t="s">
        <v>114</v>
      </c>
      <c r="B439" s="6">
        <v>0</v>
      </c>
      <c r="C439" s="13">
        <v>0</v>
      </c>
    </row>
    <row r="440" spans="1:3" x14ac:dyDescent="0.25">
      <c r="A440" s="5" t="s">
        <v>18</v>
      </c>
      <c r="B440" s="5">
        <v>0</v>
      </c>
      <c r="C440" s="12">
        <v>0</v>
      </c>
    </row>
    <row r="441" spans="1:3" x14ac:dyDescent="0.25">
      <c r="A441" s="6" t="s">
        <v>41</v>
      </c>
      <c r="B441" s="6">
        <v>0</v>
      </c>
      <c r="C441" s="13">
        <v>0</v>
      </c>
    </row>
    <row r="442" spans="1:3" x14ac:dyDescent="0.25">
      <c r="A442" s="5" t="s">
        <v>267</v>
      </c>
      <c r="B442" s="5">
        <v>0</v>
      </c>
      <c r="C442" s="12">
        <v>0</v>
      </c>
    </row>
    <row r="443" spans="1:3" x14ac:dyDescent="0.25">
      <c r="A443" s="6" t="s">
        <v>60</v>
      </c>
      <c r="B443" s="6">
        <v>0</v>
      </c>
      <c r="C443" s="13">
        <v>0</v>
      </c>
    </row>
    <row r="444" spans="1:3" x14ac:dyDescent="0.25">
      <c r="A444" s="5" t="s">
        <v>20</v>
      </c>
      <c r="B444" s="5">
        <v>0</v>
      </c>
      <c r="C444" s="12">
        <v>0</v>
      </c>
    </row>
    <row r="445" spans="1:3" x14ac:dyDescent="0.25">
      <c r="A445" s="6" t="s">
        <v>43</v>
      </c>
      <c r="B445" s="6">
        <v>0</v>
      </c>
      <c r="C445" s="13">
        <v>0</v>
      </c>
    </row>
    <row r="446" spans="1:3" x14ac:dyDescent="0.25">
      <c r="A446" s="5" t="s">
        <v>44</v>
      </c>
      <c r="B446" s="5">
        <v>0</v>
      </c>
      <c r="C446" s="12">
        <v>0</v>
      </c>
    </row>
    <row r="447" spans="1:3" x14ac:dyDescent="0.25">
      <c r="A447" s="6" t="s">
        <v>156</v>
      </c>
      <c r="B447" s="6">
        <v>0</v>
      </c>
      <c r="C447" s="13">
        <v>0</v>
      </c>
    </row>
    <row r="448" spans="1:3" x14ac:dyDescent="0.25">
      <c r="A448" s="5" t="s">
        <v>238</v>
      </c>
      <c r="B448" s="5">
        <v>0</v>
      </c>
      <c r="C448" s="12">
        <v>0</v>
      </c>
    </row>
    <row r="449" spans="1:3" x14ac:dyDescent="0.25">
      <c r="A449" s="6" t="s">
        <v>22</v>
      </c>
      <c r="B449" s="6">
        <v>0</v>
      </c>
      <c r="C449" s="13">
        <v>0</v>
      </c>
    </row>
    <row r="450" spans="1:3" x14ac:dyDescent="0.25">
      <c r="A450" s="5" t="s">
        <v>61</v>
      </c>
      <c r="B450" s="5">
        <v>0</v>
      </c>
      <c r="C450" s="12">
        <v>0</v>
      </c>
    </row>
    <row r="451" spans="1:3" x14ac:dyDescent="0.25">
      <c r="A451" s="6" t="s">
        <v>46</v>
      </c>
      <c r="B451" s="6">
        <v>0</v>
      </c>
      <c r="C451" s="13">
        <v>0</v>
      </c>
    </row>
    <row r="452" spans="1:3" x14ac:dyDescent="0.25">
      <c r="A452" s="5" t="s">
        <v>23</v>
      </c>
      <c r="B452" s="5">
        <v>0</v>
      </c>
      <c r="C452" s="12">
        <v>0</v>
      </c>
    </row>
    <row r="453" spans="1:3" x14ac:dyDescent="0.25">
      <c r="A453" s="6" t="s">
        <v>200</v>
      </c>
      <c r="B453" s="6">
        <v>0</v>
      </c>
      <c r="C453" s="13">
        <v>0</v>
      </c>
    </row>
    <row r="454" spans="1:3" x14ac:dyDescent="0.25">
      <c r="A454" s="5" t="s">
        <v>25</v>
      </c>
      <c r="B454" s="5">
        <v>0</v>
      </c>
      <c r="C454" s="12">
        <v>0</v>
      </c>
    </row>
    <row r="455" spans="1:3" x14ac:dyDescent="0.25">
      <c r="A455" s="6" t="s">
        <v>50</v>
      </c>
      <c r="B455" s="6">
        <v>0</v>
      </c>
      <c r="C455" s="13">
        <v>0</v>
      </c>
    </row>
    <row r="456" spans="1:3" x14ac:dyDescent="0.25">
      <c r="A456" s="5" t="s">
        <v>62</v>
      </c>
      <c r="B456" s="5">
        <v>0</v>
      </c>
      <c r="C456" s="12">
        <v>0</v>
      </c>
    </row>
    <row r="457" spans="1:3" x14ac:dyDescent="0.25">
      <c r="A457" s="6" t="s">
        <v>315</v>
      </c>
      <c r="B457" s="6">
        <v>0</v>
      </c>
      <c r="C457" s="13">
        <v>0</v>
      </c>
    </row>
    <row r="458" spans="1:3" x14ac:dyDescent="0.25">
      <c r="A458" s="5" t="s">
        <v>83</v>
      </c>
      <c r="B458" s="5">
        <v>0</v>
      </c>
      <c r="C458" s="12">
        <v>0</v>
      </c>
    </row>
    <row r="459" spans="1:3" x14ac:dyDescent="0.25">
      <c r="A459" s="6" t="s">
        <v>261</v>
      </c>
      <c r="B459" s="6">
        <v>0</v>
      </c>
      <c r="C459" s="13">
        <v>0</v>
      </c>
    </row>
    <row r="460" spans="1:3" x14ac:dyDescent="0.25">
      <c r="A460" s="5" t="s">
        <v>85</v>
      </c>
      <c r="B460" s="5">
        <v>0</v>
      </c>
      <c r="C460" s="12">
        <v>0</v>
      </c>
    </row>
    <row r="461" spans="1:3" x14ac:dyDescent="0.25">
      <c r="A461" s="6" t="s">
        <v>134</v>
      </c>
      <c r="B461" s="6">
        <v>0</v>
      </c>
      <c r="C461" s="13">
        <v>0</v>
      </c>
    </row>
    <row r="462" spans="1:3" x14ac:dyDescent="0.25">
      <c r="A462" s="5" t="s">
        <v>53</v>
      </c>
      <c r="B462" s="5">
        <v>0</v>
      </c>
      <c r="C462" s="12">
        <v>0</v>
      </c>
    </row>
    <row r="463" spans="1:3" x14ac:dyDescent="0.25">
      <c r="A463" s="6" t="s">
        <v>321</v>
      </c>
      <c r="B463" s="6">
        <v>0</v>
      </c>
      <c r="C463" s="13">
        <v>0</v>
      </c>
    </row>
    <row r="464" spans="1:3" x14ac:dyDescent="0.25">
      <c r="A464" s="5" t="s">
        <v>5</v>
      </c>
      <c r="B464" s="5">
        <v>0</v>
      </c>
      <c r="C464" s="12">
        <v>0</v>
      </c>
    </row>
    <row r="465" spans="1:3" x14ac:dyDescent="0.25">
      <c r="A465" s="6" t="s">
        <v>9</v>
      </c>
      <c r="B465" s="6">
        <v>0</v>
      </c>
      <c r="C465" s="13">
        <v>0</v>
      </c>
    </row>
    <row r="466" spans="1:3" x14ac:dyDescent="0.25">
      <c r="A466" s="5" t="s">
        <v>11</v>
      </c>
      <c r="B466" s="5">
        <v>0</v>
      </c>
      <c r="C466" s="12">
        <v>0</v>
      </c>
    </row>
    <row r="467" spans="1:3" x14ac:dyDescent="0.25">
      <c r="A467" s="6" t="s">
        <v>15</v>
      </c>
      <c r="B467" s="6">
        <v>0</v>
      </c>
      <c r="C467" s="13">
        <v>0</v>
      </c>
    </row>
    <row r="468" spans="1:3" x14ac:dyDescent="0.25">
      <c r="A468" s="5" t="s">
        <v>70</v>
      </c>
      <c r="B468" s="5">
        <v>0</v>
      </c>
      <c r="C468" s="12">
        <v>0</v>
      </c>
    </row>
    <row r="469" spans="1:3" x14ac:dyDescent="0.25">
      <c r="A469" s="6" t="s">
        <v>59</v>
      </c>
      <c r="B469" s="6">
        <v>0</v>
      </c>
      <c r="C469" s="13">
        <v>0</v>
      </c>
    </row>
    <row r="470" spans="1:3" x14ac:dyDescent="0.25">
      <c r="A470" s="5" t="s">
        <v>97</v>
      </c>
      <c r="B470" s="5">
        <v>0</v>
      </c>
      <c r="C470" s="12">
        <v>0</v>
      </c>
    </row>
    <row r="471" spans="1:3" x14ac:dyDescent="0.25">
      <c r="A471" s="6" t="s">
        <v>181</v>
      </c>
      <c r="B471" s="6">
        <v>0</v>
      </c>
      <c r="C471" s="13">
        <v>0</v>
      </c>
    </row>
    <row r="472" spans="1:3" x14ac:dyDescent="0.25">
      <c r="A472" s="5" t="s">
        <v>36</v>
      </c>
      <c r="B472" s="5">
        <v>0</v>
      </c>
      <c r="C472" s="12">
        <v>0</v>
      </c>
    </row>
    <row r="473" spans="1:3" x14ac:dyDescent="0.25">
      <c r="A473" s="6" t="s">
        <v>222</v>
      </c>
      <c r="B473" s="6">
        <v>0</v>
      </c>
      <c r="C473" s="13">
        <v>0</v>
      </c>
    </row>
    <row r="474" spans="1:3" x14ac:dyDescent="0.25">
      <c r="A474" s="5" t="s">
        <v>16</v>
      </c>
      <c r="B474" s="5">
        <v>0</v>
      </c>
      <c r="C474" s="12">
        <v>0</v>
      </c>
    </row>
    <row r="475" spans="1:3" x14ac:dyDescent="0.25">
      <c r="A475" s="6" t="s">
        <v>184</v>
      </c>
      <c r="B475" s="6">
        <v>0</v>
      </c>
      <c r="C475" s="13">
        <v>0</v>
      </c>
    </row>
    <row r="476" spans="1:3" x14ac:dyDescent="0.25">
      <c r="A476" s="5" t="s">
        <v>186</v>
      </c>
      <c r="B476" s="5">
        <v>0</v>
      </c>
      <c r="C476" s="12">
        <v>0</v>
      </c>
    </row>
    <row r="477" spans="1:3" x14ac:dyDescent="0.25">
      <c r="A477" s="6" t="s">
        <v>335</v>
      </c>
      <c r="B477" s="6">
        <v>0</v>
      </c>
      <c r="C477" s="13">
        <v>0</v>
      </c>
    </row>
    <row r="478" spans="1:3" x14ac:dyDescent="0.25">
      <c r="A478" s="5" t="s">
        <v>18</v>
      </c>
      <c r="B478" s="5">
        <v>0</v>
      </c>
      <c r="C478" s="12">
        <v>0</v>
      </c>
    </row>
    <row r="479" spans="1:3" x14ac:dyDescent="0.25">
      <c r="A479" s="6" t="s">
        <v>41</v>
      </c>
      <c r="B479" s="6">
        <v>0</v>
      </c>
      <c r="C479" s="13">
        <v>0</v>
      </c>
    </row>
    <row r="480" spans="1:3" x14ac:dyDescent="0.25">
      <c r="A480" s="5" t="s">
        <v>60</v>
      </c>
      <c r="B480" s="5">
        <v>0</v>
      </c>
      <c r="C480" s="12">
        <v>0</v>
      </c>
    </row>
    <row r="481" spans="1:3" x14ac:dyDescent="0.25">
      <c r="A481" s="6" t="s">
        <v>20</v>
      </c>
      <c r="B481" s="6">
        <v>0</v>
      </c>
      <c r="C481" s="13">
        <v>0</v>
      </c>
    </row>
    <row r="482" spans="1:3" x14ac:dyDescent="0.25">
      <c r="A482" s="5" t="s">
        <v>44</v>
      </c>
      <c r="B482" s="5">
        <v>0</v>
      </c>
      <c r="C482" s="12">
        <v>0</v>
      </c>
    </row>
    <row r="483" spans="1:3" x14ac:dyDescent="0.25">
      <c r="A483" s="6" t="s">
        <v>22</v>
      </c>
      <c r="B483" s="6">
        <v>0</v>
      </c>
      <c r="C483" s="13">
        <v>0</v>
      </c>
    </row>
    <row r="484" spans="1:3" x14ac:dyDescent="0.25">
      <c r="A484" s="5" t="s">
        <v>46</v>
      </c>
      <c r="B484" s="5">
        <v>0</v>
      </c>
      <c r="C484" s="12">
        <v>0</v>
      </c>
    </row>
    <row r="485" spans="1:3" x14ac:dyDescent="0.25">
      <c r="A485" s="6" t="s">
        <v>23</v>
      </c>
      <c r="B485" s="6">
        <v>0</v>
      </c>
      <c r="C485" s="13">
        <v>0</v>
      </c>
    </row>
    <row r="486" spans="1:3" x14ac:dyDescent="0.25">
      <c r="A486" s="5" t="s">
        <v>78</v>
      </c>
      <c r="B486" s="5">
        <v>0</v>
      </c>
      <c r="C486" s="12">
        <v>0</v>
      </c>
    </row>
    <row r="487" spans="1:3" x14ac:dyDescent="0.25">
      <c r="A487" s="6" t="s">
        <v>25</v>
      </c>
      <c r="B487" s="6">
        <v>0</v>
      </c>
      <c r="C487" s="13">
        <v>0</v>
      </c>
    </row>
    <row r="488" spans="1:3" x14ac:dyDescent="0.25">
      <c r="A488" s="5" t="s">
        <v>62</v>
      </c>
      <c r="B488" s="5">
        <v>0</v>
      </c>
      <c r="C488" s="12">
        <v>0</v>
      </c>
    </row>
    <row r="489" spans="1:3" x14ac:dyDescent="0.25">
      <c r="A489" s="6" t="s">
        <v>82</v>
      </c>
      <c r="B489" s="6">
        <v>0</v>
      </c>
      <c r="C489" s="13">
        <v>0</v>
      </c>
    </row>
    <row r="490" spans="1:3" x14ac:dyDescent="0.25">
      <c r="A490" s="5" t="s">
        <v>83</v>
      </c>
      <c r="B490" s="5">
        <v>0</v>
      </c>
      <c r="C490" s="12">
        <v>0</v>
      </c>
    </row>
    <row r="491" spans="1:3" x14ac:dyDescent="0.25">
      <c r="A491" s="6" t="s">
        <v>261</v>
      </c>
      <c r="B491" s="6">
        <v>0</v>
      </c>
      <c r="C491" s="13">
        <v>0</v>
      </c>
    </row>
    <row r="492" spans="1:3" x14ac:dyDescent="0.25">
      <c r="A492" s="5" t="s">
        <v>85</v>
      </c>
      <c r="B492" s="5">
        <v>0</v>
      </c>
      <c r="C492" s="12">
        <v>0</v>
      </c>
    </row>
    <row r="493" spans="1:3" x14ac:dyDescent="0.25">
      <c r="A493" s="6" t="s">
        <v>101</v>
      </c>
      <c r="B493" s="6">
        <v>0</v>
      </c>
      <c r="C493" s="13">
        <v>0</v>
      </c>
    </row>
    <row r="494" spans="1:3" x14ac:dyDescent="0.25">
      <c r="A494" s="5" t="s">
        <v>53</v>
      </c>
      <c r="B494" s="5">
        <v>0</v>
      </c>
      <c r="C494" s="12">
        <v>0</v>
      </c>
    </row>
    <row r="495" spans="1:3" x14ac:dyDescent="0.25">
      <c r="A495" s="6" t="s">
        <v>348</v>
      </c>
      <c r="B495" s="6">
        <v>0</v>
      </c>
      <c r="C495" s="13">
        <v>0</v>
      </c>
    </row>
    <row r="496" spans="1:3" x14ac:dyDescent="0.25">
      <c r="A496" s="5" t="s">
        <v>321</v>
      </c>
      <c r="B496" s="5">
        <v>0</v>
      </c>
      <c r="C496" s="12">
        <v>0</v>
      </c>
    </row>
    <row r="497" spans="1:3" x14ac:dyDescent="0.25">
      <c r="A497" s="6" t="s">
        <v>27</v>
      </c>
      <c r="B497" s="6">
        <v>0</v>
      </c>
      <c r="C497" s="13">
        <v>0</v>
      </c>
    </row>
    <row r="498" spans="1:3" x14ac:dyDescent="0.25">
      <c r="A498" s="5" t="s">
        <v>5</v>
      </c>
      <c r="B498" s="5">
        <v>0</v>
      </c>
      <c r="C498" s="12">
        <v>0</v>
      </c>
    </row>
    <row r="499" spans="1:3" x14ac:dyDescent="0.25">
      <c r="A499" s="6" t="s">
        <v>11</v>
      </c>
      <c r="B499" s="6">
        <v>0</v>
      </c>
      <c r="C499" s="13">
        <v>0</v>
      </c>
    </row>
    <row r="500" spans="1:3" x14ac:dyDescent="0.25">
      <c r="A500" s="5" t="s">
        <v>35</v>
      </c>
      <c r="B500" s="5">
        <v>0</v>
      </c>
      <c r="C500" s="12">
        <v>0</v>
      </c>
    </row>
    <row r="501" spans="1:3" x14ac:dyDescent="0.25">
      <c r="A501" s="6" t="s">
        <v>15</v>
      </c>
      <c r="B501" s="6">
        <v>0</v>
      </c>
      <c r="C501" s="13">
        <v>0</v>
      </c>
    </row>
    <row r="502" spans="1:3" x14ac:dyDescent="0.25">
      <c r="A502" s="5" t="s">
        <v>70</v>
      </c>
      <c r="B502" s="5">
        <v>0</v>
      </c>
      <c r="C502" s="12">
        <v>0</v>
      </c>
    </row>
    <row r="503" spans="1:3" x14ac:dyDescent="0.25">
      <c r="A503" s="6" t="s">
        <v>59</v>
      </c>
      <c r="B503" s="6">
        <v>0</v>
      </c>
      <c r="C503" s="13">
        <v>0</v>
      </c>
    </row>
    <row r="504" spans="1:3" x14ac:dyDescent="0.25">
      <c r="A504" s="5" t="s">
        <v>97</v>
      </c>
      <c r="B504" s="5">
        <v>0</v>
      </c>
      <c r="C504" s="12">
        <v>0</v>
      </c>
    </row>
    <row r="505" spans="1:3" x14ac:dyDescent="0.25">
      <c r="A505" s="6" t="s">
        <v>181</v>
      </c>
      <c r="B505" s="6">
        <v>0</v>
      </c>
      <c r="C505" s="13">
        <v>0</v>
      </c>
    </row>
    <row r="506" spans="1:3" x14ac:dyDescent="0.25">
      <c r="A506" s="5" t="s">
        <v>359</v>
      </c>
      <c r="B506" s="5">
        <v>0</v>
      </c>
      <c r="C506" s="12">
        <v>0</v>
      </c>
    </row>
    <row r="507" spans="1:3" x14ac:dyDescent="0.25">
      <c r="A507" s="6" t="s">
        <v>36</v>
      </c>
      <c r="B507" s="6">
        <v>0</v>
      </c>
      <c r="C507" s="13">
        <v>0</v>
      </c>
    </row>
    <row r="508" spans="1:3" x14ac:dyDescent="0.25">
      <c r="A508" s="5" t="s">
        <v>222</v>
      </c>
      <c r="B508" s="5">
        <v>0</v>
      </c>
      <c r="C508" s="12">
        <v>0</v>
      </c>
    </row>
    <row r="509" spans="1:3" x14ac:dyDescent="0.25">
      <c r="A509" s="6" t="s">
        <v>16</v>
      </c>
      <c r="B509" s="6">
        <v>0</v>
      </c>
      <c r="C509" s="13">
        <v>0</v>
      </c>
    </row>
    <row r="510" spans="1:3" x14ac:dyDescent="0.25">
      <c r="A510" s="5" t="s">
        <v>184</v>
      </c>
      <c r="B510" s="5">
        <v>0</v>
      </c>
      <c r="C510" s="12">
        <v>0</v>
      </c>
    </row>
    <row r="511" spans="1:3" x14ac:dyDescent="0.25">
      <c r="A511" s="6" t="s">
        <v>186</v>
      </c>
      <c r="B511" s="6">
        <v>0</v>
      </c>
      <c r="C511" s="13">
        <v>0</v>
      </c>
    </row>
    <row r="512" spans="1:3" x14ac:dyDescent="0.25">
      <c r="A512" s="5" t="s">
        <v>18</v>
      </c>
      <c r="B512" s="5">
        <v>0</v>
      </c>
      <c r="C512" s="12">
        <v>0</v>
      </c>
    </row>
    <row r="513" spans="1:3" x14ac:dyDescent="0.25">
      <c r="A513" s="6" t="s">
        <v>41</v>
      </c>
      <c r="B513" s="6">
        <v>0</v>
      </c>
      <c r="C513" s="13">
        <v>0</v>
      </c>
    </row>
    <row r="514" spans="1:3" x14ac:dyDescent="0.25">
      <c r="A514" s="5" t="s">
        <v>60</v>
      </c>
      <c r="B514" s="5">
        <v>0</v>
      </c>
      <c r="C514" s="12">
        <v>0</v>
      </c>
    </row>
    <row r="515" spans="1:3" x14ac:dyDescent="0.25">
      <c r="A515" s="6" t="s">
        <v>20</v>
      </c>
      <c r="B515" s="6">
        <v>0</v>
      </c>
      <c r="C515" s="13">
        <v>0</v>
      </c>
    </row>
    <row r="516" spans="1:3" x14ac:dyDescent="0.25">
      <c r="A516" s="5" t="s">
        <v>44</v>
      </c>
      <c r="B516" s="5">
        <v>0</v>
      </c>
      <c r="C516" s="12">
        <v>0</v>
      </c>
    </row>
    <row r="517" spans="1:3" x14ac:dyDescent="0.25">
      <c r="A517" s="6" t="s">
        <v>156</v>
      </c>
      <c r="B517" s="6">
        <v>0</v>
      </c>
      <c r="C517" s="13">
        <v>0</v>
      </c>
    </row>
    <row r="518" spans="1:3" x14ac:dyDescent="0.25">
      <c r="A518" s="5" t="s">
        <v>238</v>
      </c>
      <c r="B518" s="5">
        <v>0</v>
      </c>
      <c r="C518" s="12">
        <v>0</v>
      </c>
    </row>
    <row r="519" spans="1:3" x14ac:dyDescent="0.25">
      <c r="A519" s="6" t="s">
        <v>22</v>
      </c>
      <c r="B519" s="6">
        <v>0</v>
      </c>
      <c r="C519" s="13">
        <v>0</v>
      </c>
    </row>
    <row r="520" spans="1:3" x14ac:dyDescent="0.25">
      <c r="A520" s="5" t="s">
        <v>46</v>
      </c>
      <c r="B520" s="5">
        <v>0</v>
      </c>
      <c r="C520" s="12">
        <v>0</v>
      </c>
    </row>
    <row r="521" spans="1:3" x14ac:dyDescent="0.25">
      <c r="A521" s="6" t="s">
        <v>23</v>
      </c>
      <c r="B521" s="6">
        <v>0</v>
      </c>
      <c r="C521" s="13">
        <v>0</v>
      </c>
    </row>
    <row r="522" spans="1:3" x14ac:dyDescent="0.25">
      <c r="A522" s="5" t="s">
        <v>78</v>
      </c>
      <c r="B522" s="5">
        <v>0</v>
      </c>
      <c r="C522" s="12">
        <v>0</v>
      </c>
    </row>
    <row r="523" spans="1:3" x14ac:dyDescent="0.25">
      <c r="A523" s="6" t="s">
        <v>268</v>
      </c>
      <c r="B523" s="6">
        <v>0</v>
      </c>
      <c r="C523" s="13">
        <v>0</v>
      </c>
    </row>
    <row r="524" spans="1:3" x14ac:dyDescent="0.25">
      <c r="A524" s="5" t="s">
        <v>200</v>
      </c>
      <c r="B524" s="5">
        <v>0</v>
      </c>
      <c r="C524" s="12">
        <v>0</v>
      </c>
    </row>
    <row r="525" spans="1:3" x14ac:dyDescent="0.25">
      <c r="A525" s="6" t="s">
        <v>25</v>
      </c>
      <c r="B525" s="6">
        <v>0</v>
      </c>
      <c r="C525" s="13">
        <v>0</v>
      </c>
    </row>
    <row r="526" spans="1:3" x14ac:dyDescent="0.25">
      <c r="A526" s="5" t="s">
        <v>50</v>
      </c>
      <c r="B526" s="5">
        <v>0</v>
      </c>
      <c r="C526" s="12">
        <v>0</v>
      </c>
    </row>
    <row r="527" spans="1:3" x14ac:dyDescent="0.25">
      <c r="A527" s="6" t="s">
        <v>82</v>
      </c>
      <c r="B527" s="6">
        <v>0</v>
      </c>
      <c r="C527" s="13">
        <v>0</v>
      </c>
    </row>
    <row r="528" spans="1:3" x14ac:dyDescent="0.25">
      <c r="A528" s="5" t="s">
        <v>83</v>
      </c>
      <c r="B528" s="5">
        <v>0</v>
      </c>
      <c r="C528" s="12">
        <v>0</v>
      </c>
    </row>
    <row r="529" spans="1:3" x14ac:dyDescent="0.25">
      <c r="A529" s="6" t="s">
        <v>261</v>
      </c>
      <c r="B529" s="6">
        <v>0</v>
      </c>
      <c r="C529" s="13">
        <v>0</v>
      </c>
    </row>
    <row r="530" spans="1:3" x14ac:dyDescent="0.25">
      <c r="A530" s="5" t="s">
        <v>85</v>
      </c>
      <c r="B530" s="5">
        <v>0</v>
      </c>
      <c r="C530" s="12">
        <v>0</v>
      </c>
    </row>
    <row r="531" spans="1:3" x14ac:dyDescent="0.25">
      <c r="A531" s="6" t="s">
        <v>53</v>
      </c>
      <c r="B531" s="6">
        <v>0</v>
      </c>
      <c r="C531" s="13">
        <v>0</v>
      </c>
    </row>
    <row r="532" spans="1:3" x14ac:dyDescent="0.25">
      <c r="A532" s="5" t="s">
        <v>89</v>
      </c>
      <c r="B532" s="5">
        <v>0</v>
      </c>
      <c r="C532" s="12">
        <v>0</v>
      </c>
    </row>
    <row r="533" spans="1:3" x14ac:dyDescent="0.25">
      <c r="A533" s="6" t="s">
        <v>29</v>
      </c>
      <c r="B533" s="6">
        <v>0</v>
      </c>
      <c r="C533" s="13">
        <v>0</v>
      </c>
    </row>
    <row r="534" spans="1:3" x14ac:dyDescent="0.25">
      <c r="A534" s="5" t="s">
        <v>5</v>
      </c>
      <c r="B534" s="5">
        <v>0</v>
      </c>
      <c r="C534" s="12">
        <v>0</v>
      </c>
    </row>
    <row r="535" spans="1:3" x14ac:dyDescent="0.25">
      <c r="A535" s="6" t="s">
        <v>9</v>
      </c>
      <c r="B535" s="6">
        <v>0</v>
      </c>
      <c r="C535" s="13">
        <v>0</v>
      </c>
    </row>
    <row r="536" spans="1:3" x14ac:dyDescent="0.25">
      <c r="A536" s="5" t="s">
        <v>11</v>
      </c>
      <c r="B536" s="5">
        <v>0</v>
      </c>
      <c r="C536" s="12">
        <v>0</v>
      </c>
    </row>
    <row r="537" spans="1:3" x14ac:dyDescent="0.25">
      <c r="A537" s="6" t="s">
        <v>35</v>
      </c>
      <c r="B537" s="6">
        <v>0</v>
      </c>
      <c r="C537" s="13">
        <v>0</v>
      </c>
    </row>
    <row r="538" spans="1:3" x14ac:dyDescent="0.25">
      <c r="A538" s="5" t="s">
        <v>379</v>
      </c>
      <c r="B538" s="5">
        <v>0</v>
      </c>
      <c r="C538" s="12">
        <v>0</v>
      </c>
    </row>
    <row r="539" spans="1:3" x14ac:dyDescent="0.25">
      <c r="A539" s="6" t="s">
        <v>70</v>
      </c>
      <c r="B539" s="6">
        <v>0</v>
      </c>
      <c r="C539" s="13">
        <v>0</v>
      </c>
    </row>
    <row r="540" spans="1:3" x14ac:dyDescent="0.25">
      <c r="A540" s="5" t="s">
        <v>59</v>
      </c>
      <c r="B540" s="5">
        <v>0</v>
      </c>
      <c r="C540" s="12">
        <v>0</v>
      </c>
    </row>
    <row r="541" spans="1:3" x14ac:dyDescent="0.25">
      <c r="A541" s="6" t="s">
        <v>380</v>
      </c>
      <c r="B541" s="6">
        <v>0</v>
      </c>
      <c r="C541" s="13">
        <v>0</v>
      </c>
    </row>
    <row r="542" spans="1:3" x14ac:dyDescent="0.25">
      <c r="A542" s="5" t="s">
        <v>181</v>
      </c>
      <c r="B542" s="5">
        <v>0</v>
      </c>
      <c r="C542" s="12">
        <v>0</v>
      </c>
    </row>
    <row r="543" spans="1:3" x14ac:dyDescent="0.25">
      <c r="A543" s="6" t="s">
        <v>36</v>
      </c>
      <c r="B543" s="6">
        <v>0</v>
      </c>
      <c r="C543" s="13">
        <v>0</v>
      </c>
    </row>
    <row r="544" spans="1:3" x14ac:dyDescent="0.25">
      <c r="A544" s="5" t="s">
        <v>222</v>
      </c>
      <c r="B544" s="5">
        <v>0</v>
      </c>
      <c r="C544" s="12">
        <v>0</v>
      </c>
    </row>
    <row r="545" spans="1:3" x14ac:dyDescent="0.25">
      <c r="A545" s="6" t="s">
        <v>37</v>
      </c>
      <c r="B545" s="6">
        <v>0</v>
      </c>
      <c r="C545" s="13">
        <v>0</v>
      </c>
    </row>
    <row r="546" spans="1:3" x14ac:dyDescent="0.25">
      <c r="A546" s="5" t="s">
        <v>16</v>
      </c>
      <c r="B546" s="5">
        <v>0</v>
      </c>
      <c r="C546" s="12">
        <v>0</v>
      </c>
    </row>
    <row r="547" spans="1:3" x14ac:dyDescent="0.25">
      <c r="A547" s="6" t="s">
        <v>114</v>
      </c>
      <c r="B547" s="6">
        <v>0</v>
      </c>
      <c r="C547" s="13">
        <v>0</v>
      </c>
    </row>
    <row r="548" spans="1:3" x14ac:dyDescent="0.25">
      <c r="A548" s="5" t="s">
        <v>18</v>
      </c>
      <c r="B548" s="5">
        <v>0</v>
      </c>
      <c r="C548" s="12">
        <v>0</v>
      </c>
    </row>
    <row r="549" spans="1:3" x14ac:dyDescent="0.25">
      <c r="A549" s="6" t="s">
        <v>41</v>
      </c>
      <c r="B549" s="6">
        <v>0</v>
      </c>
      <c r="C549" s="13">
        <v>0</v>
      </c>
    </row>
    <row r="550" spans="1:3" x14ac:dyDescent="0.25">
      <c r="A550" s="5" t="s">
        <v>383</v>
      </c>
      <c r="B550" s="5">
        <v>0</v>
      </c>
      <c r="C550" s="12">
        <v>0</v>
      </c>
    </row>
    <row r="551" spans="1:3" x14ac:dyDescent="0.25">
      <c r="A551" s="6" t="s">
        <v>60</v>
      </c>
      <c r="B551" s="6">
        <v>0</v>
      </c>
      <c r="C551" s="13">
        <v>0</v>
      </c>
    </row>
    <row r="552" spans="1:3" x14ac:dyDescent="0.25">
      <c r="A552" s="5" t="s">
        <v>20</v>
      </c>
      <c r="B552" s="5">
        <v>0</v>
      </c>
      <c r="C552" s="12">
        <v>0</v>
      </c>
    </row>
    <row r="553" spans="1:3" x14ac:dyDescent="0.25">
      <c r="A553" s="6" t="s">
        <v>43</v>
      </c>
      <c r="B553" s="6">
        <v>0</v>
      </c>
      <c r="C553" s="13">
        <v>0</v>
      </c>
    </row>
    <row r="554" spans="1:3" x14ac:dyDescent="0.25">
      <c r="A554" s="5" t="s">
        <v>384</v>
      </c>
      <c r="B554" s="5">
        <v>0</v>
      </c>
      <c r="C554" s="12">
        <v>0</v>
      </c>
    </row>
    <row r="555" spans="1:3" x14ac:dyDescent="0.25">
      <c r="A555" s="6" t="s">
        <v>238</v>
      </c>
      <c r="B555" s="6">
        <v>0</v>
      </c>
      <c r="C555" s="13">
        <v>0</v>
      </c>
    </row>
    <row r="556" spans="1:3" x14ac:dyDescent="0.25">
      <c r="A556" s="5" t="s">
        <v>22</v>
      </c>
      <c r="B556" s="5">
        <v>0</v>
      </c>
      <c r="C556" s="12">
        <v>0</v>
      </c>
    </row>
    <row r="557" spans="1:3" x14ac:dyDescent="0.25">
      <c r="A557" s="6" t="s">
        <v>61</v>
      </c>
      <c r="B557" s="6">
        <v>0</v>
      </c>
      <c r="C557" s="13">
        <v>0</v>
      </c>
    </row>
    <row r="558" spans="1:3" x14ac:dyDescent="0.25">
      <c r="A558" s="5" t="s">
        <v>46</v>
      </c>
      <c r="B558" s="5">
        <v>0</v>
      </c>
      <c r="C558" s="12">
        <v>0</v>
      </c>
    </row>
    <row r="559" spans="1:3" x14ac:dyDescent="0.25">
      <c r="A559" s="6" t="s">
        <v>23</v>
      </c>
      <c r="B559" s="6">
        <v>0</v>
      </c>
      <c r="C559" s="13">
        <v>0</v>
      </c>
    </row>
    <row r="560" spans="1:3" x14ac:dyDescent="0.25">
      <c r="A560" s="5" t="s">
        <v>268</v>
      </c>
      <c r="B560" s="5">
        <v>0</v>
      </c>
      <c r="C560" s="12">
        <v>0</v>
      </c>
    </row>
    <row r="561" spans="1:3" x14ac:dyDescent="0.25">
      <c r="A561" s="6" t="s">
        <v>200</v>
      </c>
      <c r="B561" s="6">
        <v>0</v>
      </c>
      <c r="C561" s="13">
        <v>0</v>
      </c>
    </row>
    <row r="562" spans="1:3" x14ac:dyDescent="0.25">
      <c r="A562" s="5" t="s">
        <v>25</v>
      </c>
      <c r="B562" s="5">
        <v>0</v>
      </c>
      <c r="C562" s="12">
        <v>0</v>
      </c>
    </row>
    <row r="563" spans="1:3" x14ac:dyDescent="0.25">
      <c r="A563" s="6" t="s">
        <v>50</v>
      </c>
      <c r="B563" s="6">
        <v>0</v>
      </c>
      <c r="C563" s="13">
        <v>0</v>
      </c>
    </row>
    <row r="564" spans="1:3" x14ac:dyDescent="0.25">
      <c r="A564" s="5" t="s">
        <v>62</v>
      </c>
      <c r="B564" s="5">
        <v>0</v>
      </c>
      <c r="C564" s="12">
        <v>0</v>
      </c>
    </row>
    <row r="565" spans="1:3" x14ac:dyDescent="0.25">
      <c r="A565" s="6" t="s">
        <v>51</v>
      </c>
      <c r="B565" s="6">
        <v>0</v>
      </c>
      <c r="C565" s="13">
        <v>0</v>
      </c>
    </row>
    <row r="566" spans="1:3" x14ac:dyDescent="0.25">
      <c r="A566" s="5" t="s">
        <v>83</v>
      </c>
      <c r="B566" s="5">
        <v>0</v>
      </c>
      <c r="C566" s="12">
        <v>0</v>
      </c>
    </row>
    <row r="567" spans="1:3" x14ac:dyDescent="0.25">
      <c r="A567" s="6" t="s">
        <v>261</v>
      </c>
      <c r="B567" s="6">
        <v>0</v>
      </c>
      <c r="C567" s="13">
        <v>0</v>
      </c>
    </row>
    <row r="568" spans="1:3" x14ac:dyDescent="0.25">
      <c r="A568" s="5" t="s">
        <v>85</v>
      </c>
      <c r="B568" s="5">
        <v>0</v>
      </c>
      <c r="C568" s="12">
        <v>0</v>
      </c>
    </row>
    <row r="569" spans="1:3" x14ac:dyDescent="0.25">
      <c r="A569" s="6" t="s">
        <v>53</v>
      </c>
      <c r="B569" s="6">
        <v>0</v>
      </c>
      <c r="C569" s="13">
        <v>0</v>
      </c>
    </row>
    <row r="570" spans="1:3" x14ac:dyDescent="0.25">
      <c r="A570" s="5" t="s">
        <v>321</v>
      </c>
      <c r="B570" s="5">
        <v>0</v>
      </c>
      <c r="C570" s="12">
        <v>0</v>
      </c>
    </row>
    <row r="571" spans="1:3" x14ac:dyDescent="0.25">
      <c r="A571" s="6" t="s">
        <v>27</v>
      </c>
      <c r="B571" s="6">
        <v>0</v>
      </c>
      <c r="C571" s="13">
        <v>0</v>
      </c>
    </row>
    <row r="572" spans="1:3" x14ac:dyDescent="0.25">
      <c r="A572" s="5" t="s">
        <v>29</v>
      </c>
      <c r="B572" s="5">
        <v>0</v>
      </c>
      <c r="C572" s="12">
        <v>0</v>
      </c>
    </row>
    <row r="573" spans="1:3" x14ac:dyDescent="0.25">
      <c r="A573" s="6" t="s">
        <v>5</v>
      </c>
      <c r="B573" s="6">
        <v>0</v>
      </c>
      <c r="C573" s="13">
        <v>0</v>
      </c>
    </row>
    <row r="574" spans="1:3" x14ac:dyDescent="0.25">
      <c r="A574" s="5" t="s">
        <v>9</v>
      </c>
      <c r="B574" s="5">
        <v>0</v>
      </c>
      <c r="C574" s="12">
        <v>0</v>
      </c>
    </row>
    <row r="575" spans="1:3" x14ac:dyDescent="0.25">
      <c r="A575" s="6" t="s">
        <v>11</v>
      </c>
      <c r="B575" s="6">
        <v>0</v>
      </c>
      <c r="C575" s="13">
        <v>0</v>
      </c>
    </row>
    <row r="576" spans="1:3" x14ac:dyDescent="0.25">
      <c r="A576" s="5" t="s">
        <v>296</v>
      </c>
      <c r="B576" s="5">
        <v>0</v>
      </c>
      <c r="C576" s="12">
        <v>0</v>
      </c>
    </row>
    <row r="577" spans="1:3" x14ac:dyDescent="0.25">
      <c r="A577" s="6" t="s">
        <v>35</v>
      </c>
      <c r="B577" s="6">
        <v>0</v>
      </c>
      <c r="C577" s="13">
        <v>0</v>
      </c>
    </row>
    <row r="578" spans="1:3" x14ac:dyDescent="0.25">
      <c r="A578" s="5" t="s">
        <v>70</v>
      </c>
      <c r="B578" s="5">
        <v>0</v>
      </c>
      <c r="C578" s="12">
        <v>0</v>
      </c>
    </row>
    <row r="579" spans="1:3" x14ac:dyDescent="0.25">
      <c r="A579" s="6" t="s">
        <v>394</v>
      </c>
      <c r="B579" s="6">
        <v>0</v>
      </c>
      <c r="C579" s="13">
        <v>0</v>
      </c>
    </row>
    <row r="580" spans="1:3" x14ac:dyDescent="0.25">
      <c r="A580" s="5" t="s">
        <v>380</v>
      </c>
      <c r="B580" s="5">
        <v>0</v>
      </c>
      <c r="C580" s="12">
        <v>0</v>
      </c>
    </row>
    <row r="581" spans="1:3" x14ac:dyDescent="0.25">
      <c r="A581" s="6" t="s">
        <v>181</v>
      </c>
      <c r="B581" s="6">
        <v>0</v>
      </c>
      <c r="C581" s="13">
        <v>0</v>
      </c>
    </row>
    <row r="582" spans="1:3" x14ac:dyDescent="0.25">
      <c r="A582" s="5" t="s">
        <v>36</v>
      </c>
      <c r="B582" s="5">
        <v>0</v>
      </c>
      <c r="C582" s="12">
        <v>0</v>
      </c>
    </row>
    <row r="583" spans="1:3" x14ac:dyDescent="0.25">
      <c r="A583" s="6" t="s">
        <v>208</v>
      </c>
      <c r="B583" s="6">
        <v>0</v>
      </c>
      <c r="C583" s="13">
        <v>0</v>
      </c>
    </row>
    <row r="584" spans="1:3" x14ac:dyDescent="0.25">
      <c r="A584" s="5" t="s">
        <v>37</v>
      </c>
      <c r="B584" s="5">
        <v>0</v>
      </c>
      <c r="C584" s="12">
        <v>0</v>
      </c>
    </row>
    <row r="585" spans="1:3" x14ac:dyDescent="0.25">
      <c r="A585" s="6" t="s">
        <v>16</v>
      </c>
      <c r="B585" s="6">
        <v>0</v>
      </c>
      <c r="C585" s="13">
        <v>0</v>
      </c>
    </row>
    <row r="586" spans="1:3" x14ac:dyDescent="0.25">
      <c r="A586" s="5" t="s">
        <v>186</v>
      </c>
      <c r="B586" s="5">
        <v>0</v>
      </c>
      <c r="C586" s="12">
        <v>0</v>
      </c>
    </row>
    <row r="587" spans="1:3" x14ac:dyDescent="0.25">
      <c r="A587" s="6" t="s">
        <v>114</v>
      </c>
      <c r="B587" s="6">
        <v>0</v>
      </c>
      <c r="C587" s="13">
        <v>0</v>
      </c>
    </row>
    <row r="588" spans="1:3" x14ac:dyDescent="0.25">
      <c r="A588" s="5" t="s">
        <v>335</v>
      </c>
      <c r="B588" s="5">
        <v>0</v>
      </c>
      <c r="C588" s="12">
        <v>0</v>
      </c>
    </row>
    <row r="589" spans="1:3" x14ac:dyDescent="0.25">
      <c r="A589" s="6" t="s">
        <v>18</v>
      </c>
      <c r="B589" s="6">
        <v>0</v>
      </c>
      <c r="C589" s="13">
        <v>0</v>
      </c>
    </row>
    <row r="590" spans="1:3" x14ac:dyDescent="0.25">
      <c r="A590" s="5" t="s">
        <v>41</v>
      </c>
      <c r="B590" s="5">
        <v>0</v>
      </c>
      <c r="C590" s="12">
        <v>0</v>
      </c>
    </row>
    <row r="591" spans="1:3" x14ac:dyDescent="0.25">
      <c r="A591" s="6" t="s">
        <v>118</v>
      </c>
      <c r="B591" s="6">
        <v>0</v>
      </c>
      <c r="C591" s="13">
        <v>0</v>
      </c>
    </row>
    <row r="592" spans="1:3" x14ac:dyDescent="0.25">
      <c r="A592" s="5" t="s">
        <v>20</v>
      </c>
      <c r="B592" s="5">
        <v>0</v>
      </c>
      <c r="C592" s="12">
        <v>0</v>
      </c>
    </row>
    <row r="593" spans="1:3" x14ac:dyDescent="0.25">
      <c r="A593" s="6" t="s">
        <v>43</v>
      </c>
      <c r="B593" s="6">
        <v>0</v>
      </c>
      <c r="C593" s="13">
        <v>0</v>
      </c>
    </row>
    <row r="594" spans="1:3" x14ac:dyDescent="0.25">
      <c r="A594" s="5" t="s">
        <v>99</v>
      </c>
      <c r="B594" s="5">
        <v>0</v>
      </c>
      <c r="C594" s="12">
        <v>0</v>
      </c>
    </row>
    <row r="595" spans="1:3" x14ac:dyDescent="0.25">
      <c r="A595" s="6" t="s">
        <v>156</v>
      </c>
      <c r="B595" s="6">
        <v>0</v>
      </c>
      <c r="C595" s="13">
        <v>0</v>
      </c>
    </row>
    <row r="596" spans="1:3" x14ac:dyDescent="0.25">
      <c r="A596" s="5" t="s">
        <v>238</v>
      </c>
      <c r="B596" s="5">
        <v>0</v>
      </c>
      <c r="C596" s="12">
        <v>0</v>
      </c>
    </row>
    <row r="597" spans="1:3" x14ac:dyDescent="0.25">
      <c r="A597" s="6" t="s">
        <v>46</v>
      </c>
      <c r="B597" s="6">
        <v>0</v>
      </c>
      <c r="C597" s="13">
        <v>0</v>
      </c>
    </row>
    <row r="598" spans="1:3" x14ac:dyDescent="0.25">
      <c r="A598" s="5" t="s">
        <v>100</v>
      </c>
      <c r="B598" s="5">
        <v>0</v>
      </c>
      <c r="C598" s="12">
        <v>0</v>
      </c>
    </row>
    <row r="599" spans="1:3" x14ac:dyDescent="0.25">
      <c r="A599" s="6" t="s">
        <v>23</v>
      </c>
      <c r="B599" s="6">
        <v>0</v>
      </c>
      <c r="C599" s="13">
        <v>0</v>
      </c>
    </row>
    <row r="600" spans="1:3" x14ac:dyDescent="0.25">
      <c r="A600" s="5" t="s">
        <v>49</v>
      </c>
      <c r="B600" s="5">
        <v>0</v>
      </c>
      <c r="C600" s="12">
        <v>0</v>
      </c>
    </row>
    <row r="601" spans="1:3" x14ac:dyDescent="0.25">
      <c r="A601" s="6" t="s">
        <v>268</v>
      </c>
      <c r="B601" s="6">
        <v>0</v>
      </c>
      <c r="C601" s="13">
        <v>0</v>
      </c>
    </row>
    <row r="602" spans="1:3" x14ac:dyDescent="0.25">
      <c r="A602" s="5" t="s">
        <v>25</v>
      </c>
      <c r="B602" s="5">
        <v>0</v>
      </c>
      <c r="C602" s="12">
        <v>0</v>
      </c>
    </row>
    <row r="603" spans="1:3" x14ac:dyDescent="0.25">
      <c r="A603" s="6" t="s">
        <v>193</v>
      </c>
      <c r="B603" s="6">
        <v>0</v>
      </c>
      <c r="C603" s="13">
        <v>0</v>
      </c>
    </row>
    <row r="604" spans="1:3" x14ac:dyDescent="0.25">
      <c r="A604" s="5" t="s">
        <v>62</v>
      </c>
      <c r="B604" s="5">
        <v>0</v>
      </c>
      <c r="C604" s="12">
        <v>0</v>
      </c>
    </row>
    <row r="605" spans="1:3" x14ac:dyDescent="0.25">
      <c r="A605" s="6" t="s">
        <v>51</v>
      </c>
      <c r="B605" s="6">
        <v>0</v>
      </c>
      <c r="C605" s="13">
        <v>0</v>
      </c>
    </row>
    <row r="606" spans="1:3" x14ac:dyDescent="0.25">
      <c r="A606" s="5" t="s">
        <v>83</v>
      </c>
      <c r="B606" s="5">
        <v>0</v>
      </c>
      <c r="C606" s="12">
        <v>0</v>
      </c>
    </row>
    <row r="607" spans="1:3" x14ac:dyDescent="0.25">
      <c r="A607" s="6" t="s">
        <v>261</v>
      </c>
      <c r="B607" s="6">
        <v>0</v>
      </c>
      <c r="C607" s="13">
        <v>0</v>
      </c>
    </row>
    <row r="608" spans="1:3" x14ac:dyDescent="0.25">
      <c r="A608" s="5" t="s">
        <v>85</v>
      </c>
      <c r="B608" s="5">
        <v>0</v>
      </c>
      <c r="C608" s="12">
        <v>0</v>
      </c>
    </row>
    <row r="609" spans="1:3" x14ac:dyDescent="0.25">
      <c r="A609" s="6" t="s">
        <v>101</v>
      </c>
      <c r="B609" s="6">
        <v>0</v>
      </c>
      <c r="C609" s="13">
        <v>0</v>
      </c>
    </row>
    <row r="610" spans="1:3" x14ac:dyDescent="0.25">
      <c r="A610" s="5" t="s">
        <v>53</v>
      </c>
      <c r="B610" s="5">
        <v>0</v>
      </c>
      <c r="C610" s="12">
        <v>0</v>
      </c>
    </row>
    <row r="611" spans="1:3" x14ac:dyDescent="0.25">
      <c r="A611" s="6" t="s">
        <v>397</v>
      </c>
      <c r="B611" s="6">
        <v>0</v>
      </c>
      <c r="C611" s="13">
        <v>0</v>
      </c>
    </row>
    <row r="612" spans="1:3" x14ac:dyDescent="0.25">
      <c r="A612" s="5" t="s">
        <v>89</v>
      </c>
      <c r="B612" s="5">
        <v>0</v>
      </c>
      <c r="C612" s="12">
        <v>0</v>
      </c>
    </row>
    <row r="613" spans="1:3" x14ac:dyDescent="0.25">
      <c r="A613" s="6" t="s">
        <v>348</v>
      </c>
      <c r="B613" s="6">
        <v>0</v>
      </c>
      <c r="C613" s="13">
        <v>0</v>
      </c>
    </row>
    <row r="614" spans="1:3" x14ac:dyDescent="0.25">
      <c r="A614" s="5" t="s">
        <v>321</v>
      </c>
      <c r="B614" s="5">
        <v>0</v>
      </c>
      <c r="C614" s="12">
        <v>0</v>
      </c>
    </row>
    <row r="615" spans="1:3" x14ac:dyDescent="0.25">
      <c r="A615" s="6" t="s">
        <v>29</v>
      </c>
      <c r="B615" s="6">
        <v>0</v>
      </c>
      <c r="C615" s="13">
        <v>0</v>
      </c>
    </row>
    <row r="616" spans="1:3" x14ac:dyDescent="0.25">
      <c r="A616" s="5" t="s">
        <v>5</v>
      </c>
      <c r="B616" s="5">
        <v>0</v>
      </c>
      <c r="C616" s="12">
        <v>0</v>
      </c>
    </row>
    <row r="617" spans="1:3" x14ac:dyDescent="0.25">
      <c r="A617" s="6" t="s">
        <v>9</v>
      </c>
      <c r="B617" s="6">
        <v>0</v>
      </c>
      <c r="C617" s="13">
        <v>0</v>
      </c>
    </row>
    <row r="618" spans="1:3" x14ac:dyDescent="0.25">
      <c r="A618" s="5" t="s">
        <v>11</v>
      </c>
      <c r="B618" s="5">
        <v>0</v>
      </c>
      <c r="C618" s="12">
        <v>0</v>
      </c>
    </row>
    <row r="619" spans="1:3" x14ac:dyDescent="0.25">
      <c r="A619" s="6" t="s">
        <v>296</v>
      </c>
      <c r="B619" s="6">
        <v>0</v>
      </c>
      <c r="C619" s="13">
        <v>0</v>
      </c>
    </row>
    <row r="620" spans="1:3" x14ac:dyDescent="0.25">
      <c r="A620" s="5" t="s">
        <v>35</v>
      </c>
      <c r="B620" s="5">
        <v>0</v>
      </c>
      <c r="C620" s="12">
        <v>0</v>
      </c>
    </row>
    <row r="621" spans="1:3" x14ac:dyDescent="0.25">
      <c r="A621" s="6" t="s">
        <v>15</v>
      </c>
      <c r="B621" s="6">
        <v>0</v>
      </c>
      <c r="C621" s="13">
        <v>0</v>
      </c>
    </row>
    <row r="622" spans="1:3" x14ac:dyDescent="0.25">
      <c r="A622" s="5" t="s">
        <v>70</v>
      </c>
      <c r="B622" s="5">
        <v>0</v>
      </c>
      <c r="C622" s="12">
        <v>0</v>
      </c>
    </row>
    <row r="623" spans="1:3" x14ac:dyDescent="0.25">
      <c r="A623" s="6" t="s">
        <v>59</v>
      </c>
      <c r="B623" s="6">
        <v>0</v>
      </c>
      <c r="C623" s="13">
        <v>0</v>
      </c>
    </row>
    <row r="624" spans="1:3" x14ac:dyDescent="0.25">
      <c r="A624" s="5" t="s">
        <v>380</v>
      </c>
      <c r="B624" s="5">
        <v>0</v>
      </c>
      <c r="C624" s="12">
        <v>0</v>
      </c>
    </row>
    <row r="625" spans="1:3" x14ac:dyDescent="0.25">
      <c r="A625" s="6" t="s">
        <v>407</v>
      </c>
      <c r="B625" s="6">
        <v>0</v>
      </c>
      <c r="C625" s="13">
        <v>0</v>
      </c>
    </row>
    <row r="626" spans="1:3" x14ac:dyDescent="0.25">
      <c r="A626" s="5" t="s">
        <v>181</v>
      </c>
      <c r="B626" s="5">
        <v>0</v>
      </c>
      <c r="C626" s="12">
        <v>0</v>
      </c>
    </row>
    <row r="627" spans="1:3" x14ac:dyDescent="0.25">
      <c r="A627" s="6" t="s">
        <v>36</v>
      </c>
      <c r="B627" s="6">
        <v>0</v>
      </c>
      <c r="C627" s="13">
        <v>0</v>
      </c>
    </row>
    <row r="628" spans="1:3" x14ac:dyDescent="0.25">
      <c r="A628" s="5" t="s">
        <v>208</v>
      </c>
      <c r="B628" s="5">
        <v>0</v>
      </c>
      <c r="C628" s="12">
        <v>0</v>
      </c>
    </row>
    <row r="629" spans="1:3" x14ac:dyDescent="0.25">
      <c r="A629" s="6" t="s">
        <v>37</v>
      </c>
      <c r="B629" s="6">
        <v>0</v>
      </c>
      <c r="C629" s="13">
        <v>0</v>
      </c>
    </row>
    <row r="630" spans="1:3" x14ac:dyDescent="0.25">
      <c r="A630" s="5" t="s">
        <v>16</v>
      </c>
      <c r="B630" s="5">
        <v>0</v>
      </c>
      <c r="C630" s="12">
        <v>0</v>
      </c>
    </row>
    <row r="631" spans="1:3" x14ac:dyDescent="0.25">
      <c r="A631" s="6" t="s">
        <v>186</v>
      </c>
      <c r="B631" s="6">
        <v>0</v>
      </c>
      <c r="C631" s="13">
        <v>0</v>
      </c>
    </row>
    <row r="632" spans="1:3" x14ac:dyDescent="0.25">
      <c r="A632" s="5" t="s">
        <v>409</v>
      </c>
      <c r="B632" s="5">
        <v>0</v>
      </c>
      <c r="C632" s="12">
        <v>0</v>
      </c>
    </row>
    <row r="633" spans="1:3" x14ac:dyDescent="0.25">
      <c r="A633" s="6" t="s">
        <v>114</v>
      </c>
      <c r="B633" s="6">
        <v>0</v>
      </c>
      <c r="C633" s="13">
        <v>0</v>
      </c>
    </row>
    <row r="634" spans="1:3" x14ac:dyDescent="0.25">
      <c r="A634" s="5" t="s">
        <v>410</v>
      </c>
      <c r="B634" s="5">
        <v>0</v>
      </c>
      <c r="C634" s="12">
        <v>0</v>
      </c>
    </row>
    <row r="635" spans="1:3" x14ac:dyDescent="0.25">
      <c r="A635" s="6" t="s">
        <v>335</v>
      </c>
      <c r="B635" s="6">
        <v>0</v>
      </c>
      <c r="C635" s="13">
        <v>0</v>
      </c>
    </row>
    <row r="636" spans="1:3" x14ac:dyDescent="0.25">
      <c r="A636" s="5" t="s">
        <v>18</v>
      </c>
      <c r="B636" s="5">
        <v>0</v>
      </c>
      <c r="C636" s="12">
        <v>0</v>
      </c>
    </row>
    <row r="637" spans="1:3" x14ac:dyDescent="0.25">
      <c r="A637" s="6" t="s">
        <v>41</v>
      </c>
      <c r="B637" s="6">
        <v>0</v>
      </c>
      <c r="C637" s="13">
        <v>0</v>
      </c>
    </row>
    <row r="638" spans="1:3" x14ac:dyDescent="0.25">
      <c r="A638" s="5" t="s">
        <v>267</v>
      </c>
      <c r="B638" s="5">
        <v>0</v>
      </c>
      <c r="C638" s="12">
        <v>0</v>
      </c>
    </row>
    <row r="639" spans="1:3" x14ac:dyDescent="0.25">
      <c r="A639" s="6" t="s">
        <v>118</v>
      </c>
      <c r="B639" s="6">
        <v>0</v>
      </c>
      <c r="C639" s="13">
        <v>0</v>
      </c>
    </row>
    <row r="640" spans="1:3" x14ac:dyDescent="0.25">
      <c r="A640" s="5" t="s">
        <v>383</v>
      </c>
      <c r="B640" s="5">
        <v>0</v>
      </c>
      <c r="C640" s="12">
        <v>0</v>
      </c>
    </row>
    <row r="641" spans="1:3" x14ac:dyDescent="0.25">
      <c r="A641" s="6" t="s">
        <v>20</v>
      </c>
      <c r="B641" s="6">
        <v>0</v>
      </c>
      <c r="C641" s="13">
        <v>0</v>
      </c>
    </row>
    <row r="642" spans="1:3" x14ac:dyDescent="0.25">
      <c r="A642" s="5" t="s">
        <v>43</v>
      </c>
      <c r="B642" s="5">
        <v>0</v>
      </c>
      <c r="C642" s="12">
        <v>0</v>
      </c>
    </row>
    <row r="643" spans="1:3" x14ac:dyDescent="0.25">
      <c r="A643" s="6" t="s">
        <v>44</v>
      </c>
      <c r="B643" s="6">
        <v>0</v>
      </c>
      <c r="C643" s="13">
        <v>0</v>
      </c>
    </row>
    <row r="644" spans="1:3" x14ac:dyDescent="0.25">
      <c r="A644" s="5" t="s">
        <v>99</v>
      </c>
      <c r="B644" s="5">
        <v>0</v>
      </c>
      <c r="C644" s="12">
        <v>0</v>
      </c>
    </row>
    <row r="645" spans="1:3" x14ac:dyDescent="0.25">
      <c r="A645" s="6" t="s">
        <v>156</v>
      </c>
      <c r="B645" s="6">
        <v>0</v>
      </c>
      <c r="C645" s="13">
        <v>0</v>
      </c>
    </row>
    <row r="646" spans="1:3" x14ac:dyDescent="0.25">
      <c r="A646" s="5" t="s">
        <v>238</v>
      </c>
      <c r="B646" s="5">
        <v>0</v>
      </c>
      <c r="C646" s="12">
        <v>0</v>
      </c>
    </row>
    <row r="647" spans="1:3" x14ac:dyDescent="0.25">
      <c r="A647" s="6" t="s">
        <v>22</v>
      </c>
      <c r="B647" s="6">
        <v>0</v>
      </c>
      <c r="C647" s="13">
        <v>0</v>
      </c>
    </row>
    <row r="648" spans="1:3" x14ac:dyDescent="0.25">
      <c r="A648" s="5" t="s">
        <v>61</v>
      </c>
      <c r="B648" s="5">
        <v>0</v>
      </c>
      <c r="C648" s="12">
        <v>0</v>
      </c>
    </row>
    <row r="649" spans="1:3" x14ac:dyDescent="0.25">
      <c r="A649" s="6" t="s">
        <v>412</v>
      </c>
      <c r="B649" s="6">
        <v>0</v>
      </c>
      <c r="C649" s="13">
        <v>0</v>
      </c>
    </row>
    <row r="650" spans="1:3" x14ac:dyDescent="0.25">
      <c r="A650" s="5" t="s">
        <v>100</v>
      </c>
      <c r="B650" s="5">
        <v>0</v>
      </c>
      <c r="C650" s="12">
        <v>0</v>
      </c>
    </row>
    <row r="651" spans="1:3" x14ac:dyDescent="0.25">
      <c r="A651" s="6" t="s">
        <v>23</v>
      </c>
      <c r="B651" s="6">
        <v>0</v>
      </c>
      <c r="C651" s="13">
        <v>0</v>
      </c>
    </row>
    <row r="652" spans="1:3" x14ac:dyDescent="0.25">
      <c r="A652" s="5" t="s">
        <v>49</v>
      </c>
      <c r="B652" s="5">
        <v>0</v>
      </c>
      <c r="C652" s="12">
        <v>0</v>
      </c>
    </row>
    <row r="653" spans="1:3" x14ac:dyDescent="0.25">
      <c r="A653" s="6" t="s">
        <v>25</v>
      </c>
      <c r="B653" s="6">
        <v>0</v>
      </c>
      <c r="C653" s="13">
        <v>0</v>
      </c>
    </row>
    <row r="654" spans="1:3" x14ac:dyDescent="0.25">
      <c r="A654" s="5" t="s">
        <v>193</v>
      </c>
      <c r="B654" s="5">
        <v>0</v>
      </c>
      <c r="C654" s="12">
        <v>0</v>
      </c>
    </row>
    <row r="655" spans="1:3" x14ac:dyDescent="0.25">
      <c r="A655" s="6" t="s">
        <v>213</v>
      </c>
      <c r="B655" s="6">
        <v>0</v>
      </c>
      <c r="C655" s="13">
        <v>0</v>
      </c>
    </row>
    <row r="656" spans="1:3" x14ac:dyDescent="0.25">
      <c r="A656" s="5" t="s">
        <v>50</v>
      </c>
      <c r="B656" s="5">
        <v>0</v>
      </c>
      <c r="C656" s="12">
        <v>0</v>
      </c>
    </row>
    <row r="657" spans="1:3" x14ac:dyDescent="0.25">
      <c r="A657" s="6" t="s">
        <v>62</v>
      </c>
      <c r="B657" s="6">
        <v>0</v>
      </c>
      <c r="C657" s="13">
        <v>0</v>
      </c>
    </row>
    <row r="658" spans="1:3" x14ac:dyDescent="0.25">
      <c r="A658" s="5" t="s">
        <v>51</v>
      </c>
      <c r="B658" s="5">
        <v>0</v>
      </c>
      <c r="C658" s="12">
        <v>0</v>
      </c>
    </row>
    <row r="659" spans="1:3" x14ac:dyDescent="0.25">
      <c r="A659" s="6" t="s">
        <v>83</v>
      </c>
      <c r="B659" s="6">
        <v>0</v>
      </c>
      <c r="C659" s="13">
        <v>0</v>
      </c>
    </row>
    <row r="660" spans="1:3" x14ac:dyDescent="0.25">
      <c r="A660" s="5" t="s">
        <v>261</v>
      </c>
      <c r="B660" s="5">
        <v>0</v>
      </c>
      <c r="C660" s="12">
        <v>0</v>
      </c>
    </row>
    <row r="661" spans="1:3" x14ac:dyDescent="0.25">
      <c r="A661" s="6" t="s">
        <v>85</v>
      </c>
      <c r="B661" s="6">
        <v>0</v>
      </c>
      <c r="C661" s="13">
        <v>0</v>
      </c>
    </row>
    <row r="662" spans="1:3" x14ac:dyDescent="0.25">
      <c r="A662" s="5" t="s">
        <v>53</v>
      </c>
      <c r="B662" s="5">
        <v>0</v>
      </c>
      <c r="C662" s="12">
        <v>0</v>
      </c>
    </row>
    <row r="663" spans="1:3" x14ac:dyDescent="0.25">
      <c r="A663" s="6" t="s">
        <v>262</v>
      </c>
      <c r="B663" s="6">
        <v>0</v>
      </c>
      <c r="C663" s="13">
        <v>0</v>
      </c>
    </row>
    <row r="664" spans="1:3" x14ac:dyDescent="0.25">
      <c r="A664" s="5" t="s">
        <v>89</v>
      </c>
      <c r="B664" s="5">
        <v>0</v>
      </c>
      <c r="C664" s="12">
        <v>0</v>
      </c>
    </row>
    <row r="665" spans="1:3" x14ac:dyDescent="0.25">
      <c r="A665" s="6" t="s">
        <v>348</v>
      </c>
      <c r="B665" s="6">
        <v>0</v>
      </c>
      <c r="C665" s="13">
        <v>0</v>
      </c>
    </row>
    <row r="666" spans="1:3" x14ac:dyDescent="0.25">
      <c r="A666" s="5" t="s">
        <v>321</v>
      </c>
      <c r="B666" s="5">
        <v>0</v>
      </c>
      <c r="C666" s="12">
        <v>0</v>
      </c>
    </row>
    <row r="667" spans="1:3" x14ac:dyDescent="0.25">
      <c r="A667" s="6" t="s">
        <v>27</v>
      </c>
      <c r="B667" s="6">
        <v>0</v>
      </c>
      <c r="C667" s="13">
        <v>0</v>
      </c>
    </row>
    <row r="668" spans="1:3" x14ac:dyDescent="0.25">
      <c r="A668" s="5" t="s">
        <v>5</v>
      </c>
      <c r="B668" s="5">
        <v>0</v>
      </c>
      <c r="C668" s="12">
        <v>0</v>
      </c>
    </row>
    <row r="669" spans="1:3" x14ac:dyDescent="0.25">
      <c r="A669" s="6" t="s">
        <v>11</v>
      </c>
      <c r="B669" s="6">
        <v>0</v>
      </c>
      <c r="C669" s="13">
        <v>0</v>
      </c>
    </row>
    <row r="670" spans="1:3" x14ac:dyDescent="0.25">
      <c r="A670" s="5" t="s">
        <v>296</v>
      </c>
      <c r="B670" s="5">
        <v>0</v>
      </c>
      <c r="C670" s="12">
        <v>0</v>
      </c>
    </row>
    <row r="671" spans="1:3" x14ac:dyDescent="0.25">
      <c r="A671" s="6" t="s">
        <v>35</v>
      </c>
      <c r="B671" s="6">
        <v>0</v>
      </c>
      <c r="C671" s="13">
        <v>0</v>
      </c>
    </row>
    <row r="672" spans="1:3" x14ac:dyDescent="0.25">
      <c r="A672" s="5" t="s">
        <v>70</v>
      </c>
      <c r="B672" s="5">
        <v>0</v>
      </c>
      <c r="C672" s="12">
        <v>0</v>
      </c>
    </row>
    <row r="673" spans="1:3" x14ac:dyDescent="0.25">
      <c r="A673" s="6" t="s">
        <v>59</v>
      </c>
      <c r="B673" s="6">
        <v>0</v>
      </c>
      <c r="C673" s="13">
        <v>0</v>
      </c>
    </row>
    <row r="674" spans="1:3" x14ac:dyDescent="0.25">
      <c r="A674" s="5" t="s">
        <v>97</v>
      </c>
      <c r="B674" s="5">
        <v>0</v>
      </c>
      <c r="C674" s="12">
        <v>0</v>
      </c>
    </row>
    <row r="675" spans="1:3" x14ac:dyDescent="0.25">
      <c r="A675" s="6" t="s">
        <v>380</v>
      </c>
      <c r="B675" s="6">
        <v>0</v>
      </c>
      <c r="C675" s="13">
        <v>0</v>
      </c>
    </row>
    <row r="676" spans="1:3" x14ac:dyDescent="0.25">
      <c r="A676" s="5" t="s">
        <v>181</v>
      </c>
      <c r="B676" s="5">
        <v>0</v>
      </c>
      <c r="C676" s="12">
        <v>0</v>
      </c>
    </row>
    <row r="677" spans="1:3" x14ac:dyDescent="0.25">
      <c r="A677" s="6" t="s">
        <v>36</v>
      </c>
      <c r="B677" s="6">
        <v>0</v>
      </c>
      <c r="C677" s="13">
        <v>0</v>
      </c>
    </row>
    <row r="678" spans="1:3" x14ac:dyDescent="0.25">
      <c r="A678" s="5" t="s">
        <v>208</v>
      </c>
      <c r="B678" s="5">
        <v>0</v>
      </c>
      <c r="C678" s="12">
        <v>0</v>
      </c>
    </row>
    <row r="679" spans="1:3" x14ac:dyDescent="0.25">
      <c r="A679" s="6" t="s">
        <v>222</v>
      </c>
      <c r="B679" s="6">
        <v>0</v>
      </c>
      <c r="C679" s="13">
        <v>0</v>
      </c>
    </row>
    <row r="680" spans="1:3" x14ac:dyDescent="0.25">
      <c r="A680" s="5" t="s">
        <v>16</v>
      </c>
      <c r="B680" s="5">
        <v>0</v>
      </c>
      <c r="C680" s="12">
        <v>0</v>
      </c>
    </row>
    <row r="681" spans="1:3" x14ac:dyDescent="0.25">
      <c r="A681" s="6" t="s">
        <v>184</v>
      </c>
      <c r="B681" s="6">
        <v>0</v>
      </c>
      <c r="C681" s="13">
        <v>0</v>
      </c>
    </row>
    <row r="682" spans="1:3" x14ac:dyDescent="0.25">
      <c r="A682" s="5" t="s">
        <v>186</v>
      </c>
      <c r="B682" s="5">
        <v>0</v>
      </c>
      <c r="C682" s="12">
        <v>0</v>
      </c>
    </row>
    <row r="683" spans="1:3" x14ac:dyDescent="0.25">
      <c r="A683" s="6" t="s">
        <v>409</v>
      </c>
      <c r="B683" s="6">
        <v>0</v>
      </c>
      <c r="C683" s="13">
        <v>0</v>
      </c>
    </row>
    <row r="684" spans="1:3" x14ac:dyDescent="0.25">
      <c r="A684" s="5" t="s">
        <v>114</v>
      </c>
      <c r="B684" s="5">
        <v>0</v>
      </c>
      <c r="C684" s="12">
        <v>0</v>
      </c>
    </row>
    <row r="685" spans="1:3" x14ac:dyDescent="0.25">
      <c r="A685" s="6" t="s">
        <v>335</v>
      </c>
      <c r="B685" s="6">
        <v>0</v>
      </c>
      <c r="C685" s="13">
        <v>0</v>
      </c>
    </row>
    <row r="686" spans="1:3" x14ac:dyDescent="0.25">
      <c r="A686" s="5" t="s">
        <v>41</v>
      </c>
      <c r="B686" s="5">
        <v>0</v>
      </c>
      <c r="C686" s="12">
        <v>0</v>
      </c>
    </row>
    <row r="687" spans="1:3" x14ac:dyDescent="0.25">
      <c r="A687" s="6" t="s">
        <v>267</v>
      </c>
      <c r="B687" s="6">
        <v>0</v>
      </c>
      <c r="C687" s="13">
        <v>0</v>
      </c>
    </row>
    <row r="688" spans="1:3" x14ac:dyDescent="0.25">
      <c r="A688" s="5" t="s">
        <v>118</v>
      </c>
      <c r="B688" s="5">
        <v>0</v>
      </c>
      <c r="C688" s="12">
        <v>0</v>
      </c>
    </row>
    <row r="689" spans="1:3" x14ac:dyDescent="0.25">
      <c r="A689" s="6" t="s">
        <v>383</v>
      </c>
      <c r="B689" s="6">
        <v>0</v>
      </c>
      <c r="C689" s="13">
        <v>0</v>
      </c>
    </row>
    <row r="690" spans="1:3" x14ac:dyDescent="0.25">
      <c r="A690" s="5" t="s">
        <v>60</v>
      </c>
      <c r="B690" s="5">
        <v>0</v>
      </c>
      <c r="C690" s="12">
        <v>0</v>
      </c>
    </row>
    <row r="691" spans="1:3" x14ac:dyDescent="0.25">
      <c r="A691" s="6" t="s">
        <v>20</v>
      </c>
      <c r="B691" s="6">
        <v>0</v>
      </c>
      <c r="C691" s="13">
        <v>0</v>
      </c>
    </row>
    <row r="692" spans="1:3" x14ac:dyDescent="0.25">
      <c r="A692" s="5" t="s">
        <v>43</v>
      </c>
      <c r="B692" s="5">
        <v>0</v>
      </c>
      <c r="C692" s="12">
        <v>0</v>
      </c>
    </row>
    <row r="693" spans="1:3" x14ac:dyDescent="0.25">
      <c r="A693" s="6" t="s">
        <v>44</v>
      </c>
      <c r="B693" s="6">
        <v>0</v>
      </c>
      <c r="C693" s="13">
        <v>0</v>
      </c>
    </row>
    <row r="694" spans="1:3" x14ac:dyDescent="0.25">
      <c r="A694" s="5" t="s">
        <v>99</v>
      </c>
      <c r="B694" s="5">
        <v>0</v>
      </c>
      <c r="C694" s="12">
        <v>0</v>
      </c>
    </row>
    <row r="695" spans="1:3" x14ac:dyDescent="0.25">
      <c r="A695" s="6" t="s">
        <v>238</v>
      </c>
      <c r="B695" s="6">
        <v>0</v>
      </c>
      <c r="C695" s="13">
        <v>0</v>
      </c>
    </row>
    <row r="696" spans="1:3" x14ac:dyDescent="0.25">
      <c r="A696" s="5" t="s">
        <v>22</v>
      </c>
      <c r="B696" s="5">
        <v>0</v>
      </c>
      <c r="C696" s="12">
        <v>0</v>
      </c>
    </row>
    <row r="697" spans="1:3" x14ac:dyDescent="0.25">
      <c r="A697" s="6" t="s">
        <v>46</v>
      </c>
      <c r="B697" s="6">
        <v>0</v>
      </c>
      <c r="C697" s="13">
        <v>0</v>
      </c>
    </row>
    <row r="698" spans="1:3" x14ac:dyDescent="0.25">
      <c r="A698" s="5" t="s">
        <v>100</v>
      </c>
      <c r="B698" s="5">
        <v>0</v>
      </c>
      <c r="C698" s="12">
        <v>0</v>
      </c>
    </row>
    <row r="699" spans="1:3" x14ac:dyDescent="0.25">
      <c r="A699" s="6" t="s">
        <v>23</v>
      </c>
      <c r="B699" s="6">
        <v>0</v>
      </c>
      <c r="C699" s="13">
        <v>0</v>
      </c>
    </row>
    <row r="700" spans="1:3" x14ac:dyDescent="0.25">
      <c r="A700" s="5" t="s">
        <v>25</v>
      </c>
      <c r="B700" s="5">
        <v>0</v>
      </c>
      <c r="C700" s="12">
        <v>0</v>
      </c>
    </row>
    <row r="701" spans="1:3" x14ac:dyDescent="0.25">
      <c r="A701" s="6" t="s">
        <v>193</v>
      </c>
      <c r="B701" s="6">
        <v>0</v>
      </c>
      <c r="C701" s="13">
        <v>0</v>
      </c>
    </row>
    <row r="702" spans="1:3" x14ac:dyDescent="0.25">
      <c r="A702" s="5" t="s">
        <v>213</v>
      </c>
      <c r="B702" s="5">
        <v>0</v>
      </c>
      <c r="C702" s="12">
        <v>0</v>
      </c>
    </row>
    <row r="703" spans="1:3" x14ac:dyDescent="0.25">
      <c r="A703" s="6" t="s">
        <v>50</v>
      </c>
      <c r="B703" s="6">
        <v>0</v>
      </c>
      <c r="C703" s="13">
        <v>0</v>
      </c>
    </row>
    <row r="704" spans="1:3" x14ac:dyDescent="0.25">
      <c r="A704" s="5" t="s">
        <v>62</v>
      </c>
      <c r="B704" s="5">
        <v>0</v>
      </c>
      <c r="C704" s="12">
        <v>0</v>
      </c>
    </row>
    <row r="705" spans="1:3" x14ac:dyDescent="0.25">
      <c r="A705" s="6" t="s">
        <v>51</v>
      </c>
      <c r="B705" s="6">
        <v>0</v>
      </c>
      <c r="C705" s="13">
        <v>0</v>
      </c>
    </row>
    <row r="706" spans="1:3" x14ac:dyDescent="0.25">
      <c r="A706" s="5" t="s">
        <v>83</v>
      </c>
      <c r="B706" s="5">
        <v>0</v>
      </c>
      <c r="C706" s="12">
        <v>0</v>
      </c>
    </row>
    <row r="707" spans="1:3" x14ac:dyDescent="0.25">
      <c r="A707" s="6" t="s">
        <v>101</v>
      </c>
      <c r="B707" s="6">
        <v>0</v>
      </c>
      <c r="C707" s="13">
        <v>0</v>
      </c>
    </row>
    <row r="708" spans="1:3" x14ac:dyDescent="0.25">
      <c r="A708" s="5" t="s">
        <v>53</v>
      </c>
      <c r="B708" s="5">
        <v>0</v>
      </c>
      <c r="C708" s="12">
        <v>0</v>
      </c>
    </row>
    <row r="709" spans="1:3" x14ac:dyDescent="0.25">
      <c r="A709" s="6" t="s">
        <v>262</v>
      </c>
      <c r="B709" s="6">
        <v>0</v>
      </c>
      <c r="C709" s="13">
        <v>0</v>
      </c>
    </row>
    <row r="710" spans="1:3" x14ac:dyDescent="0.25">
      <c r="A710" s="5" t="s">
        <v>89</v>
      </c>
      <c r="B710" s="5">
        <v>0</v>
      </c>
      <c r="C710" s="12">
        <v>0</v>
      </c>
    </row>
    <row r="711" spans="1:3" x14ac:dyDescent="0.25">
      <c r="A711" s="6" t="s">
        <v>138</v>
      </c>
      <c r="B711" s="6">
        <v>0</v>
      </c>
      <c r="C711" s="13">
        <v>0</v>
      </c>
    </row>
    <row r="712" spans="1:3" x14ac:dyDescent="0.25">
      <c r="A712" s="5" t="s">
        <v>348</v>
      </c>
      <c r="B712" s="5">
        <v>0</v>
      </c>
      <c r="C712" s="12">
        <v>0</v>
      </c>
    </row>
    <row r="713" spans="1:3" x14ac:dyDescent="0.25">
      <c r="A713" s="6" t="s">
        <v>321</v>
      </c>
      <c r="B713" s="6">
        <v>0</v>
      </c>
      <c r="C713" s="13">
        <v>0</v>
      </c>
    </row>
    <row r="714" spans="1:3" x14ac:dyDescent="0.25">
      <c r="A714" s="5" t="s">
        <v>27</v>
      </c>
      <c r="B714" s="5">
        <v>0</v>
      </c>
      <c r="C714" s="12">
        <v>0</v>
      </c>
    </row>
    <row r="715" spans="1:3" x14ac:dyDescent="0.25">
      <c r="A715" s="6" t="s">
        <v>55</v>
      </c>
      <c r="B715" s="6">
        <v>0</v>
      </c>
      <c r="C715" s="13">
        <v>0</v>
      </c>
    </row>
    <row r="716" spans="1:3" x14ac:dyDescent="0.25">
      <c r="A716" s="5" t="s">
        <v>29</v>
      </c>
      <c r="B716" s="5">
        <v>0</v>
      </c>
      <c r="C716" s="12">
        <v>0</v>
      </c>
    </row>
    <row r="717" spans="1:3" x14ac:dyDescent="0.25">
      <c r="A717" s="6" t="s">
        <v>5</v>
      </c>
      <c r="B717" s="6">
        <v>0</v>
      </c>
      <c r="C717" s="13">
        <v>0</v>
      </c>
    </row>
    <row r="718" spans="1:3" x14ac:dyDescent="0.25">
      <c r="A718" s="5" t="s">
        <v>9</v>
      </c>
      <c r="B718" s="5">
        <v>0</v>
      </c>
      <c r="C718" s="12">
        <v>0</v>
      </c>
    </row>
    <row r="719" spans="1:3" x14ac:dyDescent="0.25">
      <c r="A719" s="6" t="s">
        <v>11</v>
      </c>
      <c r="B719" s="6">
        <v>0</v>
      </c>
      <c r="C719" s="13">
        <v>0</v>
      </c>
    </row>
    <row r="720" spans="1:3" x14ac:dyDescent="0.25">
      <c r="A720" s="5" t="s">
        <v>35</v>
      </c>
      <c r="B720" s="5">
        <v>0</v>
      </c>
      <c r="C720" s="12">
        <v>0</v>
      </c>
    </row>
    <row r="721" spans="1:3" x14ac:dyDescent="0.25">
      <c r="A721" s="6" t="s">
        <v>70</v>
      </c>
      <c r="B721" s="6">
        <v>0</v>
      </c>
      <c r="C721" s="13">
        <v>0</v>
      </c>
    </row>
    <row r="722" spans="1:3" x14ac:dyDescent="0.25">
      <c r="A722" s="5" t="s">
        <v>59</v>
      </c>
      <c r="B722" s="5">
        <v>0</v>
      </c>
      <c r="C722" s="12">
        <v>0</v>
      </c>
    </row>
    <row r="723" spans="1:3" x14ac:dyDescent="0.25">
      <c r="A723" s="6" t="s">
        <v>97</v>
      </c>
      <c r="B723" s="6">
        <v>0</v>
      </c>
      <c r="C723" s="13">
        <v>0</v>
      </c>
    </row>
    <row r="724" spans="1:3" x14ac:dyDescent="0.25">
      <c r="A724" s="5" t="s">
        <v>407</v>
      </c>
      <c r="B724" s="5">
        <v>0</v>
      </c>
      <c r="C724" s="12">
        <v>0</v>
      </c>
    </row>
    <row r="725" spans="1:3" x14ac:dyDescent="0.25">
      <c r="A725" s="6" t="s">
        <v>359</v>
      </c>
      <c r="B725" s="6">
        <v>0</v>
      </c>
      <c r="C725" s="13">
        <v>0</v>
      </c>
    </row>
    <row r="726" spans="1:3" x14ac:dyDescent="0.25">
      <c r="A726" s="5" t="s">
        <v>36</v>
      </c>
      <c r="B726" s="5">
        <v>0</v>
      </c>
      <c r="C726" s="12">
        <v>0</v>
      </c>
    </row>
    <row r="727" spans="1:3" x14ac:dyDescent="0.25">
      <c r="A727" s="6" t="s">
        <v>37</v>
      </c>
      <c r="B727" s="6">
        <v>0</v>
      </c>
      <c r="C727" s="13">
        <v>0</v>
      </c>
    </row>
    <row r="728" spans="1:3" x14ac:dyDescent="0.25">
      <c r="A728" s="5" t="s">
        <v>16</v>
      </c>
      <c r="B728" s="5">
        <v>0</v>
      </c>
      <c r="C728" s="12">
        <v>0</v>
      </c>
    </row>
    <row r="729" spans="1:3" x14ac:dyDescent="0.25">
      <c r="A729" s="6" t="s">
        <v>186</v>
      </c>
      <c r="B729" s="6">
        <v>0</v>
      </c>
      <c r="C729" s="13">
        <v>0</v>
      </c>
    </row>
    <row r="730" spans="1:3" x14ac:dyDescent="0.25">
      <c r="A730" s="5" t="s">
        <v>18</v>
      </c>
      <c r="B730" s="5">
        <v>0</v>
      </c>
      <c r="C730" s="12">
        <v>0</v>
      </c>
    </row>
    <row r="731" spans="1:3" x14ac:dyDescent="0.25">
      <c r="A731" s="6" t="s">
        <v>41</v>
      </c>
      <c r="B731" s="6">
        <v>0</v>
      </c>
      <c r="C731" s="13">
        <v>0</v>
      </c>
    </row>
    <row r="732" spans="1:3" x14ac:dyDescent="0.25">
      <c r="A732" s="5" t="s">
        <v>267</v>
      </c>
      <c r="B732" s="5">
        <v>0</v>
      </c>
      <c r="C732" s="12">
        <v>0</v>
      </c>
    </row>
    <row r="733" spans="1:3" x14ac:dyDescent="0.25">
      <c r="A733" s="6" t="s">
        <v>118</v>
      </c>
      <c r="B733" s="6">
        <v>0</v>
      </c>
      <c r="C733" s="13">
        <v>0</v>
      </c>
    </row>
    <row r="734" spans="1:3" x14ac:dyDescent="0.25">
      <c r="A734" s="5" t="s">
        <v>383</v>
      </c>
      <c r="B734" s="5">
        <v>0</v>
      </c>
      <c r="C734" s="12">
        <v>0</v>
      </c>
    </row>
    <row r="735" spans="1:3" x14ac:dyDescent="0.25">
      <c r="A735" s="6" t="s">
        <v>60</v>
      </c>
      <c r="B735" s="6">
        <v>0</v>
      </c>
      <c r="C735" s="13">
        <v>0</v>
      </c>
    </row>
    <row r="736" spans="1:3" x14ac:dyDescent="0.25">
      <c r="A736" s="5" t="s">
        <v>20</v>
      </c>
      <c r="B736" s="5">
        <v>0</v>
      </c>
      <c r="C736" s="12">
        <v>0</v>
      </c>
    </row>
    <row r="737" spans="1:3" x14ac:dyDescent="0.25">
      <c r="A737" s="6" t="s">
        <v>43</v>
      </c>
      <c r="B737" s="6">
        <v>0</v>
      </c>
      <c r="C737" s="13">
        <v>0</v>
      </c>
    </row>
    <row r="738" spans="1:3" x14ac:dyDescent="0.25">
      <c r="A738" s="5" t="s">
        <v>99</v>
      </c>
      <c r="B738" s="5">
        <v>0</v>
      </c>
      <c r="C738" s="12">
        <v>0</v>
      </c>
    </row>
    <row r="739" spans="1:3" x14ac:dyDescent="0.25">
      <c r="A739" s="6" t="s">
        <v>156</v>
      </c>
      <c r="B739" s="6">
        <v>0</v>
      </c>
      <c r="C739" s="13">
        <v>0</v>
      </c>
    </row>
    <row r="740" spans="1:3" x14ac:dyDescent="0.25">
      <c r="A740" s="5" t="s">
        <v>238</v>
      </c>
      <c r="B740" s="5">
        <v>0</v>
      </c>
      <c r="C740" s="12">
        <v>0</v>
      </c>
    </row>
    <row r="741" spans="1:3" x14ac:dyDescent="0.25">
      <c r="A741" s="6" t="s">
        <v>22</v>
      </c>
      <c r="B741" s="6">
        <v>0</v>
      </c>
      <c r="C741" s="13">
        <v>0</v>
      </c>
    </row>
    <row r="742" spans="1:3" x14ac:dyDescent="0.25">
      <c r="A742" s="5" t="s">
        <v>46</v>
      </c>
      <c r="B742" s="5">
        <v>0</v>
      </c>
      <c r="C742" s="12">
        <v>0</v>
      </c>
    </row>
    <row r="743" spans="1:3" x14ac:dyDescent="0.25">
      <c r="A743" s="6" t="s">
        <v>268</v>
      </c>
      <c r="B743" s="6">
        <v>0</v>
      </c>
      <c r="C743" s="13">
        <v>0</v>
      </c>
    </row>
    <row r="744" spans="1:3" x14ac:dyDescent="0.25">
      <c r="A744" s="5" t="s">
        <v>25</v>
      </c>
      <c r="B744" s="5">
        <v>0</v>
      </c>
      <c r="C744" s="12">
        <v>0</v>
      </c>
    </row>
    <row r="745" spans="1:3" x14ac:dyDescent="0.25">
      <c r="A745" s="6" t="s">
        <v>193</v>
      </c>
      <c r="B745" s="6">
        <v>0</v>
      </c>
      <c r="C745" s="13">
        <v>0</v>
      </c>
    </row>
    <row r="746" spans="1:3" x14ac:dyDescent="0.25">
      <c r="A746" s="5" t="s">
        <v>213</v>
      </c>
      <c r="B746" s="5">
        <v>0</v>
      </c>
      <c r="C746" s="12">
        <v>0</v>
      </c>
    </row>
    <row r="747" spans="1:3" x14ac:dyDescent="0.25">
      <c r="A747" s="6" t="s">
        <v>50</v>
      </c>
      <c r="B747" s="6">
        <v>0</v>
      </c>
      <c r="C747" s="13">
        <v>0</v>
      </c>
    </row>
    <row r="748" spans="1:3" x14ac:dyDescent="0.25">
      <c r="A748" s="5" t="s">
        <v>62</v>
      </c>
      <c r="B748" s="5">
        <v>0</v>
      </c>
      <c r="C748" s="12">
        <v>0</v>
      </c>
    </row>
    <row r="749" spans="1:3" x14ac:dyDescent="0.25">
      <c r="A749" s="6" t="s">
        <v>51</v>
      </c>
      <c r="B749" s="6">
        <v>0</v>
      </c>
      <c r="C749" s="13">
        <v>0</v>
      </c>
    </row>
    <row r="750" spans="1:3" x14ac:dyDescent="0.25">
      <c r="A750" s="5" t="s">
        <v>83</v>
      </c>
      <c r="B750" s="5">
        <v>0</v>
      </c>
      <c r="C750" s="12">
        <v>0</v>
      </c>
    </row>
    <row r="751" spans="1:3" x14ac:dyDescent="0.25">
      <c r="A751" s="6" t="s">
        <v>85</v>
      </c>
      <c r="B751" s="6">
        <v>0</v>
      </c>
      <c r="C751" s="13">
        <v>0</v>
      </c>
    </row>
    <row r="752" spans="1:3" x14ac:dyDescent="0.25">
      <c r="A752" s="5" t="s">
        <v>53</v>
      </c>
      <c r="B752" s="5">
        <v>0</v>
      </c>
      <c r="C752" s="12">
        <v>0</v>
      </c>
    </row>
    <row r="753" spans="1:3" x14ac:dyDescent="0.25">
      <c r="A753" s="6" t="s">
        <v>262</v>
      </c>
      <c r="B753" s="6">
        <v>0</v>
      </c>
      <c r="C753" s="13">
        <v>0</v>
      </c>
    </row>
    <row r="754" spans="1:3" x14ac:dyDescent="0.25">
      <c r="A754" s="5" t="s">
        <v>54</v>
      </c>
      <c r="B754" s="5">
        <v>0</v>
      </c>
      <c r="C754" s="12">
        <v>0</v>
      </c>
    </row>
    <row r="755" spans="1:3" x14ac:dyDescent="0.25">
      <c r="A755" s="6" t="s">
        <v>470</v>
      </c>
      <c r="B755" s="6">
        <v>0</v>
      </c>
      <c r="C755" s="13">
        <v>0</v>
      </c>
    </row>
    <row r="756" spans="1:3" x14ac:dyDescent="0.25">
      <c r="A756" s="5" t="s">
        <v>397</v>
      </c>
      <c r="B756" s="5">
        <v>0</v>
      </c>
      <c r="C756" s="12">
        <v>0</v>
      </c>
    </row>
    <row r="757" spans="1:3" x14ac:dyDescent="0.25">
      <c r="A757" s="6" t="s">
        <v>89</v>
      </c>
      <c r="B757" s="6">
        <v>0</v>
      </c>
      <c r="C757" s="13">
        <v>0</v>
      </c>
    </row>
    <row r="758" spans="1:3" x14ac:dyDescent="0.25">
      <c r="A758" s="5" t="s">
        <v>138</v>
      </c>
      <c r="B758" s="5">
        <v>0</v>
      </c>
      <c r="C758" s="12">
        <v>0</v>
      </c>
    </row>
    <row r="759" spans="1:3" x14ac:dyDescent="0.25">
      <c r="A759" s="6" t="s">
        <v>27</v>
      </c>
      <c r="B759" s="6">
        <v>0</v>
      </c>
      <c r="C759" s="13">
        <v>0</v>
      </c>
    </row>
    <row r="760" spans="1:3" x14ac:dyDescent="0.25">
      <c r="A760" s="5" t="s">
        <v>5</v>
      </c>
      <c r="B760" s="5">
        <v>0</v>
      </c>
      <c r="C760" s="12">
        <v>0</v>
      </c>
    </row>
    <row r="761" spans="1:3" x14ac:dyDescent="0.25">
      <c r="A761" s="6" t="s">
        <v>9</v>
      </c>
      <c r="B761" s="6">
        <v>0</v>
      </c>
      <c r="C761" s="13">
        <v>0</v>
      </c>
    </row>
    <row r="762" spans="1:3" x14ac:dyDescent="0.25">
      <c r="A762" s="5" t="s">
        <v>11</v>
      </c>
      <c r="B762" s="5">
        <v>0</v>
      </c>
      <c r="C762" s="12">
        <v>0</v>
      </c>
    </row>
    <row r="763" spans="1:3" x14ac:dyDescent="0.25">
      <c r="A763" s="6" t="s">
        <v>35</v>
      </c>
      <c r="B763" s="6">
        <v>0</v>
      </c>
      <c r="C763" s="13">
        <v>0</v>
      </c>
    </row>
    <row r="764" spans="1:3" x14ac:dyDescent="0.25">
      <c r="A764" s="5" t="s">
        <v>15</v>
      </c>
      <c r="B764" s="5">
        <v>0</v>
      </c>
      <c r="C764" s="12">
        <v>0</v>
      </c>
    </row>
    <row r="765" spans="1:3" x14ac:dyDescent="0.25">
      <c r="A765" s="6" t="s">
        <v>70</v>
      </c>
      <c r="B765" s="6">
        <v>0</v>
      </c>
      <c r="C765" s="13">
        <v>0</v>
      </c>
    </row>
    <row r="766" spans="1:3" x14ac:dyDescent="0.25">
      <c r="A766" s="5" t="s">
        <v>59</v>
      </c>
      <c r="B766" s="5">
        <v>0</v>
      </c>
      <c r="C766" s="12">
        <v>0</v>
      </c>
    </row>
    <row r="767" spans="1:3" x14ac:dyDescent="0.25">
      <c r="A767" s="6" t="s">
        <v>181</v>
      </c>
      <c r="B767" s="6">
        <v>0</v>
      </c>
      <c r="C767" s="13">
        <v>0</v>
      </c>
    </row>
    <row r="768" spans="1:3" x14ac:dyDescent="0.25">
      <c r="A768" s="5" t="s">
        <v>36</v>
      </c>
      <c r="B768" s="5">
        <v>0</v>
      </c>
      <c r="C768" s="12">
        <v>0</v>
      </c>
    </row>
    <row r="769" spans="1:3" x14ac:dyDescent="0.25">
      <c r="A769" s="6" t="s">
        <v>208</v>
      </c>
      <c r="B769" s="6">
        <v>0</v>
      </c>
      <c r="C769" s="13">
        <v>0</v>
      </c>
    </row>
    <row r="770" spans="1:3" x14ac:dyDescent="0.25">
      <c r="A770" s="5" t="s">
        <v>16</v>
      </c>
      <c r="B770" s="5">
        <v>0</v>
      </c>
      <c r="C770" s="12">
        <v>0</v>
      </c>
    </row>
    <row r="771" spans="1:3" x14ac:dyDescent="0.25">
      <c r="A771" s="6" t="s">
        <v>186</v>
      </c>
      <c r="B771" s="6">
        <v>0</v>
      </c>
      <c r="C771" s="13">
        <v>0</v>
      </c>
    </row>
    <row r="772" spans="1:3" x14ac:dyDescent="0.25">
      <c r="A772" s="5" t="s">
        <v>114</v>
      </c>
      <c r="B772" s="5">
        <v>0</v>
      </c>
      <c r="C772" s="12">
        <v>0</v>
      </c>
    </row>
    <row r="773" spans="1:3" x14ac:dyDescent="0.25">
      <c r="A773" s="6" t="s">
        <v>18</v>
      </c>
      <c r="B773" s="6">
        <v>0</v>
      </c>
      <c r="C773" s="13">
        <v>0</v>
      </c>
    </row>
    <row r="774" spans="1:3" x14ac:dyDescent="0.25">
      <c r="A774" s="5" t="s">
        <v>41</v>
      </c>
      <c r="B774" s="5">
        <v>0</v>
      </c>
      <c r="C774" s="12">
        <v>0</v>
      </c>
    </row>
    <row r="775" spans="1:3" x14ac:dyDescent="0.25">
      <c r="A775" s="6" t="s">
        <v>267</v>
      </c>
      <c r="B775" s="6">
        <v>0</v>
      </c>
      <c r="C775" s="13">
        <v>0</v>
      </c>
    </row>
    <row r="776" spans="1:3" x14ac:dyDescent="0.25">
      <c r="A776" s="5" t="s">
        <v>118</v>
      </c>
      <c r="B776" s="5">
        <v>0</v>
      </c>
      <c r="C776" s="12">
        <v>0</v>
      </c>
    </row>
    <row r="777" spans="1:3" x14ac:dyDescent="0.25">
      <c r="A777" s="6" t="s">
        <v>383</v>
      </c>
      <c r="B777" s="6">
        <v>0</v>
      </c>
      <c r="C777" s="13">
        <v>0</v>
      </c>
    </row>
    <row r="778" spans="1:3" x14ac:dyDescent="0.25">
      <c r="A778" s="5" t="s">
        <v>236</v>
      </c>
      <c r="B778" s="5">
        <v>0</v>
      </c>
      <c r="C778" s="12">
        <v>0</v>
      </c>
    </row>
    <row r="779" spans="1:3" x14ac:dyDescent="0.25">
      <c r="A779" s="6" t="s">
        <v>20</v>
      </c>
      <c r="B779" s="6">
        <v>0</v>
      </c>
      <c r="C779" s="13">
        <v>0</v>
      </c>
    </row>
    <row r="780" spans="1:3" x14ac:dyDescent="0.25">
      <c r="A780" s="5" t="s">
        <v>99</v>
      </c>
      <c r="B780" s="5">
        <v>0</v>
      </c>
      <c r="C780" s="12">
        <v>0</v>
      </c>
    </row>
    <row r="781" spans="1:3" x14ac:dyDescent="0.25">
      <c r="A781" s="6" t="s">
        <v>156</v>
      </c>
      <c r="B781" s="6">
        <v>0</v>
      </c>
      <c r="C781" s="13">
        <v>0</v>
      </c>
    </row>
    <row r="782" spans="1:3" x14ac:dyDescent="0.25">
      <c r="A782" s="5" t="s">
        <v>238</v>
      </c>
      <c r="B782" s="5">
        <v>0</v>
      </c>
      <c r="C782" s="12">
        <v>0</v>
      </c>
    </row>
    <row r="783" spans="1:3" x14ac:dyDescent="0.25">
      <c r="A783" s="6" t="s">
        <v>22</v>
      </c>
      <c r="B783" s="6">
        <v>0</v>
      </c>
      <c r="C783" s="13">
        <v>0</v>
      </c>
    </row>
    <row r="784" spans="1:3" x14ac:dyDescent="0.25">
      <c r="A784" s="5" t="s">
        <v>46</v>
      </c>
      <c r="B784" s="5">
        <v>0</v>
      </c>
      <c r="C784" s="12">
        <v>0</v>
      </c>
    </row>
    <row r="785" spans="1:3" x14ac:dyDescent="0.25">
      <c r="A785" s="6" t="s">
        <v>23</v>
      </c>
      <c r="B785" s="6">
        <v>0</v>
      </c>
      <c r="C785" s="13">
        <v>0</v>
      </c>
    </row>
    <row r="786" spans="1:3" x14ac:dyDescent="0.25">
      <c r="A786" s="5" t="s">
        <v>25</v>
      </c>
      <c r="B786" s="5">
        <v>0</v>
      </c>
      <c r="C786" s="12">
        <v>0</v>
      </c>
    </row>
    <row r="787" spans="1:3" x14ac:dyDescent="0.25">
      <c r="A787" s="6" t="s">
        <v>50</v>
      </c>
      <c r="B787" s="6">
        <v>0</v>
      </c>
      <c r="C787" s="13">
        <v>0</v>
      </c>
    </row>
    <row r="788" spans="1:3" x14ac:dyDescent="0.25">
      <c r="A788" s="5" t="s">
        <v>62</v>
      </c>
      <c r="B788" s="5">
        <v>0</v>
      </c>
      <c r="C788" s="12">
        <v>0</v>
      </c>
    </row>
    <row r="789" spans="1:3" x14ac:dyDescent="0.25">
      <c r="A789" s="6" t="s">
        <v>483</v>
      </c>
      <c r="B789" s="6">
        <v>0</v>
      </c>
      <c r="C789" s="13">
        <v>0</v>
      </c>
    </row>
    <row r="790" spans="1:3" x14ac:dyDescent="0.25">
      <c r="A790" s="5" t="s">
        <v>51</v>
      </c>
      <c r="B790" s="5">
        <v>0</v>
      </c>
      <c r="C790" s="12">
        <v>0</v>
      </c>
    </row>
    <row r="791" spans="1:3" x14ac:dyDescent="0.25">
      <c r="A791" s="6" t="s">
        <v>83</v>
      </c>
      <c r="B791" s="6">
        <v>0</v>
      </c>
      <c r="C791" s="13">
        <v>0</v>
      </c>
    </row>
    <row r="792" spans="1:3" x14ac:dyDescent="0.25">
      <c r="A792" s="5" t="s">
        <v>85</v>
      </c>
      <c r="B792" s="5">
        <v>0</v>
      </c>
      <c r="C792" s="12">
        <v>0</v>
      </c>
    </row>
    <row r="793" spans="1:3" x14ac:dyDescent="0.25">
      <c r="A793" s="6" t="s">
        <v>53</v>
      </c>
      <c r="B793" s="6">
        <v>0</v>
      </c>
      <c r="C793" s="13">
        <v>0</v>
      </c>
    </row>
    <row r="794" spans="1:3" x14ac:dyDescent="0.25">
      <c r="A794" s="5" t="s">
        <v>470</v>
      </c>
      <c r="B794" s="5">
        <v>0</v>
      </c>
      <c r="C794" s="12">
        <v>0</v>
      </c>
    </row>
    <row r="795" spans="1:3" x14ac:dyDescent="0.25">
      <c r="A795" s="6" t="s">
        <v>397</v>
      </c>
      <c r="B795" s="6">
        <v>0</v>
      </c>
      <c r="C795" s="13">
        <v>0</v>
      </c>
    </row>
    <row r="796" spans="1:3" x14ac:dyDescent="0.25">
      <c r="A796" s="5" t="s">
        <v>486</v>
      </c>
      <c r="B796" s="5">
        <v>0</v>
      </c>
      <c r="C796" s="12">
        <v>0</v>
      </c>
    </row>
    <row r="797" spans="1:3" x14ac:dyDescent="0.25">
      <c r="A797" s="6" t="s">
        <v>89</v>
      </c>
      <c r="B797" s="6">
        <v>0</v>
      </c>
      <c r="C797" s="13">
        <v>0</v>
      </c>
    </row>
    <row r="798" spans="1:3" x14ac:dyDescent="0.25">
      <c r="A798" s="5" t="s">
        <v>138</v>
      </c>
      <c r="B798" s="5">
        <v>0</v>
      </c>
      <c r="C798" s="12">
        <v>0</v>
      </c>
    </row>
    <row r="799" spans="1:3" x14ac:dyDescent="0.25">
      <c r="A799" s="6" t="s">
        <v>348</v>
      </c>
      <c r="B799" s="6">
        <v>0</v>
      </c>
      <c r="C799" s="13">
        <v>0</v>
      </c>
    </row>
    <row r="800" spans="1:3" x14ac:dyDescent="0.25">
      <c r="A800" s="5" t="s">
        <v>29</v>
      </c>
      <c r="B800" s="5">
        <v>0</v>
      </c>
      <c r="C800" s="12">
        <v>0</v>
      </c>
    </row>
    <row r="801" spans="1:3" x14ac:dyDescent="0.25">
      <c r="A801" s="6" t="s">
        <v>5</v>
      </c>
      <c r="B801" s="6">
        <v>0</v>
      </c>
      <c r="C801" s="13">
        <v>0</v>
      </c>
    </row>
    <row r="802" spans="1:3" x14ac:dyDescent="0.25">
      <c r="A802" s="5" t="s">
        <v>9</v>
      </c>
      <c r="B802" s="5">
        <v>0</v>
      </c>
      <c r="C802" s="12">
        <v>0</v>
      </c>
    </row>
    <row r="803" spans="1:3" x14ac:dyDescent="0.25">
      <c r="A803" s="6" t="s">
        <v>11</v>
      </c>
      <c r="B803" s="6">
        <v>0</v>
      </c>
      <c r="C803" s="13">
        <v>0</v>
      </c>
    </row>
    <row r="804" spans="1:3" x14ac:dyDescent="0.25">
      <c r="A804" s="5" t="s">
        <v>296</v>
      </c>
      <c r="B804" s="5">
        <v>0</v>
      </c>
      <c r="C804" s="12">
        <v>0</v>
      </c>
    </row>
    <row r="805" spans="1:3" x14ac:dyDescent="0.25">
      <c r="A805" s="6" t="s">
        <v>35</v>
      </c>
      <c r="B805" s="6">
        <v>0</v>
      </c>
      <c r="C805" s="13">
        <v>0</v>
      </c>
    </row>
    <row r="806" spans="1:3" x14ac:dyDescent="0.25">
      <c r="A806" s="5" t="s">
        <v>70</v>
      </c>
      <c r="B806" s="5">
        <v>0</v>
      </c>
      <c r="C806" s="12">
        <v>0</v>
      </c>
    </row>
    <row r="807" spans="1:3" x14ac:dyDescent="0.25">
      <c r="A807" s="6" t="s">
        <v>59</v>
      </c>
      <c r="B807" s="6">
        <v>0</v>
      </c>
      <c r="C807" s="13">
        <v>0</v>
      </c>
    </row>
    <row r="808" spans="1:3" x14ac:dyDescent="0.25">
      <c r="A808" s="5" t="s">
        <v>97</v>
      </c>
      <c r="B808" s="5">
        <v>0</v>
      </c>
      <c r="C808" s="12">
        <v>0</v>
      </c>
    </row>
    <row r="809" spans="1:3" x14ac:dyDescent="0.25">
      <c r="A809" s="6" t="s">
        <v>181</v>
      </c>
      <c r="B809" s="6">
        <v>0</v>
      </c>
      <c r="C809" s="13">
        <v>0</v>
      </c>
    </row>
    <row r="810" spans="1:3" x14ac:dyDescent="0.25">
      <c r="A810" s="5" t="s">
        <v>36</v>
      </c>
      <c r="B810" s="5">
        <v>0</v>
      </c>
      <c r="C810" s="12">
        <v>0</v>
      </c>
    </row>
    <row r="811" spans="1:3" x14ac:dyDescent="0.25">
      <c r="A811" s="6" t="s">
        <v>208</v>
      </c>
      <c r="B811" s="6">
        <v>0</v>
      </c>
      <c r="C811" s="13">
        <v>0</v>
      </c>
    </row>
    <row r="812" spans="1:3" x14ac:dyDescent="0.25">
      <c r="A812" s="5" t="s">
        <v>16</v>
      </c>
      <c r="B812" s="5">
        <v>0</v>
      </c>
      <c r="C812" s="12">
        <v>0</v>
      </c>
    </row>
    <row r="813" spans="1:3" x14ac:dyDescent="0.25">
      <c r="A813" s="6" t="s">
        <v>184</v>
      </c>
      <c r="B813" s="6">
        <v>0</v>
      </c>
      <c r="C813" s="13">
        <v>0</v>
      </c>
    </row>
    <row r="814" spans="1:3" x14ac:dyDescent="0.25">
      <c r="A814" s="5" t="s">
        <v>186</v>
      </c>
      <c r="B814" s="5">
        <v>0</v>
      </c>
      <c r="C814" s="12">
        <v>0</v>
      </c>
    </row>
    <row r="815" spans="1:3" x14ac:dyDescent="0.25">
      <c r="A815" s="6" t="s">
        <v>409</v>
      </c>
      <c r="B815" s="6">
        <v>0</v>
      </c>
      <c r="C815" s="13">
        <v>0</v>
      </c>
    </row>
    <row r="816" spans="1:3" x14ac:dyDescent="0.25">
      <c r="A816" s="5" t="s">
        <v>503</v>
      </c>
      <c r="B816" s="5">
        <v>0</v>
      </c>
      <c r="C816" s="12">
        <v>0</v>
      </c>
    </row>
    <row r="817" spans="1:3" x14ac:dyDescent="0.25">
      <c r="A817" s="6" t="s">
        <v>335</v>
      </c>
      <c r="B817" s="6">
        <v>0</v>
      </c>
      <c r="C817" s="13">
        <v>0</v>
      </c>
    </row>
    <row r="818" spans="1:3" x14ac:dyDescent="0.25">
      <c r="A818" s="5" t="s">
        <v>18</v>
      </c>
      <c r="B818" s="5">
        <v>0</v>
      </c>
      <c r="C818" s="12">
        <v>0</v>
      </c>
    </row>
    <row r="819" spans="1:3" x14ac:dyDescent="0.25">
      <c r="A819" s="6" t="s">
        <v>41</v>
      </c>
      <c r="B819" s="6">
        <v>0</v>
      </c>
      <c r="C819" s="13">
        <v>0</v>
      </c>
    </row>
    <row r="820" spans="1:3" x14ac:dyDescent="0.25">
      <c r="A820" s="5" t="s">
        <v>506</v>
      </c>
      <c r="B820" s="5">
        <v>0</v>
      </c>
      <c r="C820" s="12">
        <v>0</v>
      </c>
    </row>
    <row r="821" spans="1:3" x14ac:dyDescent="0.25">
      <c r="A821" s="6" t="s">
        <v>118</v>
      </c>
      <c r="B821" s="6">
        <v>0</v>
      </c>
      <c r="C821" s="13">
        <v>0</v>
      </c>
    </row>
    <row r="822" spans="1:3" x14ac:dyDescent="0.25">
      <c r="A822" s="5" t="s">
        <v>60</v>
      </c>
      <c r="B822" s="5">
        <v>0</v>
      </c>
      <c r="C822" s="12">
        <v>0</v>
      </c>
    </row>
    <row r="823" spans="1:3" x14ac:dyDescent="0.25">
      <c r="A823" s="6" t="s">
        <v>236</v>
      </c>
      <c r="B823" s="6">
        <v>0</v>
      </c>
      <c r="C823" s="13">
        <v>0</v>
      </c>
    </row>
    <row r="824" spans="1:3" x14ac:dyDescent="0.25">
      <c r="A824" s="5" t="s">
        <v>20</v>
      </c>
      <c r="B824" s="5">
        <v>0</v>
      </c>
      <c r="C824" s="12">
        <v>0</v>
      </c>
    </row>
    <row r="825" spans="1:3" x14ac:dyDescent="0.25">
      <c r="A825" s="6" t="s">
        <v>99</v>
      </c>
      <c r="B825" s="6">
        <v>0</v>
      </c>
      <c r="C825" s="13">
        <v>0</v>
      </c>
    </row>
    <row r="826" spans="1:3" x14ac:dyDescent="0.25">
      <c r="A826" s="5" t="s">
        <v>238</v>
      </c>
      <c r="B826" s="5">
        <v>0</v>
      </c>
      <c r="C826" s="12">
        <v>0</v>
      </c>
    </row>
    <row r="827" spans="1:3" x14ac:dyDescent="0.25">
      <c r="A827" s="6" t="s">
        <v>22</v>
      </c>
      <c r="B827" s="6">
        <v>0</v>
      </c>
      <c r="C827" s="13">
        <v>0</v>
      </c>
    </row>
    <row r="828" spans="1:3" x14ac:dyDescent="0.25">
      <c r="A828" s="5" t="s">
        <v>100</v>
      </c>
      <c r="B828" s="5">
        <v>0</v>
      </c>
      <c r="C828" s="12">
        <v>0</v>
      </c>
    </row>
    <row r="829" spans="1:3" x14ac:dyDescent="0.25">
      <c r="A829" s="6" t="s">
        <v>23</v>
      </c>
      <c r="B829" s="6">
        <v>0</v>
      </c>
      <c r="C829" s="13">
        <v>0</v>
      </c>
    </row>
    <row r="830" spans="1:3" x14ac:dyDescent="0.25">
      <c r="A830" s="5" t="s">
        <v>511</v>
      </c>
      <c r="B830" s="5">
        <v>0</v>
      </c>
      <c r="C830" s="12">
        <v>0</v>
      </c>
    </row>
    <row r="831" spans="1:3" x14ac:dyDescent="0.25">
      <c r="A831" s="6" t="s">
        <v>49</v>
      </c>
      <c r="B831" s="6">
        <v>0</v>
      </c>
      <c r="C831" s="13">
        <v>0</v>
      </c>
    </row>
    <row r="832" spans="1:3" x14ac:dyDescent="0.25">
      <c r="A832" s="5" t="s">
        <v>268</v>
      </c>
      <c r="B832" s="5">
        <v>0</v>
      </c>
      <c r="C832" s="12">
        <v>0</v>
      </c>
    </row>
    <row r="833" spans="1:3" x14ac:dyDescent="0.25">
      <c r="A833" s="6" t="s">
        <v>25</v>
      </c>
      <c r="B833" s="6">
        <v>0</v>
      </c>
      <c r="C833" s="13">
        <v>0</v>
      </c>
    </row>
    <row r="834" spans="1:3" x14ac:dyDescent="0.25">
      <c r="A834" s="5" t="s">
        <v>193</v>
      </c>
      <c r="B834" s="5">
        <v>0</v>
      </c>
      <c r="C834" s="12">
        <v>0</v>
      </c>
    </row>
    <row r="835" spans="1:3" x14ac:dyDescent="0.25">
      <c r="A835" s="6" t="s">
        <v>50</v>
      </c>
      <c r="B835" s="6">
        <v>0</v>
      </c>
      <c r="C835" s="13">
        <v>0</v>
      </c>
    </row>
    <row r="836" spans="1:3" x14ac:dyDescent="0.25">
      <c r="A836" s="5" t="s">
        <v>62</v>
      </c>
      <c r="B836" s="5">
        <v>0</v>
      </c>
      <c r="C836" s="12">
        <v>0</v>
      </c>
    </row>
    <row r="837" spans="1:3" x14ac:dyDescent="0.25">
      <c r="A837" s="6" t="s">
        <v>516</v>
      </c>
      <c r="B837" s="6">
        <v>0</v>
      </c>
      <c r="C837" s="13">
        <v>0</v>
      </c>
    </row>
    <row r="838" spans="1:3" x14ac:dyDescent="0.25">
      <c r="A838" s="5" t="s">
        <v>51</v>
      </c>
      <c r="B838" s="5">
        <v>0</v>
      </c>
      <c r="C838" s="12">
        <v>0</v>
      </c>
    </row>
    <row r="839" spans="1:3" x14ac:dyDescent="0.25">
      <c r="A839" s="6" t="s">
        <v>83</v>
      </c>
      <c r="B839" s="6">
        <v>0</v>
      </c>
      <c r="C839" s="13">
        <v>0</v>
      </c>
    </row>
    <row r="840" spans="1:3" x14ac:dyDescent="0.25">
      <c r="A840" s="5" t="s">
        <v>85</v>
      </c>
      <c r="B840" s="5">
        <v>0</v>
      </c>
      <c r="C840" s="12">
        <v>0</v>
      </c>
    </row>
    <row r="841" spans="1:3" x14ac:dyDescent="0.25">
      <c r="A841" s="6" t="s">
        <v>53</v>
      </c>
      <c r="B841" s="6">
        <v>0</v>
      </c>
      <c r="C841" s="13">
        <v>0</v>
      </c>
    </row>
    <row r="842" spans="1:3" x14ac:dyDescent="0.25">
      <c r="A842" s="5" t="s">
        <v>262</v>
      </c>
      <c r="B842" s="5">
        <v>0</v>
      </c>
      <c r="C842" s="12">
        <v>0</v>
      </c>
    </row>
    <row r="843" spans="1:3" x14ac:dyDescent="0.25">
      <c r="A843" s="6" t="s">
        <v>470</v>
      </c>
      <c r="B843" s="6">
        <v>0</v>
      </c>
      <c r="C843" s="13">
        <v>0</v>
      </c>
    </row>
    <row r="844" spans="1:3" x14ac:dyDescent="0.25">
      <c r="A844" s="5" t="s">
        <v>397</v>
      </c>
      <c r="B844" s="5">
        <v>0</v>
      </c>
      <c r="C844" s="12">
        <v>0</v>
      </c>
    </row>
    <row r="845" spans="1:3" x14ac:dyDescent="0.25">
      <c r="A845" s="6" t="s">
        <v>486</v>
      </c>
      <c r="B845" s="6">
        <v>0</v>
      </c>
      <c r="C845" s="13">
        <v>0</v>
      </c>
    </row>
    <row r="846" spans="1:3" x14ac:dyDescent="0.25">
      <c r="A846" s="5" t="s">
        <v>89</v>
      </c>
      <c r="B846" s="5">
        <v>0</v>
      </c>
      <c r="C846" s="12">
        <v>0</v>
      </c>
    </row>
    <row r="847" spans="1:3" x14ac:dyDescent="0.25">
      <c r="A847" s="6" t="s">
        <v>138</v>
      </c>
      <c r="B847" s="6">
        <v>0</v>
      </c>
      <c r="C847" s="13">
        <v>0</v>
      </c>
    </row>
    <row r="848" spans="1:3" x14ac:dyDescent="0.25">
      <c r="A848" s="5" t="s">
        <v>348</v>
      </c>
      <c r="B848" s="5">
        <v>0</v>
      </c>
      <c r="C848" s="12">
        <v>0</v>
      </c>
    </row>
    <row r="849" spans="1:3" x14ac:dyDescent="0.25">
      <c r="A849" s="6" t="s">
        <v>321</v>
      </c>
      <c r="B849" s="6">
        <v>0</v>
      </c>
      <c r="C849" s="13">
        <v>0</v>
      </c>
    </row>
    <row r="850" spans="1:3" x14ac:dyDescent="0.25">
      <c r="A850" s="5" t="s">
        <v>27</v>
      </c>
      <c r="B850" s="5">
        <v>0</v>
      </c>
      <c r="C850" s="12">
        <v>0</v>
      </c>
    </row>
    <row r="851" spans="1:3" x14ac:dyDescent="0.25">
      <c r="A851" s="6" t="s">
        <v>55</v>
      </c>
      <c r="B851" s="6">
        <v>0</v>
      </c>
      <c r="C851" s="13">
        <v>0</v>
      </c>
    </row>
    <row r="852" spans="1:3" x14ac:dyDescent="0.25">
      <c r="A852" s="5" t="s">
        <v>5</v>
      </c>
      <c r="B852" s="5">
        <v>0</v>
      </c>
      <c r="C852" s="12">
        <v>0</v>
      </c>
    </row>
    <row r="853" spans="1:3" x14ac:dyDescent="0.25">
      <c r="A853" s="6" t="s">
        <v>9</v>
      </c>
      <c r="B853" s="6">
        <v>0</v>
      </c>
      <c r="C853" s="13">
        <v>0</v>
      </c>
    </row>
    <row r="854" spans="1:3" x14ac:dyDescent="0.25">
      <c r="A854" s="5" t="s">
        <v>11</v>
      </c>
      <c r="B854" s="5">
        <v>0</v>
      </c>
      <c r="C854" s="12">
        <v>0</v>
      </c>
    </row>
    <row r="855" spans="1:3" x14ac:dyDescent="0.25">
      <c r="A855" s="6" t="s">
        <v>296</v>
      </c>
      <c r="B855" s="6">
        <v>0</v>
      </c>
      <c r="C855" s="13">
        <v>0</v>
      </c>
    </row>
    <row r="856" spans="1:3" x14ac:dyDescent="0.25">
      <c r="A856" s="5" t="s">
        <v>35</v>
      </c>
      <c r="B856" s="5">
        <v>0</v>
      </c>
      <c r="C856" s="12">
        <v>0</v>
      </c>
    </row>
    <row r="857" spans="1:3" x14ac:dyDescent="0.25">
      <c r="A857" s="6" t="s">
        <v>15</v>
      </c>
      <c r="B857" s="6">
        <v>0</v>
      </c>
      <c r="C857" s="13">
        <v>0</v>
      </c>
    </row>
    <row r="858" spans="1:3" x14ac:dyDescent="0.25">
      <c r="A858" s="5" t="s">
        <v>70</v>
      </c>
      <c r="B858" s="5">
        <v>0</v>
      </c>
      <c r="C858" s="12">
        <v>0</v>
      </c>
    </row>
    <row r="859" spans="1:3" x14ac:dyDescent="0.25">
      <c r="A859" s="6" t="s">
        <v>59</v>
      </c>
      <c r="B859" s="6">
        <v>0</v>
      </c>
      <c r="C859" s="13">
        <v>0</v>
      </c>
    </row>
    <row r="860" spans="1:3" x14ac:dyDescent="0.25">
      <c r="A860" s="5" t="s">
        <v>181</v>
      </c>
      <c r="B860" s="5">
        <v>0</v>
      </c>
      <c r="C860" s="12">
        <v>0</v>
      </c>
    </row>
    <row r="861" spans="1:3" x14ac:dyDescent="0.25">
      <c r="A861" s="6" t="s">
        <v>36</v>
      </c>
      <c r="B861" s="6">
        <v>0</v>
      </c>
      <c r="C861" s="13">
        <v>0</v>
      </c>
    </row>
    <row r="862" spans="1:3" x14ac:dyDescent="0.25">
      <c r="A862" s="5" t="s">
        <v>530</v>
      </c>
      <c r="B862" s="5">
        <v>0</v>
      </c>
      <c r="C862" s="12">
        <v>0</v>
      </c>
    </row>
    <row r="863" spans="1:3" x14ac:dyDescent="0.25">
      <c r="A863" s="6" t="s">
        <v>37</v>
      </c>
      <c r="B863" s="6">
        <v>0</v>
      </c>
      <c r="C863" s="13">
        <v>0</v>
      </c>
    </row>
    <row r="864" spans="1:3" x14ac:dyDescent="0.25">
      <c r="A864" s="5" t="s">
        <v>16</v>
      </c>
      <c r="B864" s="5">
        <v>0</v>
      </c>
      <c r="C864" s="12">
        <v>0</v>
      </c>
    </row>
    <row r="865" spans="1:3" x14ac:dyDescent="0.25">
      <c r="A865" s="6" t="s">
        <v>184</v>
      </c>
      <c r="B865" s="6">
        <v>0</v>
      </c>
      <c r="C865" s="13">
        <v>0</v>
      </c>
    </row>
    <row r="866" spans="1:3" x14ac:dyDescent="0.25">
      <c r="A866" s="5" t="s">
        <v>534</v>
      </c>
      <c r="B866" s="5">
        <v>0</v>
      </c>
      <c r="C866" s="12">
        <v>0</v>
      </c>
    </row>
    <row r="867" spans="1:3" x14ac:dyDescent="0.25">
      <c r="A867" s="6" t="s">
        <v>186</v>
      </c>
      <c r="B867" s="6">
        <v>0</v>
      </c>
      <c r="C867" s="13">
        <v>0</v>
      </c>
    </row>
    <row r="868" spans="1:3" x14ac:dyDescent="0.25">
      <c r="A868" s="5" t="s">
        <v>409</v>
      </c>
      <c r="B868" s="5">
        <v>0</v>
      </c>
      <c r="C868" s="12">
        <v>0</v>
      </c>
    </row>
    <row r="869" spans="1:3" x14ac:dyDescent="0.25">
      <c r="A869" s="6" t="s">
        <v>503</v>
      </c>
      <c r="B869" s="6">
        <v>0</v>
      </c>
      <c r="C869" s="13">
        <v>0</v>
      </c>
    </row>
    <row r="870" spans="1:3" x14ac:dyDescent="0.25">
      <c r="A870" s="5" t="s">
        <v>538</v>
      </c>
      <c r="B870" s="5">
        <v>0</v>
      </c>
      <c r="C870" s="12">
        <v>0</v>
      </c>
    </row>
    <row r="871" spans="1:3" x14ac:dyDescent="0.25">
      <c r="A871" s="6" t="s">
        <v>18</v>
      </c>
      <c r="B871" s="6">
        <v>0</v>
      </c>
      <c r="C871" s="13">
        <v>0</v>
      </c>
    </row>
    <row r="872" spans="1:3" x14ac:dyDescent="0.25">
      <c r="A872" s="5" t="s">
        <v>41</v>
      </c>
      <c r="B872" s="5">
        <v>0</v>
      </c>
      <c r="C872" s="12">
        <v>0</v>
      </c>
    </row>
    <row r="873" spans="1:3" x14ac:dyDescent="0.25">
      <c r="A873" s="6" t="s">
        <v>118</v>
      </c>
      <c r="B873" s="6">
        <v>0</v>
      </c>
      <c r="C873" s="13">
        <v>0</v>
      </c>
    </row>
    <row r="874" spans="1:3" x14ac:dyDescent="0.25">
      <c r="A874" s="5" t="s">
        <v>383</v>
      </c>
      <c r="B874" s="5">
        <v>0</v>
      </c>
      <c r="C874" s="12">
        <v>0</v>
      </c>
    </row>
    <row r="875" spans="1:3" x14ac:dyDescent="0.25">
      <c r="A875" s="6" t="s">
        <v>20</v>
      </c>
      <c r="B875" s="6">
        <v>0</v>
      </c>
      <c r="C875" s="13">
        <v>0</v>
      </c>
    </row>
    <row r="876" spans="1:3" x14ac:dyDescent="0.25">
      <c r="A876" s="5" t="s">
        <v>540</v>
      </c>
      <c r="B876" s="5">
        <v>0</v>
      </c>
      <c r="C876" s="12">
        <v>0</v>
      </c>
    </row>
    <row r="877" spans="1:3" x14ac:dyDescent="0.25">
      <c r="A877" s="6" t="s">
        <v>156</v>
      </c>
      <c r="B877" s="6">
        <v>0</v>
      </c>
      <c r="C877" s="13">
        <v>0</v>
      </c>
    </row>
    <row r="878" spans="1:3" x14ac:dyDescent="0.25">
      <c r="A878" s="5" t="s">
        <v>384</v>
      </c>
      <c r="B878" s="5">
        <v>0</v>
      </c>
      <c r="C878" s="12">
        <v>0</v>
      </c>
    </row>
    <row r="879" spans="1:3" x14ac:dyDescent="0.25">
      <c r="A879" s="6" t="s">
        <v>238</v>
      </c>
      <c r="B879" s="6">
        <v>0</v>
      </c>
      <c r="C879" s="13">
        <v>0</v>
      </c>
    </row>
    <row r="880" spans="1:3" x14ac:dyDescent="0.25">
      <c r="A880" s="5" t="s">
        <v>22</v>
      </c>
      <c r="B880" s="5">
        <v>0</v>
      </c>
      <c r="C880" s="12">
        <v>0</v>
      </c>
    </row>
    <row r="881" spans="1:3" x14ac:dyDescent="0.25">
      <c r="A881" s="6" t="s">
        <v>61</v>
      </c>
      <c r="B881" s="6">
        <v>0</v>
      </c>
      <c r="C881" s="13">
        <v>0</v>
      </c>
    </row>
    <row r="882" spans="1:3" x14ac:dyDescent="0.25">
      <c r="A882" s="5" t="s">
        <v>46</v>
      </c>
      <c r="B882" s="5">
        <v>0</v>
      </c>
      <c r="C882" s="12">
        <v>0</v>
      </c>
    </row>
    <row r="883" spans="1:3" x14ac:dyDescent="0.25">
      <c r="A883" s="6" t="s">
        <v>100</v>
      </c>
      <c r="B883" s="6">
        <v>0</v>
      </c>
      <c r="C883" s="13">
        <v>0</v>
      </c>
    </row>
    <row r="884" spans="1:3" x14ac:dyDescent="0.25">
      <c r="A884" s="5" t="s">
        <v>23</v>
      </c>
      <c r="B884" s="5">
        <v>0</v>
      </c>
      <c r="C884" s="12">
        <v>0</v>
      </c>
    </row>
    <row r="885" spans="1:3" x14ac:dyDescent="0.25">
      <c r="A885" s="6" t="s">
        <v>511</v>
      </c>
      <c r="B885" s="6">
        <v>0</v>
      </c>
      <c r="C885" s="13">
        <v>0</v>
      </c>
    </row>
    <row r="886" spans="1:3" x14ac:dyDescent="0.25">
      <c r="A886" s="5" t="s">
        <v>268</v>
      </c>
      <c r="B886" s="5">
        <v>0</v>
      </c>
      <c r="C886" s="12">
        <v>0</v>
      </c>
    </row>
    <row r="887" spans="1:3" x14ac:dyDescent="0.25">
      <c r="A887" s="6" t="s">
        <v>25</v>
      </c>
      <c r="B887" s="6">
        <v>0</v>
      </c>
      <c r="C887" s="13">
        <v>0</v>
      </c>
    </row>
    <row r="888" spans="1:3" x14ac:dyDescent="0.25">
      <c r="A888" s="5" t="s">
        <v>546</v>
      </c>
      <c r="B888" s="5">
        <v>0</v>
      </c>
      <c r="C888" s="12">
        <v>0</v>
      </c>
    </row>
    <row r="889" spans="1:3" x14ac:dyDescent="0.25">
      <c r="A889" s="6" t="s">
        <v>193</v>
      </c>
      <c r="B889" s="6">
        <v>0</v>
      </c>
      <c r="C889" s="13">
        <v>0</v>
      </c>
    </row>
    <row r="890" spans="1:3" x14ac:dyDescent="0.25">
      <c r="A890" s="5" t="s">
        <v>50</v>
      </c>
      <c r="B890" s="5">
        <v>0</v>
      </c>
      <c r="C890" s="12">
        <v>0</v>
      </c>
    </row>
    <row r="891" spans="1:3" x14ac:dyDescent="0.25">
      <c r="A891" s="6" t="s">
        <v>62</v>
      </c>
      <c r="B891" s="6">
        <v>0</v>
      </c>
      <c r="C891" s="13">
        <v>0</v>
      </c>
    </row>
    <row r="892" spans="1:3" x14ac:dyDescent="0.25">
      <c r="A892" s="5" t="s">
        <v>51</v>
      </c>
      <c r="B892" s="5">
        <v>0</v>
      </c>
      <c r="C892" s="12">
        <v>0</v>
      </c>
    </row>
    <row r="893" spans="1:3" x14ac:dyDescent="0.25">
      <c r="A893" s="6" t="s">
        <v>83</v>
      </c>
      <c r="B893" s="6">
        <v>0</v>
      </c>
      <c r="C893" s="13">
        <v>0</v>
      </c>
    </row>
    <row r="894" spans="1:3" x14ac:dyDescent="0.25">
      <c r="A894" s="5" t="s">
        <v>549</v>
      </c>
      <c r="B894" s="5">
        <v>0</v>
      </c>
      <c r="C894" s="12">
        <v>0</v>
      </c>
    </row>
    <row r="895" spans="1:3" x14ac:dyDescent="0.25">
      <c r="A895" s="6" t="s">
        <v>53</v>
      </c>
      <c r="B895" s="6">
        <v>0</v>
      </c>
      <c r="C895" s="13">
        <v>0</v>
      </c>
    </row>
    <row r="896" spans="1:3" x14ac:dyDescent="0.25">
      <c r="A896" s="5" t="s">
        <v>54</v>
      </c>
      <c r="B896" s="5">
        <v>0</v>
      </c>
      <c r="C896" s="12">
        <v>0</v>
      </c>
    </row>
    <row r="897" spans="1:3" x14ac:dyDescent="0.25">
      <c r="A897" s="6" t="s">
        <v>470</v>
      </c>
      <c r="B897" s="6">
        <v>0</v>
      </c>
      <c r="C897" s="13">
        <v>0</v>
      </c>
    </row>
    <row r="898" spans="1:3" x14ac:dyDescent="0.25">
      <c r="A898" s="5" t="s">
        <v>397</v>
      </c>
      <c r="B898" s="5">
        <v>0</v>
      </c>
      <c r="C898" s="12">
        <v>0</v>
      </c>
    </row>
    <row r="899" spans="1:3" x14ac:dyDescent="0.25">
      <c r="A899" s="6" t="s">
        <v>89</v>
      </c>
      <c r="B899" s="6">
        <v>0</v>
      </c>
      <c r="C899" s="13">
        <v>0</v>
      </c>
    </row>
    <row r="900" spans="1:3" x14ac:dyDescent="0.25">
      <c r="A900" s="5" t="s">
        <v>321</v>
      </c>
      <c r="B900" s="5">
        <v>0</v>
      </c>
      <c r="C900" s="12">
        <v>0</v>
      </c>
    </row>
    <row r="901" spans="1:3" x14ac:dyDescent="0.25">
      <c r="A901" s="6" t="s">
        <v>29</v>
      </c>
      <c r="B901" s="6">
        <v>0</v>
      </c>
      <c r="C901" s="13">
        <v>0</v>
      </c>
    </row>
    <row r="902" spans="1:3" x14ac:dyDescent="0.25">
      <c r="A902" s="5" t="s">
        <v>9</v>
      </c>
      <c r="B902" s="5">
        <v>0</v>
      </c>
      <c r="C902" s="12">
        <v>0</v>
      </c>
    </row>
    <row r="903" spans="1:3" x14ac:dyDescent="0.25">
      <c r="A903" s="6" t="s">
        <v>11</v>
      </c>
      <c r="B903" s="6">
        <v>0</v>
      </c>
      <c r="C903" s="13">
        <v>0</v>
      </c>
    </row>
    <row r="904" spans="1:3" x14ac:dyDescent="0.25">
      <c r="A904" s="5" t="s">
        <v>296</v>
      </c>
      <c r="B904" s="5">
        <v>0</v>
      </c>
      <c r="C904" s="12">
        <v>0</v>
      </c>
    </row>
    <row r="905" spans="1:3" x14ac:dyDescent="0.25">
      <c r="A905" s="6" t="s">
        <v>35</v>
      </c>
      <c r="B905" s="6">
        <v>0</v>
      </c>
      <c r="C905" s="13">
        <v>0</v>
      </c>
    </row>
    <row r="906" spans="1:3" x14ac:dyDescent="0.25">
      <c r="A906" s="5" t="s">
        <v>70</v>
      </c>
      <c r="B906" s="5">
        <v>0</v>
      </c>
      <c r="C906" s="12">
        <v>0</v>
      </c>
    </row>
    <row r="907" spans="1:3" x14ac:dyDescent="0.25">
      <c r="A907" s="6" t="s">
        <v>181</v>
      </c>
      <c r="B907" s="6">
        <v>0</v>
      </c>
      <c r="C907" s="13">
        <v>0</v>
      </c>
    </row>
    <row r="908" spans="1:3" x14ac:dyDescent="0.25">
      <c r="A908" s="5" t="s">
        <v>359</v>
      </c>
      <c r="B908" s="5">
        <v>0</v>
      </c>
      <c r="C908" s="12">
        <v>0</v>
      </c>
    </row>
    <row r="909" spans="1:3" x14ac:dyDescent="0.25">
      <c r="A909" s="6" t="s">
        <v>36</v>
      </c>
      <c r="B909" s="6">
        <v>0</v>
      </c>
      <c r="C909" s="13">
        <v>0</v>
      </c>
    </row>
    <row r="910" spans="1:3" x14ac:dyDescent="0.25">
      <c r="A910" s="5" t="s">
        <v>530</v>
      </c>
      <c r="B910" s="5">
        <v>0</v>
      </c>
      <c r="C910" s="12">
        <v>0</v>
      </c>
    </row>
    <row r="911" spans="1:3" x14ac:dyDescent="0.25">
      <c r="A911" s="6" t="s">
        <v>208</v>
      </c>
      <c r="B911" s="6">
        <v>0</v>
      </c>
      <c r="C911" s="13">
        <v>0</v>
      </c>
    </row>
    <row r="912" spans="1:3" x14ac:dyDescent="0.25">
      <c r="A912" s="5" t="s">
        <v>37</v>
      </c>
      <c r="B912" s="5">
        <v>0</v>
      </c>
      <c r="C912" s="12">
        <v>0</v>
      </c>
    </row>
    <row r="913" spans="1:3" x14ac:dyDescent="0.25">
      <c r="A913" s="6" t="s">
        <v>16</v>
      </c>
      <c r="B913" s="6">
        <v>0</v>
      </c>
      <c r="C913" s="13">
        <v>0</v>
      </c>
    </row>
    <row r="914" spans="1:3" x14ac:dyDescent="0.25">
      <c r="A914" s="5" t="s">
        <v>184</v>
      </c>
      <c r="B914" s="5">
        <v>0</v>
      </c>
      <c r="C914" s="12">
        <v>0</v>
      </c>
    </row>
    <row r="915" spans="1:3" x14ac:dyDescent="0.25">
      <c r="A915" s="6" t="s">
        <v>186</v>
      </c>
      <c r="B915" s="6">
        <v>0</v>
      </c>
      <c r="C915" s="13">
        <v>0</v>
      </c>
    </row>
    <row r="916" spans="1:3" x14ac:dyDescent="0.25">
      <c r="A916" s="5" t="s">
        <v>409</v>
      </c>
      <c r="B916" s="5">
        <v>0</v>
      </c>
      <c r="C916" s="12">
        <v>0</v>
      </c>
    </row>
    <row r="917" spans="1:3" x14ac:dyDescent="0.25">
      <c r="A917" s="6" t="s">
        <v>538</v>
      </c>
      <c r="B917" s="6">
        <v>0</v>
      </c>
      <c r="C917" s="13">
        <v>0</v>
      </c>
    </row>
    <row r="918" spans="1:3" x14ac:dyDescent="0.25">
      <c r="A918" s="5" t="s">
        <v>410</v>
      </c>
      <c r="B918" s="5">
        <v>0</v>
      </c>
      <c r="C918" s="12">
        <v>0</v>
      </c>
    </row>
    <row r="919" spans="1:3" x14ac:dyDescent="0.25">
      <c r="A919" s="6" t="s">
        <v>335</v>
      </c>
      <c r="B919" s="6">
        <v>0</v>
      </c>
      <c r="C919" s="13">
        <v>0</v>
      </c>
    </row>
    <row r="920" spans="1:3" x14ac:dyDescent="0.25">
      <c r="A920" s="5" t="s">
        <v>18</v>
      </c>
      <c r="B920" s="5">
        <v>0</v>
      </c>
      <c r="C920" s="12">
        <v>0</v>
      </c>
    </row>
    <row r="921" spans="1:3" x14ac:dyDescent="0.25">
      <c r="A921" s="6" t="s">
        <v>41</v>
      </c>
      <c r="B921" s="6">
        <v>0</v>
      </c>
      <c r="C921" s="13">
        <v>0</v>
      </c>
    </row>
    <row r="922" spans="1:3" x14ac:dyDescent="0.25">
      <c r="A922" s="5" t="s">
        <v>267</v>
      </c>
      <c r="B922" s="5">
        <v>0</v>
      </c>
      <c r="C922" s="12">
        <v>0</v>
      </c>
    </row>
    <row r="923" spans="1:3" x14ac:dyDescent="0.25">
      <c r="A923" s="6" t="s">
        <v>506</v>
      </c>
      <c r="B923" s="6">
        <v>0</v>
      </c>
      <c r="C923" s="13">
        <v>0</v>
      </c>
    </row>
    <row r="924" spans="1:3" x14ac:dyDescent="0.25">
      <c r="A924" s="5" t="s">
        <v>118</v>
      </c>
      <c r="B924" s="5">
        <v>0</v>
      </c>
      <c r="C924" s="12">
        <v>0</v>
      </c>
    </row>
    <row r="925" spans="1:3" x14ac:dyDescent="0.25">
      <c r="A925" s="6" t="s">
        <v>383</v>
      </c>
      <c r="B925" s="6">
        <v>0</v>
      </c>
      <c r="C925" s="13">
        <v>0</v>
      </c>
    </row>
    <row r="926" spans="1:3" x14ac:dyDescent="0.25">
      <c r="A926" s="5" t="s">
        <v>60</v>
      </c>
      <c r="B926" s="5">
        <v>0</v>
      </c>
      <c r="C926" s="12">
        <v>0</v>
      </c>
    </row>
    <row r="927" spans="1:3" x14ac:dyDescent="0.25">
      <c r="A927" s="6" t="s">
        <v>20</v>
      </c>
      <c r="B927" s="6">
        <v>0</v>
      </c>
      <c r="C927" s="13">
        <v>0</v>
      </c>
    </row>
    <row r="928" spans="1:3" x14ac:dyDescent="0.25">
      <c r="A928" s="5" t="s">
        <v>540</v>
      </c>
      <c r="B928" s="5">
        <v>0</v>
      </c>
      <c r="C928" s="12">
        <v>0</v>
      </c>
    </row>
    <row r="929" spans="1:3" x14ac:dyDescent="0.25">
      <c r="A929" s="6" t="s">
        <v>156</v>
      </c>
      <c r="B929" s="6">
        <v>0</v>
      </c>
      <c r="C929" s="13">
        <v>0</v>
      </c>
    </row>
    <row r="930" spans="1:3" x14ac:dyDescent="0.25">
      <c r="A930" s="5" t="s">
        <v>384</v>
      </c>
      <c r="B930" s="5">
        <v>0</v>
      </c>
      <c r="C930" s="12">
        <v>0</v>
      </c>
    </row>
    <row r="931" spans="1:3" x14ac:dyDescent="0.25">
      <c r="A931" s="6" t="s">
        <v>238</v>
      </c>
      <c r="B931" s="6">
        <v>0</v>
      </c>
      <c r="C931" s="13">
        <v>0</v>
      </c>
    </row>
    <row r="932" spans="1:3" x14ac:dyDescent="0.25">
      <c r="A932" s="5" t="s">
        <v>22</v>
      </c>
      <c r="B932" s="5">
        <v>0</v>
      </c>
      <c r="C932" s="12">
        <v>0</v>
      </c>
    </row>
    <row r="933" spans="1:3" x14ac:dyDescent="0.25">
      <c r="A933" s="6" t="s">
        <v>61</v>
      </c>
      <c r="B933" s="6">
        <v>0</v>
      </c>
      <c r="C933" s="13">
        <v>0</v>
      </c>
    </row>
    <row r="934" spans="1:3" x14ac:dyDescent="0.25">
      <c r="A934" s="5" t="s">
        <v>46</v>
      </c>
      <c r="B934" s="5">
        <v>0</v>
      </c>
      <c r="C934" s="12">
        <v>0</v>
      </c>
    </row>
    <row r="935" spans="1:3" x14ac:dyDescent="0.25">
      <c r="A935" s="6" t="s">
        <v>100</v>
      </c>
      <c r="B935" s="6">
        <v>0</v>
      </c>
      <c r="C935" s="13">
        <v>0</v>
      </c>
    </row>
    <row r="936" spans="1:3" x14ac:dyDescent="0.25">
      <c r="A936" s="5" t="s">
        <v>23</v>
      </c>
      <c r="B936" s="5">
        <v>0</v>
      </c>
      <c r="C936" s="12">
        <v>0</v>
      </c>
    </row>
    <row r="937" spans="1:3" x14ac:dyDescent="0.25">
      <c r="A937" s="6" t="s">
        <v>511</v>
      </c>
      <c r="B937" s="6">
        <v>0</v>
      </c>
      <c r="C937" s="13">
        <v>0</v>
      </c>
    </row>
    <row r="938" spans="1:3" x14ac:dyDescent="0.25">
      <c r="A938" s="5" t="s">
        <v>49</v>
      </c>
      <c r="B938" s="5">
        <v>0</v>
      </c>
      <c r="C938" s="12">
        <v>0</v>
      </c>
    </row>
    <row r="939" spans="1:3" x14ac:dyDescent="0.25">
      <c r="A939" s="6" t="s">
        <v>268</v>
      </c>
      <c r="B939" s="6">
        <v>0</v>
      </c>
      <c r="C939" s="13">
        <v>0</v>
      </c>
    </row>
    <row r="940" spans="1:3" x14ac:dyDescent="0.25">
      <c r="A940" s="5" t="s">
        <v>25</v>
      </c>
      <c r="B940" s="5">
        <v>0</v>
      </c>
      <c r="C940" s="12">
        <v>0</v>
      </c>
    </row>
    <row r="941" spans="1:3" x14ac:dyDescent="0.25">
      <c r="A941" s="6" t="s">
        <v>546</v>
      </c>
      <c r="B941" s="6">
        <v>0</v>
      </c>
      <c r="C941" s="13">
        <v>0</v>
      </c>
    </row>
    <row r="942" spans="1:3" x14ac:dyDescent="0.25">
      <c r="A942" s="5" t="s">
        <v>193</v>
      </c>
      <c r="B942" s="5">
        <v>0</v>
      </c>
      <c r="C942" s="12">
        <v>0</v>
      </c>
    </row>
    <row r="943" spans="1:3" x14ac:dyDescent="0.25">
      <c r="A943" s="6" t="s">
        <v>213</v>
      </c>
      <c r="B943" s="6">
        <v>0</v>
      </c>
      <c r="C943" s="13">
        <v>0</v>
      </c>
    </row>
    <row r="944" spans="1:3" x14ac:dyDescent="0.25">
      <c r="A944" s="5" t="s">
        <v>50</v>
      </c>
      <c r="B944" s="5">
        <v>0</v>
      </c>
      <c r="C944" s="12">
        <v>0</v>
      </c>
    </row>
    <row r="945" spans="1:3" x14ac:dyDescent="0.25">
      <c r="A945" s="6" t="s">
        <v>570</v>
      </c>
      <c r="B945" s="6">
        <v>0</v>
      </c>
      <c r="C945" s="13">
        <v>0</v>
      </c>
    </row>
    <row r="946" spans="1:3" x14ac:dyDescent="0.25">
      <c r="A946" s="5" t="s">
        <v>62</v>
      </c>
      <c r="B946" s="5">
        <v>0</v>
      </c>
      <c r="C946" s="12">
        <v>0</v>
      </c>
    </row>
    <row r="947" spans="1:3" x14ac:dyDescent="0.25">
      <c r="A947" s="6" t="s">
        <v>51</v>
      </c>
      <c r="B947" s="6">
        <v>0</v>
      </c>
      <c r="C947" s="13">
        <v>0</v>
      </c>
    </row>
    <row r="948" spans="1:3" x14ac:dyDescent="0.25">
      <c r="A948" s="5" t="s">
        <v>83</v>
      </c>
      <c r="B948" s="5">
        <v>0</v>
      </c>
      <c r="C948" s="12">
        <v>0</v>
      </c>
    </row>
    <row r="949" spans="1:3" x14ac:dyDescent="0.25">
      <c r="A949" s="6" t="s">
        <v>549</v>
      </c>
      <c r="B949" s="6">
        <v>0</v>
      </c>
      <c r="C949" s="13">
        <v>0</v>
      </c>
    </row>
    <row r="950" spans="1:3" x14ac:dyDescent="0.25">
      <c r="A950" s="5" t="s">
        <v>53</v>
      </c>
      <c r="B950" s="5">
        <v>0</v>
      </c>
      <c r="C950" s="12">
        <v>0</v>
      </c>
    </row>
    <row r="951" spans="1:3" x14ac:dyDescent="0.25">
      <c r="A951" s="6" t="s">
        <v>54</v>
      </c>
      <c r="B951" s="6">
        <v>0</v>
      </c>
      <c r="C951" s="13">
        <v>0</v>
      </c>
    </row>
    <row r="952" spans="1:3" x14ac:dyDescent="0.25">
      <c r="A952" s="5" t="s">
        <v>470</v>
      </c>
      <c r="B952" s="5">
        <v>0</v>
      </c>
      <c r="C952" s="12">
        <v>0</v>
      </c>
    </row>
    <row r="953" spans="1:3" x14ac:dyDescent="0.25">
      <c r="A953" s="6" t="s">
        <v>397</v>
      </c>
      <c r="B953" s="6">
        <v>0</v>
      </c>
      <c r="C953" s="13">
        <v>0</v>
      </c>
    </row>
    <row r="954" spans="1:3" x14ac:dyDescent="0.25">
      <c r="A954" s="5" t="s">
        <v>575</v>
      </c>
      <c r="B954" s="5">
        <v>0</v>
      </c>
      <c r="C954" s="12">
        <v>0</v>
      </c>
    </row>
    <row r="955" spans="1:3" x14ac:dyDescent="0.25">
      <c r="A955" s="6" t="s">
        <v>89</v>
      </c>
      <c r="B955" s="6">
        <v>0</v>
      </c>
      <c r="C955" s="13">
        <v>0</v>
      </c>
    </row>
    <row r="956" spans="1:3" x14ac:dyDescent="0.25">
      <c r="A956" s="5" t="s">
        <v>138</v>
      </c>
      <c r="B956" s="5">
        <v>0</v>
      </c>
      <c r="C956" s="12">
        <v>0</v>
      </c>
    </row>
    <row r="957" spans="1:3" x14ac:dyDescent="0.25">
      <c r="A957" s="6" t="s">
        <v>348</v>
      </c>
      <c r="B957" s="6">
        <v>0</v>
      </c>
      <c r="C957" s="13">
        <v>0</v>
      </c>
    </row>
    <row r="958" spans="1:3" x14ac:dyDescent="0.25">
      <c r="A958" s="5" t="s">
        <v>321</v>
      </c>
      <c r="B958" s="5">
        <v>0</v>
      </c>
      <c r="C958" s="12">
        <v>0</v>
      </c>
    </row>
    <row r="959" spans="1:3" x14ac:dyDescent="0.25">
      <c r="A959" s="6" t="s">
        <v>9</v>
      </c>
      <c r="B959" s="6">
        <v>0</v>
      </c>
      <c r="C959" s="13">
        <v>0</v>
      </c>
    </row>
    <row r="960" spans="1:3" x14ac:dyDescent="0.25">
      <c r="A960" s="5" t="s">
        <v>11</v>
      </c>
      <c r="B960" s="5">
        <v>0</v>
      </c>
      <c r="C960" s="12">
        <v>0</v>
      </c>
    </row>
    <row r="961" spans="1:3" x14ac:dyDescent="0.25">
      <c r="A961" s="6" t="s">
        <v>296</v>
      </c>
      <c r="B961" s="6">
        <v>0</v>
      </c>
      <c r="C961" s="13">
        <v>0</v>
      </c>
    </row>
    <row r="962" spans="1:3" x14ac:dyDescent="0.25">
      <c r="A962" s="5" t="s">
        <v>35</v>
      </c>
      <c r="B962" s="5">
        <v>0</v>
      </c>
      <c r="C962" s="12">
        <v>0</v>
      </c>
    </row>
    <row r="963" spans="1:3" x14ac:dyDescent="0.25">
      <c r="A963" s="6" t="s">
        <v>585</v>
      </c>
      <c r="B963" s="6">
        <v>0</v>
      </c>
      <c r="C963" s="13">
        <v>0</v>
      </c>
    </row>
    <row r="964" spans="1:3" x14ac:dyDescent="0.25">
      <c r="A964" s="5" t="s">
        <v>15</v>
      </c>
      <c r="B964" s="5">
        <v>0</v>
      </c>
      <c r="C964" s="12">
        <v>0</v>
      </c>
    </row>
    <row r="965" spans="1:3" x14ac:dyDescent="0.25">
      <c r="A965" s="6" t="s">
        <v>70</v>
      </c>
      <c r="B965" s="6">
        <v>0</v>
      </c>
      <c r="C965" s="13">
        <v>0</v>
      </c>
    </row>
    <row r="966" spans="1:3" x14ac:dyDescent="0.25">
      <c r="A966" s="5" t="s">
        <v>380</v>
      </c>
      <c r="B966" s="5">
        <v>0</v>
      </c>
      <c r="C966" s="12">
        <v>0</v>
      </c>
    </row>
    <row r="967" spans="1:3" x14ac:dyDescent="0.25">
      <c r="A967" s="6" t="s">
        <v>181</v>
      </c>
      <c r="B967" s="6">
        <v>0</v>
      </c>
      <c r="C967" s="13">
        <v>0</v>
      </c>
    </row>
    <row r="968" spans="1:3" x14ac:dyDescent="0.25">
      <c r="A968" s="5" t="s">
        <v>359</v>
      </c>
      <c r="B968" s="5">
        <v>0</v>
      </c>
      <c r="C968" s="12">
        <v>0</v>
      </c>
    </row>
    <row r="969" spans="1:3" x14ac:dyDescent="0.25">
      <c r="A969" s="6" t="s">
        <v>36</v>
      </c>
      <c r="B969" s="6">
        <v>0</v>
      </c>
      <c r="C969" s="13">
        <v>0</v>
      </c>
    </row>
    <row r="970" spans="1:3" x14ac:dyDescent="0.25">
      <c r="A970" s="5" t="s">
        <v>587</v>
      </c>
      <c r="B970" s="5">
        <v>0</v>
      </c>
      <c r="C970" s="12">
        <v>0</v>
      </c>
    </row>
    <row r="971" spans="1:3" x14ac:dyDescent="0.25">
      <c r="A971" s="6" t="s">
        <v>37</v>
      </c>
      <c r="B971" s="6">
        <v>0</v>
      </c>
      <c r="C971" s="13">
        <v>0</v>
      </c>
    </row>
    <row r="972" spans="1:3" x14ac:dyDescent="0.25">
      <c r="A972" s="5" t="s">
        <v>16</v>
      </c>
      <c r="B972" s="5">
        <v>0</v>
      </c>
      <c r="C972" s="12">
        <v>0</v>
      </c>
    </row>
    <row r="973" spans="1:3" x14ac:dyDescent="0.25">
      <c r="A973" s="6" t="s">
        <v>184</v>
      </c>
      <c r="B973" s="6">
        <v>0</v>
      </c>
      <c r="C973" s="13">
        <v>0</v>
      </c>
    </row>
    <row r="974" spans="1:3" x14ac:dyDescent="0.25">
      <c r="A974" s="5" t="s">
        <v>186</v>
      </c>
      <c r="B974" s="5">
        <v>0</v>
      </c>
      <c r="C974" s="12">
        <v>0</v>
      </c>
    </row>
    <row r="975" spans="1:3" x14ac:dyDescent="0.25">
      <c r="A975" s="6" t="s">
        <v>409</v>
      </c>
      <c r="B975" s="6">
        <v>0</v>
      </c>
      <c r="C975" s="13">
        <v>0</v>
      </c>
    </row>
    <row r="976" spans="1:3" x14ac:dyDescent="0.25">
      <c r="A976" s="5" t="s">
        <v>335</v>
      </c>
      <c r="B976" s="5">
        <v>0</v>
      </c>
      <c r="C976" s="12">
        <v>0</v>
      </c>
    </row>
    <row r="977" spans="1:3" x14ac:dyDescent="0.25">
      <c r="A977" s="6" t="s">
        <v>18</v>
      </c>
      <c r="B977" s="6">
        <v>0</v>
      </c>
      <c r="C977" s="13">
        <v>0</v>
      </c>
    </row>
    <row r="978" spans="1:3" x14ac:dyDescent="0.25">
      <c r="A978" s="5" t="s">
        <v>41</v>
      </c>
      <c r="B978" s="5">
        <v>0</v>
      </c>
      <c r="C978" s="12">
        <v>0</v>
      </c>
    </row>
    <row r="979" spans="1:3" x14ac:dyDescent="0.25">
      <c r="A979" s="6" t="s">
        <v>267</v>
      </c>
      <c r="B979" s="6">
        <v>0</v>
      </c>
      <c r="C979" s="13">
        <v>0</v>
      </c>
    </row>
    <row r="980" spans="1:3" x14ac:dyDescent="0.25">
      <c r="A980" s="5" t="s">
        <v>506</v>
      </c>
      <c r="B980" s="5">
        <v>0</v>
      </c>
      <c r="C980" s="12">
        <v>0</v>
      </c>
    </row>
    <row r="981" spans="1:3" x14ac:dyDescent="0.25">
      <c r="A981" s="6" t="s">
        <v>118</v>
      </c>
      <c r="B981" s="6">
        <v>0</v>
      </c>
      <c r="C981" s="13">
        <v>0</v>
      </c>
    </row>
    <row r="982" spans="1:3" x14ac:dyDescent="0.25">
      <c r="A982" s="5" t="s">
        <v>383</v>
      </c>
      <c r="B982" s="5">
        <v>0</v>
      </c>
      <c r="C982" s="12">
        <v>0</v>
      </c>
    </row>
    <row r="983" spans="1:3" x14ac:dyDescent="0.25">
      <c r="A983" s="6" t="s">
        <v>60</v>
      </c>
      <c r="B983" s="6">
        <v>0</v>
      </c>
      <c r="C983" s="13">
        <v>0</v>
      </c>
    </row>
    <row r="984" spans="1:3" x14ac:dyDescent="0.25">
      <c r="A984" s="5" t="s">
        <v>236</v>
      </c>
      <c r="B984" s="5">
        <v>0</v>
      </c>
      <c r="C984" s="12">
        <v>0</v>
      </c>
    </row>
    <row r="985" spans="1:3" x14ac:dyDescent="0.25">
      <c r="A985" s="6" t="s">
        <v>592</v>
      </c>
      <c r="B985" s="6">
        <v>0</v>
      </c>
      <c r="C985" s="13">
        <v>0</v>
      </c>
    </row>
    <row r="986" spans="1:3" x14ac:dyDescent="0.25">
      <c r="A986" s="5" t="s">
        <v>20</v>
      </c>
      <c r="B986" s="5">
        <v>0</v>
      </c>
      <c r="C986" s="12">
        <v>0</v>
      </c>
    </row>
    <row r="987" spans="1:3" x14ac:dyDescent="0.25">
      <c r="A987" s="6" t="s">
        <v>540</v>
      </c>
      <c r="B987" s="6">
        <v>0</v>
      </c>
      <c r="C987" s="13">
        <v>0</v>
      </c>
    </row>
    <row r="988" spans="1:3" x14ac:dyDescent="0.25">
      <c r="A988" s="5" t="s">
        <v>99</v>
      </c>
      <c r="B988" s="5">
        <v>0</v>
      </c>
      <c r="C988" s="12">
        <v>0</v>
      </c>
    </row>
    <row r="989" spans="1:3" x14ac:dyDescent="0.25">
      <c r="A989" s="6" t="s">
        <v>156</v>
      </c>
      <c r="B989" s="6">
        <v>0</v>
      </c>
      <c r="C989" s="13">
        <v>0</v>
      </c>
    </row>
    <row r="990" spans="1:3" x14ac:dyDescent="0.25">
      <c r="A990" s="5" t="s">
        <v>238</v>
      </c>
      <c r="B990" s="5">
        <v>0</v>
      </c>
      <c r="C990" s="12">
        <v>0</v>
      </c>
    </row>
    <row r="991" spans="1:3" x14ac:dyDescent="0.25">
      <c r="A991" s="6" t="s">
        <v>22</v>
      </c>
      <c r="B991" s="6">
        <v>0</v>
      </c>
      <c r="C991" s="13">
        <v>0</v>
      </c>
    </row>
    <row r="992" spans="1:3" x14ac:dyDescent="0.25">
      <c r="A992" s="5" t="s">
        <v>412</v>
      </c>
      <c r="B992" s="5">
        <v>0</v>
      </c>
      <c r="C992" s="12">
        <v>0</v>
      </c>
    </row>
    <row r="993" spans="1:3" x14ac:dyDescent="0.25">
      <c r="A993" s="6" t="s">
        <v>46</v>
      </c>
      <c r="B993" s="6">
        <v>0</v>
      </c>
      <c r="C993" s="13">
        <v>0</v>
      </c>
    </row>
    <row r="994" spans="1:3" x14ac:dyDescent="0.25">
      <c r="A994" s="5" t="s">
        <v>596</v>
      </c>
      <c r="B994" s="5">
        <v>0</v>
      </c>
      <c r="C994" s="12">
        <v>0</v>
      </c>
    </row>
    <row r="995" spans="1:3" x14ac:dyDescent="0.25">
      <c r="A995" s="6" t="s">
        <v>23</v>
      </c>
      <c r="B995" s="6">
        <v>0</v>
      </c>
      <c r="C995" s="13">
        <v>0</v>
      </c>
    </row>
    <row r="996" spans="1:3" x14ac:dyDescent="0.25">
      <c r="A996" s="5" t="s">
        <v>511</v>
      </c>
      <c r="B996" s="5">
        <v>0</v>
      </c>
      <c r="C996" s="12">
        <v>0</v>
      </c>
    </row>
    <row r="997" spans="1:3" x14ac:dyDescent="0.25">
      <c r="A997" s="6" t="s">
        <v>49</v>
      </c>
      <c r="B997" s="6">
        <v>0</v>
      </c>
      <c r="C997" s="13">
        <v>0</v>
      </c>
    </row>
    <row r="998" spans="1:3" x14ac:dyDescent="0.25">
      <c r="A998" s="5" t="s">
        <v>268</v>
      </c>
      <c r="B998" s="5">
        <v>0</v>
      </c>
      <c r="C998" s="12">
        <v>0</v>
      </c>
    </row>
    <row r="999" spans="1:3" x14ac:dyDescent="0.25">
      <c r="A999" s="6" t="s">
        <v>193</v>
      </c>
      <c r="B999" s="6">
        <v>0</v>
      </c>
      <c r="C999" s="13">
        <v>0</v>
      </c>
    </row>
    <row r="1000" spans="1:3" x14ac:dyDescent="0.25">
      <c r="A1000" s="5" t="s">
        <v>213</v>
      </c>
      <c r="B1000" s="5">
        <v>0</v>
      </c>
      <c r="C1000" s="12">
        <v>0</v>
      </c>
    </row>
    <row r="1001" spans="1:3" x14ac:dyDescent="0.25">
      <c r="A1001" s="6" t="s">
        <v>50</v>
      </c>
      <c r="B1001" s="6">
        <v>0</v>
      </c>
      <c r="C1001" s="13">
        <v>0</v>
      </c>
    </row>
    <row r="1002" spans="1:3" x14ac:dyDescent="0.25">
      <c r="A1002" s="5" t="s">
        <v>570</v>
      </c>
      <c r="B1002" s="5">
        <v>0</v>
      </c>
      <c r="C1002" s="12">
        <v>0</v>
      </c>
    </row>
    <row r="1003" spans="1:3" x14ac:dyDescent="0.25">
      <c r="A1003" s="6" t="s">
        <v>62</v>
      </c>
      <c r="B1003" s="6">
        <v>0</v>
      </c>
      <c r="C1003" s="13">
        <v>0</v>
      </c>
    </row>
    <row r="1004" spans="1:3" x14ac:dyDescent="0.25">
      <c r="A1004" s="5" t="s">
        <v>82</v>
      </c>
      <c r="B1004" s="5">
        <v>0</v>
      </c>
      <c r="C1004" s="12">
        <v>0</v>
      </c>
    </row>
    <row r="1005" spans="1:3" x14ac:dyDescent="0.25">
      <c r="A1005" s="6" t="s">
        <v>83</v>
      </c>
      <c r="B1005" s="6">
        <v>0</v>
      </c>
      <c r="C1005" s="13">
        <v>0</v>
      </c>
    </row>
    <row r="1006" spans="1:3" x14ac:dyDescent="0.25">
      <c r="A1006" s="5" t="s">
        <v>549</v>
      </c>
      <c r="B1006" s="5">
        <v>0</v>
      </c>
      <c r="C1006" s="12">
        <v>0</v>
      </c>
    </row>
    <row r="1007" spans="1:3" x14ac:dyDescent="0.25">
      <c r="A1007" s="6" t="s">
        <v>53</v>
      </c>
      <c r="B1007" s="6">
        <v>0</v>
      </c>
      <c r="C1007" s="13">
        <v>0</v>
      </c>
    </row>
    <row r="1008" spans="1:3" x14ac:dyDescent="0.25">
      <c r="A1008" s="5" t="s">
        <v>262</v>
      </c>
      <c r="B1008" s="5">
        <v>0</v>
      </c>
      <c r="C1008" s="12">
        <v>0</v>
      </c>
    </row>
    <row r="1009" spans="1:3" x14ac:dyDescent="0.25">
      <c r="A1009" s="6" t="s">
        <v>470</v>
      </c>
      <c r="B1009" s="6">
        <v>0</v>
      </c>
      <c r="C1009" s="13">
        <v>0</v>
      </c>
    </row>
    <row r="1010" spans="1:3" x14ac:dyDescent="0.25">
      <c r="A1010" s="5" t="s">
        <v>397</v>
      </c>
      <c r="B1010" s="5">
        <v>0</v>
      </c>
      <c r="C1010" s="12">
        <v>0</v>
      </c>
    </row>
    <row r="1011" spans="1:3" x14ac:dyDescent="0.25">
      <c r="A1011" s="6" t="s">
        <v>89</v>
      </c>
      <c r="B1011" s="6">
        <v>0</v>
      </c>
      <c r="C1011" s="13">
        <v>0</v>
      </c>
    </row>
    <row r="1012" spans="1:3" x14ac:dyDescent="0.25">
      <c r="A1012" s="5" t="s">
        <v>138</v>
      </c>
      <c r="B1012" s="5">
        <v>0</v>
      </c>
      <c r="C1012" s="12">
        <v>0</v>
      </c>
    </row>
    <row r="1013" spans="1:3" x14ac:dyDescent="0.25">
      <c r="A1013" s="6" t="s">
        <v>348</v>
      </c>
      <c r="B1013" s="6">
        <v>0</v>
      </c>
      <c r="C1013" s="13">
        <v>0</v>
      </c>
    </row>
    <row r="1014" spans="1:3" x14ac:dyDescent="0.25">
      <c r="A1014" s="5" t="s">
        <v>321</v>
      </c>
      <c r="B1014" s="5">
        <v>0</v>
      </c>
      <c r="C1014" s="12">
        <v>0</v>
      </c>
    </row>
    <row r="1015" spans="1:3" x14ac:dyDescent="0.25">
      <c r="A1015" s="6" t="s">
        <v>9</v>
      </c>
      <c r="B1015" s="6">
        <v>0</v>
      </c>
      <c r="C1015" s="13">
        <v>0</v>
      </c>
    </row>
    <row r="1016" spans="1:3" x14ac:dyDescent="0.25">
      <c r="A1016" s="5" t="s">
        <v>11</v>
      </c>
      <c r="B1016" s="5">
        <v>0</v>
      </c>
      <c r="C1016" s="12">
        <v>0</v>
      </c>
    </row>
    <row r="1017" spans="1:3" x14ac:dyDescent="0.25">
      <c r="A1017" s="6" t="s">
        <v>35</v>
      </c>
      <c r="B1017" s="6">
        <v>0</v>
      </c>
      <c r="C1017" s="13">
        <v>0</v>
      </c>
    </row>
    <row r="1018" spans="1:3" x14ac:dyDescent="0.25">
      <c r="A1018" s="5" t="s">
        <v>15</v>
      </c>
      <c r="B1018" s="5">
        <v>0</v>
      </c>
      <c r="C1018" s="12">
        <v>0</v>
      </c>
    </row>
    <row r="1019" spans="1:3" x14ac:dyDescent="0.25">
      <c r="A1019" s="6" t="s">
        <v>59</v>
      </c>
      <c r="B1019" s="6">
        <v>0</v>
      </c>
      <c r="C1019" s="13">
        <v>0</v>
      </c>
    </row>
    <row r="1020" spans="1:3" x14ac:dyDescent="0.25">
      <c r="A1020" s="5" t="s">
        <v>380</v>
      </c>
      <c r="B1020" s="5">
        <v>0</v>
      </c>
      <c r="C1020" s="12">
        <v>0</v>
      </c>
    </row>
    <row r="1021" spans="1:3" x14ac:dyDescent="0.25">
      <c r="A1021" s="6" t="s">
        <v>181</v>
      </c>
      <c r="B1021" s="6">
        <v>0</v>
      </c>
      <c r="C1021" s="13">
        <v>0</v>
      </c>
    </row>
    <row r="1022" spans="1:3" x14ac:dyDescent="0.25">
      <c r="A1022" s="5" t="s">
        <v>36</v>
      </c>
      <c r="B1022" s="5">
        <v>0</v>
      </c>
      <c r="C1022" s="12">
        <v>0</v>
      </c>
    </row>
    <row r="1023" spans="1:3" x14ac:dyDescent="0.25">
      <c r="A1023" s="6" t="s">
        <v>208</v>
      </c>
      <c r="B1023" s="6">
        <v>0</v>
      </c>
      <c r="C1023" s="13">
        <v>0</v>
      </c>
    </row>
    <row r="1024" spans="1:3" x14ac:dyDescent="0.25">
      <c r="A1024" s="5" t="s">
        <v>37</v>
      </c>
      <c r="B1024" s="5">
        <v>0</v>
      </c>
      <c r="C1024" s="12">
        <v>0</v>
      </c>
    </row>
    <row r="1025" spans="1:3" x14ac:dyDescent="0.25">
      <c r="A1025" s="6" t="s">
        <v>16</v>
      </c>
      <c r="B1025" s="6">
        <v>0</v>
      </c>
      <c r="C1025" s="13">
        <v>0</v>
      </c>
    </row>
    <row r="1026" spans="1:3" x14ac:dyDescent="0.25">
      <c r="A1026" s="5" t="s">
        <v>186</v>
      </c>
      <c r="B1026" s="5">
        <v>0</v>
      </c>
      <c r="C1026" s="12">
        <v>0</v>
      </c>
    </row>
    <row r="1027" spans="1:3" x14ac:dyDescent="0.25">
      <c r="A1027" s="6" t="s">
        <v>409</v>
      </c>
      <c r="B1027" s="6">
        <v>0</v>
      </c>
      <c r="C1027" s="13">
        <v>0</v>
      </c>
    </row>
    <row r="1028" spans="1:3" x14ac:dyDescent="0.25">
      <c r="A1028" s="5" t="s">
        <v>538</v>
      </c>
      <c r="B1028" s="5">
        <v>0</v>
      </c>
      <c r="C1028" s="12">
        <v>0</v>
      </c>
    </row>
    <row r="1029" spans="1:3" x14ac:dyDescent="0.25">
      <c r="A1029" s="6" t="s">
        <v>18</v>
      </c>
      <c r="B1029" s="6">
        <v>0</v>
      </c>
      <c r="C1029" s="13">
        <v>0</v>
      </c>
    </row>
    <row r="1030" spans="1:3" x14ac:dyDescent="0.25">
      <c r="A1030" s="5" t="s">
        <v>41</v>
      </c>
      <c r="B1030" s="5">
        <v>0</v>
      </c>
      <c r="C1030" s="12">
        <v>0</v>
      </c>
    </row>
    <row r="1031" spans="1:3" x14ac:dyDescent="0.25">
      <c r="A1031" s="6" t="s">
        <v>506</v>
      </c>
      <c r="B1031" s="6">
        <v>0</v>
      </c>
      <c r="C1031" s="13">
        <v>0</v>
      </c>
    </row>
    <row r="1032" spans="1:3" x14ac:dyDescent="0.25">
      <c r="A1032" s="5" t="s">
        <v>118</v>
      </c>
      <c r="B1032" s="5">
        <v>0</v>
      </c>
      <c r="C1032" s="12">
        <v>0</v>
      </c>
    </row>
    <row r="1033" spans="1:3" x14ac:dyDescent="0.25">
      <c r="A1033" s="6" t="s">
        <v>383</v>
      </c>
      <c r="B1033" s="6">
        <v>0</v>
      </c>
      <c r="C1033" s="13">
        <v>0</v>
      </c>
    </row>
    <row r="1034" spans="1:3" x14ac:dyDescent="0.25">
      <c r="A1034" s="5" t="s">
        <v>60</v>
      </c>
      <c r="B1034" s="5">
        <v>0</v>
      </c>
      <c r="C1034" s="12">
        <v>0</v>
      </c>
    </row>
    <row r="1035" spans="1:3" x14ac:dyDescent="0.25">
      <c r="A1035" s="6" t="s">
        <v>20</v>
      </c>
      <c r="B1035" s="6">
        <v>0</v>
      </c>
      <c r="C1035" s="13">
        <v>0</v>
      </c>
    </row>
    <row r="1036" spans="1:3" x14ac:dyDescent="0.25">
      <c r="A1036" s="5" t="s">
        <v>43</v>
      </c>
      <c r="B1036" s="5">
        <v>0</v>
      </c>
      <c r="C1036" s="12">
        <v>0</v>
      </c>
    </row>
    <row r="1037" spans="1:3" x14ac:dyDescent="0.25">
      <c r="A1037" s="6" t="s">
        <v>99</v>
      </c>
      <c r="B1037" s="6">
        <v>0</v>
      </c>
      <c r="C1037" s="13">
        <v>0</v>
      </c>
    </row>
    <row r="1038" spans="1:3" x14ac:dyDescent="0.25">
      <c r="A1038" s="5" t="s">
        <v>156</v>
      </c>
      <c r="B1038" s="5">
        <v>0</v>
      </c>
      <c r="C1038" s="12">
        <v>0</v>
      </c>
    </row>
    <row r="1039" spans="1:3" x14ac:dyDescent="0.25">
      <c r="A1039" s="6" t="s">
        <v>384</v>
      </c>
      <c r="B1039" s="6">
        <v>0</v>
      </c>
      <c r="C1039" s="13">
        <v>0</v>
      </c>
    </row>
    <row r="1040" spans="1:3" x14ac:dyDescent="0.25">
      <c r="A1040" s="5" t="s">
        <v>238</v>
      </c>
      <c r="B1040" s="5">
        <v>0</v>
      </c>
      <c r="C1040" s="12">
        <v>0</v>
      </c>
    </row>
    <row r="1041" spans="1:3" x14ac:dyDescent="0.25">
      <c r="A1041" s="6" t="s">
        <v>22</v>
      </c>
      <c r="B1041" s="6">
        <v>0</v>
      </c>
      <c r="C1041" s="13">
        <v>0</v>
      </c>
    </row>
    <row r="1042" spans="1:3" x14ac:dyDescent="0.25">
      <c r="A1042" s="5" t="s">
        <v>61</v>
      </c>
      <c r="B1042" s="5">
        <v>0</v>
      </c>
      <c r="C1042" s="12">
        <v>0</v>
      </c>
    </row>
    <row r="1043" spans="1:3" x14ac:dyDescent="0.25">
      <c r="A1043" s="6" t="s">
        <v>46</v>
      </c>
      <c r="B1043" s="6">
        <v>0</v>
      </c>
      <c r="C1043" s="13">
        <v>0</v>
      </c>
    </row>
    <row r="1044" spans="1:3" x14ac:dyDescent="0.25">
      <c r="A1044" s="5" t="s">
        <v>23</v>
      </c>
      <c r="B1044" s="5">
        <v>0</v>
      </c>
      <c r="C1044" s="12">
        <v>0</v>
      </c>
    </row>
    <row r="1045" spans="1:3" x14ac:dyDescent="0.25">
      <c r="A1045" s="6" t="s">
        <v>511</v>
      </c>
      <c r="B1045" s="6">
        <v>0</v>
      </c>
      <c r="C1045" s="13">
        <v>0</v>
      </c>
    </row>
    <row r="1046" spans="1:3" x14ac:dyDescent="0.25">
      <c r="A1046" s="5" t="s">
        <v>49</v>
      </c>
      <c r="B1046" s="5">
        <v>0</v>
      </c>
      <c r="C1046" s="12">
        <v>0</v>
      </c>
    </row>
    <row r="1047" spans="1:3" x14ac:dyDescent="0.25">
      <c r="A1047" s="6" t="s">
        <v>268</v>
      </c>
      <c r="B1047" s="6">
        <v>0</v>
      </c>
      <c r="C1047" s="13">
        <v>0</v>
      </c>
    </row>
    <row r="1048" spans="1:3" x14ac:dyDescent="0.25">
      <c r="A1048" s="5" t="s">
        <v>129</v>
      </c>
      <c r="B1048" s="5">
        <v>0</v>
      </c>
      <c r="C1048" s="12">
        <v>0</v>
      </c>
    </row>
    <row r="1049" spans="1:3" x14ac:dyDescent="0.25">
      <c r="A1049" s="6" t="s">
        <v>546</v>
      </c>
      <c r="B1049" s="6">
        <v>0</v>
      </c>
      <c r="C1049" s="13">
        <v>0</v>
      </c>
    </row>
    <row r="1050" spans="1:3" x14ac:dyDescent="0.25">
      <c r="A1050" s="5" t="s">
        <v>50</v>
      </c>
      <c r="B1050" s="5">
        <v>0</v>
      </c>
      <c r="C1050" s="12">
        <v>0</v>
      </c>
    </row>
    <row r="1051" spans="1:3" x14ac:dyDescent="0.25">
      <c r="A1051" s="6" t="s">
        <v>570</v>
      </c>
      <c r="B1051" s="6">
        <v>0</v>
      </c>
      <c r="C1051" s="13">
        <v>0</v>
      </c>
    </row>
    <row r="1052" spans="1:3" x14ac:dyDescent="0.25">
      <c r="A1052" s="5" t="s">
        <v>62</v>
      </c>
      <c r="B1052" s="5">
        <v>0</v>
      </c>
      <c r="C1052" s="12">
        <v>0</v>
      </c>
    </row>
    <row r="1053" spans="1:3" x14ac:dyDescent="0.25">
      <c r="A1053" s="6" t="s">
        <v>51</v>
      </c>
      <c r="B1053" s="6">
        <v>0</v>
      </c>
      <c r="C1053" s="13">
        <v>0</v>
      </c>
    </row>
    <row r="1054" spans="1:3" x14ac:dyDescent="0.25">
      <c r="A1054" s="5" t="s">
        <v>83</v>
      </c>
      <c r="B1054" s="5">
        <v>0</v>
      </c>
      <c r="C1054" s="12">
        <v>0</v>
      </c>
    </row>
    <row r="1055" spans="1:3" x14ac:dyDescent="0.25">
      <c r="A1055" s="6" t="s">
        <v>549</v>
      </c>
      <c r="B1055" s="6">
        <v>0</v>
      </c>
      <c r="C1055" s="13">
        <v>0</v>
      </c>
    </row>
    <row r="1056" spans="1:3" x14ac:dyDescent="0.25">
      <c r="A1056" s="5" t="s">
        <v>53</v>
      </c>
      <c r="B1056" s="5">
        <v>0</v>
      </c>
      <c r="C1056" s="12">
        <v>0</v>
      </c>
    </row>
    <row r="1057" spans="1:3" x14ac:dyDescent="0.25">
      <c r="A1057" s="6" t="s">
        <v>470</v>
      </c>
      <c r="B1057" s="6">
        <v>0</v>
      </c>
      <c r="C1057" s="13">
        <v>0</v>
      </c>
    </row>
    <row r="1058" spans="1:3" x14ac:dyDescent="0.25">
      <c r="A1058" s="5" t="s">
        <v>397</v>
      </c>
      <c r="B1058" s="5">
        <v>0</v>
      </c>
      <c r="C1058" s="12">
        <v>0</v>
      </c>
    </row>
    <row r="1059" spans="1:3" x14ac:dyDescent="0.25">
      <c r="A1059" s="6" t="s">
        <v>89</v>
      </c>
      <c r="B1059" s="6">
        <v>0</v>
      </c>
      <c r="C1059" s="13">
        <v>0</v>
      </c>
    </row>
    <row r="1060" spans="1:3" x14ac:dyDescent="0.25">
      <c r="A1060" s="5" t="s">
        <v>348</v>
      </c>
      <c r="B1060" s="5">
        <v>0</v>
      </c>
      <c r="C1060" s="12">
        <v>0</v>
      </c>
    </row>
    <row r="1061" spans="1:3" x14ac:dyDescent="0.25">
      <c r="A1061" s="6" t="s">
        <v>321</v>
      </c>
      <c r="B1061" s="6">
        <v>0</v>
      </c>
      <c r="C1061" s="13">
        <v>0</v>
      </c>
    </row>
    <row r="1062" spans="1:3" x14ac:dyDescent="0.25">
      <c r="A1062" s="5" t="s">
        <v>29</v>
      </c>
      <c r="B1062" s="5">
        <v>1</v>
      </c>
      <c r="C1062" s="12">
        <v>0</v>
      </c>
    </row>
    <row r="1063" spans="1:3" x14ac:dyDescent="0.25">
      <c r="A1063" s="6" t="s">
        <v>11</v>
      </c>
      <c r="B1063" s="6">
        <v>1</v>
      </c>
      <c r="C1063" s="13">
        <v>0</v>
      </c>
    </row>
    <row r="1064" spans="1:3" x14ac:dyDescent="0.25">
      <c r="A1064" s="5" t="s">
        <v>13</v>
      </c>
      <c r="B1064" s="5">
        <v>1</v>
      </c>
      <c r="C1064" s="12">
        <v>0</v>
      </c>
    </row>
    <row r="1065" spans="1:3" x14ac:dyDescent="0.25">
      <c r="A1065" s="6" t="s">
        <v>35</v>
      </c>
      <c r="B1065" s="6">
        <v>1</v>
      </c>
      <c r="C1065" s="13">
        <v>0</v>
      </c>
    </row>
    <row r="1066" spans="1:3" x14ac:dyDescent="0.25">
      <c r="A1066" s="5" t="s">
        <v>585</v>
      </c>
      <c r="B1066" s="5">
        <v>1</v>
      </c>
      <c r="C1066" s="12">
        <v>0</v>
      </c>
    </row>
    <row r="1067" spans="1:3" x14ac:dyDescent="0.25">
      <c r="A1067" s="6" t="s">
        <v>15</v>
      </c>
      <c r="B1067" s="6">
        <v>1</v>
      </c>
      <c r="C1067" s="13">
        <v>0</v>
      </c>
    </row>
    <row r="1068" spans="1:3" x14ac:dyDescent="0.25">
      <c r="A1068" s="5" t="s">
        <v>59</v>
      </c>
      <c r="B1068" s="5">
        <v>1</v>
      </c>
      <c r="C1068" s="12">
        <v>0</v>
      </c>
    </row>
    <row r="1069" spans="1:3" x14ac:dyDescent="0.25">
      <c r="A1069" s="6" t="s">
        <v>380</v>
      </c>
      <c r="B1069" s="6">
        <v>1</v>
      </c>
      <c r="C1069" s="13">
        <v>0</v>
      </c>
    </row>
    <row r="1070" spans="1:3" x14ac:dyDescent="0.25">
      <c r="A1070" s="5" t="s">
        <v>181</v>
      </c>
      <c r="B1070" s="5">
        <v>1</v>
      </c>
      <c r="C1070" s="12">
        <v>0</v>
      </c>
    </row>
    <row r="1071" spans="1:3" x14ac:dyDescent="0.25">
      <c r="A1071" s="6" t="s">
        <v>36</v>
      </c>
      <c r="B1071" s="6">
        <v>1</v>
      </c>
      <c r="C1071" s="13">
        <v>0</v>
      </c>
    </row>
    <row r="1072" spans="1:3" x14ac:dyDescent="0.25">
      <c r="A1072" s="5" t="s">
        <v>530</v>
      </c>
      <c r="B1072" s="5">
        <v>1</v>
      </c>
      <c r="C1072" s="12">
        <v>0</v>
      </c>
    </row>
    <row r="1073" spans="1:3" x14ac:dyDescent="0.25">
      <c r="A1073" s="6" t="s">
        <v>37</v>
      </c>
      <c r="B1073" s="6">
        <v>1</v>
      </c>
      <c r="C1073" s="13">
        <v>0</v>
      </c>
    </row>
    <row r="1074" spans="1:3" x14ac:dyDescent="0.25">
      <c r="A1074" s="5" t="s">
        <v>16</v>
      </c>
      <c r="B1074" s="5">
        <v>1</v>
      </c>
      <c r="C1074" s="12">
        <v>0</v>
      </c>
    </row>
    <row r="1075" spans="1:3" x14ac:dyDescent="0.25">
      <c r="A1075" s="6" t="s">
        <v>534</v>
      </c>
      <c r="B1075" s="6">
        <v>1</v>
      </c>
      <c r="C1075" s="13">
        <v>0</v>
      </c>
    </row>
    <row r="1076" spans="1:3" x14ac:dyDescent="0.25">
      <c r="A1076" s="5" t="s">
        <v>186</v>
      </c>
      <c r="B1076" s="5">
        <v>1</v>
      </c>
      <c r="C1076" s="12">
        <v>0</v>
      </c>
    </row>
    <row r="1077" spans="1:3" x14ac:dyDescent="0.25">
      <c r="A1077" s="6" t="s">
        <v>409</v>
      </c>
      <c r="B1077" s="6">
        <v>1</v>
      </c>
      <c r="C1077" s="13">
        <v>0</v>
      </c>
    </row>
    <row r="1078" spans="1:3" x14ac:dyDescent="0.25">
      <c r="A1078" s="5" t="s">
        <v>114</v>
      </c>
      <c r="B1078" s="5">
        <v>1</v>
      </c>
      <c r="C1078" s="12">
        <v>0</v>
      </c>
    </row>
    <row r="1079" spans="1:3" x14ac:dyDescent="0.25">
      <c r="A1079" s="6" t="s">
        <v>18</v>
      </c>
      <c r="B1079" s="6">
        <v>1</v>
      </c>
      <c r="C1079" s="13">
        <v>0</v>
      </c>
    </row>
    <row r="1080" spans="1:3" x14ac:dyDescent="0.25">
      <c r="A1080" s="5" t="s">
        <v>41</v>
      </c>
      <c r="B1080" s="5">
        <v>1</v>
      </c>
      <c r="C1080" s="12">
        <v>0</v>
      </c>
    </row>
    <row r="1081" spans="1:3" x14ac:dyDescent="0.25">
      <c r="A1081" s="6" t="s">
        <v>506</v>
      </c>
      <c r="B1081" s="6">
        <v>1</v>
      </c>
      <c r="C1081" s="13">
        <v>0</v>
      </c>
    </row>
    <row r="1082" spans="1:3" x14ac:dyDescent="0.25">
      <c r="A1082" s="5" t="s">
        <v>118</v>
      </c>
      <c r="B1082" s="5">
        <v>1</v>
      </c>
      <c r="C1082" s="12">
        <v>0</v>
      </c>
    </row>
    <row r="1083" spans="1:3" x14ac:dyDescent="0.25">
      <c r="A1083" s="6" t="s">
        <v>383</v>
      </c>
      <c r="B1083" s="6">
        <v>1</v>
      </c>
      <c r="C1083" s="13">
        <v>0</v>
      </c>
    </row>
    <row r="1084" spans="1:3" x14ac:dyDescent="0.25">
      <c r="A1084" s="5" t="s">
        <v>60</v>
      </c>
      <c r="B1084" s="5">
        <v>1</v>
      </c>
      <c r="C1084" s="12">
        <v>0</v>
      </c>
    </row>
    <row r="1085" spans="1:3" x14ac:dyDescent="0.25">
      <c r="A1085" s="6" t="s">
        <v>20</v>
      </c>
      <c r="B1085" s="6">
        <v>1</v>
      </c>
      <c r="C1085" s="13">
        <v>0</v>
      </c>
    </row>
    <row r="1086" spans="1:3" x14ac:dyDescent="0.25">
      <c r="A1086" s="5" t="s">
        <v>540</v>
      </c>
      <c r="B1086" s="5">
        <v>1</v>
      </c>
      <c r="C1086" s="12">
        <v>0</v>
      </c>
    </row>
    <row r="1087" spans="1:3" x14ac:dyDescent="0.25">
      <c r="A1087" s="6" t="s">
        <v>99</v>
      </c>
      <c r="B1087" s="6">
        <v>1</v>
      </c>
      <c r="C1087" s="13">
        <v>0</v>
      </c>
    </row>
    <row r="1088" spans="1:3" x14ac:dyDescent="0.25">
      <c r="A1088" s="5" t="s">
        <v>156</v>
      </c>
      <c r="B1088" s="5">
        <v>1</v>
      </c>
      <c r="C1088" s="12">
        <v>0</v>
      </c>
    </row>
    <row r="1089" spans="1:3" x14ac:dyDescent="0.25">
      <c r="A1089" s="6" t="s">
        <v>238</v>
      </c>
      <c r="B1089" s="6">
        <v>1</v>
      </c>
      <c r="C1089" s="13">
        <v>0</v>
      </c>
    </row>
    <row r="1090" spans="1:3" x14ac:dyDescent="0.25">
      <c r="A1090" s="5" t="s">
        <v>22</v>
      </c>
      <c r="B1090" s="5">
        <v>1</v>
      </c>
      <c r="C1090" s="12">
        <v>0</v>
      </c>
    </row>
    <row r="1091" spans="1:3" x14ac:dyDescent="0.25">
      <c r="A1091" s="6" t="s">
        <v>61</v>
      </c>
      <c r="B1091" s="6">
        <v>1</v>
      </c>
      <c r="C1091" s="13">
        <v>0</v>
      </c>
    </row>
    <row r="1092" spans="1:3" x14ac:dyDescent="0.25">
      <c r="A1092" s="5" t="s">
        <v>46</v>
      </c>
      <c r="B1092" s="5">
        <v>1</v>
      </c>
      <c r="C1092" s="12">
        <v>0</v>
      </c>
    </row>
    <row r="1093" spans="1:3" x14ac:dyDescent="0.25">
      <c r="A1093" s="6" t="s">
        <v>23</v>
      </c>
      <c r="B1093" s="6">
        <v>1</v>
      </c>
      <c r="C1093" s="13">
        <v>0</v>
      </c>
    </row>
    <row r="1094" spans="1:3" x14ac:dyDescent="0.25">
      <c r="A1094" s="5" t="s">
        <v>49</v>
      </c>
      <c r="B1094" s="5">
        <v>1</v>
      </c>
      <c r="C1094" s="12">
        <v>0</v>
      </c>
    </row>
    <row r="1095" spans="1:3" x14ac:dyDescent="0.25">
      <c r="A1095" s="6" t="s">
        <v>268</v>
      </c>
      <c r="B1095" s="6">
        <v>1</v>
      </c>
      <c r="C1095" s="13">
        <v>0</v>
      </c>
    </row>
    <row r="1096" spans="1:3" x14ac:dyDescent="0.25">
      <c r="A1096" s="5" t="s">
        <v>546</v>
      </c>
      <c r="B1096" s="5">
        <v>1</v>
      </c>
      <c r="C1096" s="12">
        <v>0</v>
      </c>
    </row>
    <row r="1097" spans="1:3" x14ac:dyDescent="0.25">
      <c r="A1097" s="6" t="s">
        <v>50</v>
      </c>
      <c r="B1097" s="6">
        <v>1</v>
      </c>
      <c r="C1097" s="13">
        <v>0</v>
      </c>
    </row>
    <row r="1098" spans="1:3" x14ac:dyDescent="0.25">
      <c r="A1098" s="5" t="s">
        <v>570</v>
      </c>
      <c r="B1098" s="5">
        <v>1</v>
      </c>
      <c r="C1098" s="12">
        <v>0</v>
      </c>
    </row>
    <row r="1099" spans="1:3" x14ac:dyDescent="0.25">
      <c r="A1099" s="6" t="s">
        <v>62</v>
      </c>
      <c r="B1099" s="6">
        <v>1</v>
      </c>
      <c r="C1099" s="13">
        <v>0</v>
      </c>
    </row>
    <row r="1100" spans="1:3" x14ac:dyDescent="0.25">
      <c r="A1100" s="5" t="s">
        <v>82</v>
      </c>
      <c r="B1100" s="5">
        <v>1</v>
      </c>
      <c r="C1100" s="12">
        <v>0</v>
      </c>
    </row>
    <row r="1101" spans="1:3" x14ac:dyDescent="0.25">
      <c r="A1101" s="6" t="s">
        <v>83</v>
      </c>
      <c r="B1101" s="6">
        <v>1</v>
      </c>
      <c r="C1101" s="13">
        <v>0</v>
      </c>
    </row>
    <row r="1102" spans="1:3" x14ac:dyDescent="0.25">
      <c r="A1102" s="5" t="s">
        <v>549</v>
      </c>
      <c r="B1102" s="5">
        <v>1</v>
      </c>
      <c r="C1102" s="12">
        <v>0</v>
      </c>
    </row>
    <row r="1103" spans="1:3" x14ac:dyDescent="0.25">
      <c r="A1103" s="6" t="s">
        <v>53</v>
      </c>
      <c r="B1103" s="6">
        <v>1</v>
      </c>
      <c r="C1103" s="13">
        <v>0</v>
      </c>
    </row>
    <row r="1104" spans="1:3" x14ac:dyDescent="0.25">
      <c r="A1104" s="5" t="s">
        <v>262</v>
      </c>
      <c r="B1104" s="5">
        <v>1</v>
      </c>
      <c r="C1104" s="12">
        <v>0</v>
      </c>
    </row>
    <row r="1105" spans="1:3" x14ac:dyDescent="0.25">
      <c r="A1105" s="6" t="s">
        <v>470</v>
      </c>
      <c r="B1105" s="6">
        <v>1</v>
      </c>
      <c r="C1105" s="13">
        <v>0</v>
      </c>
    </row>
    <row r="1106" spans="1:3" x14ac:dyDescent="0.25">
      <c r="A1106" s="5" t="s">
        <v>397</v>
      </c>
      <c r="B1106" s="5">
        <v>1</v>
      </c>
      <c r="C1106" s="12">
        <v>0</v>
      </c>
    </row>
    <row r="1107" spans="1:3" x14ac:dyDescent="0.25">
      <c r="A1107" s="6" t="s">
        <v>89</v>
      </c>
      <c r="B1107" s="6">
        <v>1</v>
      </c>
      <c r="C1107" s="13">
        <v>0</v>
      </c>
    </row>
    <row r="1108" spans="1:3" x14ac:dyDescent="0.25">
      <c r="A1108" s="5" t="s">
        <v>138</v>
      </c>
      <c r="B1108" s="5">
        <v>1</v>
      </c>
      <c r="C1108" s="12">
        <v>0</v>
      </c>
    </row>
    <row r="1109" spans="1:3" x14ac:dyDescent="0.25">
      <c r="A1109" s="6" t="s">
        <v>348</v>
      </c>
      <c r="B1109" s="6">
        <v>1</v>
      </c>
      <c r="C1109" s="13">
        <v>0</v>
      </c>
    </row>
    <row r="1110" spans="1:3" x14ac:dyDescent="0.25">
      <c r="A1110" s="5" t="s">
        <v>11</v>
      </c>
      <c r="B1110" s="5">
        <v>1</v>
      </c>
      <c r="C1110" s="12">
        <v>0</v>
      </c>
    </row>
    <row r="1111" spans="1:3" x14ac:dyDescent="0.25">
      <c r="A1111" s="6" t="s">
        <v>296</v>
      </c>
      <c r="B1111" s="6">
        <v>1</v>
      </c>
      <c r="C1111" s="13">
        <v>0</v>
      </c>
    </row>
    <row r="1112" spans="1:3" x14ac:dyDescent="0.25">
      <c r="A1112" s="5" t="s">
        <v>35</v>
      </c>
      <c r="B1112" s="5">
        <v>1</v>
      </c>
      <c r="C1112" s="12">
        <v>0</v>
      </c>
    </row>
    <row r="1113" spans="1:3" x14ac:dyDescent="0.25">
      <c r="A1113" s="6" t="s">
        <v>585</v>
      </c>
      <c r="B1113" s="6">
        <v>1</v>
      </c>
      <c r="C1113" s="13">
        <v>0</v>
      </c>
    </row>
    <row r="1114" spans="1:3" x14ac:dyDescent="0.25">
      <c r="A1114" s="5" t="s">
        <v>15</v>
      </c>
      <c r="B1114" s="5">
        <v>1</v>
      </c>
      <c r="C1114" s="12">
        <v>0</v>
      </c>
    </row>
    <row r="1115" spans="1:3" x14ac:dyDescent="0.25">
      <c r="A1115" s="6" t="s">
        <v>70</v>
      </c>
      <c r="B1115" s="6">
        <v>1</v>
      </c>
      <c r="C1115" s="13">
        <v>0</v>
      </c>
    </row>
    <row r="1116" spans="1:3" x14ac:dyDescent="0.25">
      <c r="A1116" s="5" t="s">
        <v>380</v>
      </c>
      <c r="B1116" s="5">
        <v>1</v>
      </c>
      <c r="C1116" s="12">
        <v>0</v>
      </c>
    </row>
    <row r="1117" spans="1:3" x14ac:dyDescent="0.25">
      <c r="A1117" s="6" t="s">
        <v>181</v>
      </c>
      <c r="B1117" s="6">
        <v>1</v>
      </c>
      <c r="C1117" s="13">
        <v>0</v>
      </c>
    </row>
    <row r="1118" spans="1:3" x14ac:dyDescent="0.25">
      <c r="A1118" s="5" t="s">
        <v>36</v>
      </c>
      <c r="B1118" s="5">
        <v>1</v>
      </c>
      <c r="C1118" s="12">
        <v>0</v>
      </c>
    </row>
    <row r="1119" spans="1:3" x14ac:dyDescent="0.25">
      <c r="A1119" s="6" t="s">
        <v>222</v>
      </c>
      <c r="B1119" s="6">
        <v>1</v>
      </c>
      <c r="C1119" s="13">
        <v>0</v>
      </c>
    </row>
    <row r="1120" spans="1:3" x14ac:dyDescent="0.25">
      <c r="A1120" s="5" t="s">
        <v>37</v>
      </c>
      <c r="B1120" s="5">
        <v>1</v>
      </c>
      <c r="C1120" s="12">
        <v>0</v>
      </c>
    </row>
    <row r="1121" spans="1:3" x14ac:dyDescent="0.25">
      <c r="A1121" s="6" t="s">
        <v>16</v>
      </c>
      <c r="B1121" s="6">
        <v>1</v>
      </c>
      <c r="C1121" s="13">
        <v>0</v>
      </c>
    </row>
    <row r="1122" spans="1:3" x14ac:dyDescent="0.25">
      <c r="A1122" s="5" t="s">
        <v>186</v>
      </c>
      <c r="B1122" s="5">
        <v>1</v>
      </c>
      <c r="C1122" s="12">
        <v>0</v>
      </c>
    </row>
    <row r="1123" spans="1:3" x14ac:dyDescent="0.25">
      <c r="A1123" s="6" t="s">
        <v>625</v>
      </c>
      <c r="B1123" s="6">
        <v>1</v>
      </c>
      <c r="C1123" s="13">
        <v>0</v>
      </c>
    </row>
    <row r="1124" spans="1:3" x14ac:dyDescent="0.25">
      <c r="A1124" s="5" t="s">
        <v>409</v>
      </c>
      <c r="B1124" s="5">
        <v>1</v>
      </c>
      <c r="C1124" s="12">
        <v>0</v>
      </c>
    </row>
    <row r="1125" spans="1:3" x14ac:dyDescent="0.25">
      <c r="A1125" s="6" t="s">
        <v>538</v>
      </c>
      <c r="B1125" s="6">
        <v>1</v>
      </c>
      <c r="C1125" s="13">
        <v>0</v>
      </c>
    </row>
    <row r="1126" spans="1:3" x14ac:dyDescent="0.25">
      <c r="A1126" s="5" t="s">
        <v>114</v>
      </c>
      <c r="B1126" s="5">
        <v>1</v>
      </c>
      <c r="C1126" s="12">
        <v>0</v>
      </c>
    </row>
    <row r="1127" spans="1:3" x14ac:dyDescent="0.25">
      <c r="A1127" s="6" t="s">
        <v>18</v>
      </c>
      <c r="B1127" s="6">
        <v>1</v>
      </c>
      <c r="C1127" s="13">
        <v>0</v>
      </c>
    </row>
    <row r="1128" spans="1:3" x14ac:dyDescent="0.25">
      <c r="A1128" s="5" t="s">
        <v>41</v>
      </c>
      <c r="B1128" s="5">
        <v>1</v>
      </c>
      <c r="C1128" s="12">
        <v>0</v>
      </c>
    </row>
    <row r="1129" spans="1:3" x14ac:dyDescent="0.25">
      <c r="A1129" s="6" t="s">
        <v>506</v>
      </c>
      <c r="B1129" s="6">
        <v>1</v>
      </c>
      <c r="C1129" s="13">
        <v>0</v>
      </c>
    </row>
    <row r="1130" spans="1:3" x14ac:dyDescent="0.25">
      <c r="A1130" s="5" t="s">
        <v>118</v>
      </c>
      <c r="B1130" s="5">
        <v>1</v>
      </c>
      <c r="C1130" s="12">
        <v>0</v>
      </c>
    </row>
    <row r="1131" spans="1:3" x14ac:dyDescent="0.25">
      <c r="A1131" s="6" t="s">
        <v>383</v>
      </c>
      <c r="B1131" s="6">
        <v>1</v>
      </c>
      <c r="C1131" s="13">
        <v>0</v>
      </c>
    </row>
    <row r="1132" spans="1:3" x14ac:dyDescent="0.25">
      <c r="A1132" s="5" t="s">
        <v>20</v>
      </c>
      <c r="B1132" s="5">
        <v>1</v>
      </c>
      <c r="C1132" s="12">
        <v>0</v>
      </c>
    </row>
    <row r="1133" spans="1:3" x14ac:dyDescent="0.25">
      <c r="A1133" s="6" t="s">
        <v>540</v>
      </c>
      <c r="B1133" s="6">
        <v>1</v>
      </c>
      <c r="C1133" s="13">
        <v>0</v>
      </c>
    </row>
    <row r="1134" spans="1:3" x14ac:dyDescent="0.25">
      <c r="A1134" s="5" t="s">
        <v>99</v>
      </c>
      <c r="B1134" s="5">
        <v>1</v>
      </c>
      <c r="C1134" s="12">
        <v>0</v>
      </c>
    </row>
    <row r="1135" spans="1:3" x14ac:dyDescent="0.25">
      <c r="A1135" s="6" t="s">
        <v>238</v>
      </c>
      <c r="B1135" s="6">
        <v>1</v>
      </c>
      <c r="C1135" s="13">
        <v>0</v>
      </c>
    </row>
    <row r="1136" spans="1:3" x14ac:dyDescent="0.25">
      <c r="A1136" s="5" t="s">
        <v>22</v>
      </c>
      <c r="B1136" s="5">
        <v>1</v>
      </c>
      <c r="C1136" s="12">
        <v>0</v>
      </c>
    </row>
    <row r="1137" spans="1:3" x14ac:dyDescent="0.25">
      <c r="A1137" s="6" t="s">
        <v>61</v>
      </c>
      <c r="B1137" s="6">
        <v>1</v>
      </c>
      <c r="C1137" s="13">
        <v>0</v>
      </c>
    </row>
    <row r="1138" spans="1:3" x14ac:dyDescent="0.25">
      <c r="A1138" s="5" t="s">
        <v>46</v>
      </c>
      <c r="B1138" s="5">
        <v>1</v>
      </c>
      <c r="C1138" s="12">
        <v>0</v>
      </c>
    </row>
    <row r="1139" spans="1:3" x14ac:dyDescent="0.25">
      <c r="A1139" s="6" t="s">
        <v>100</v>
      </c>
      <c r="B1139" s="6">
        <v>1</v>
      </c>
      <c r="C1139" s="13">
        <v>0</v>
      </c>
    </row>
    <row r="1140" spans="1:3" x14ac:dyDescent="0.25">
      <c r="A1140" s="5" t="s">
        <v>23</v>
      </c>
      <c r="B1140" s="5">
        <v>1</v>
      </c>
      <c r="C1140" s="12">
        <v>0</v>
      </c>
    </row>
    <row r="1141" spans="1:3" x14ac:dyDescent="0.25">
      <c r="A1141" s="6" t="s">
        <v>511</v>
      </c>
      <c r="B1141" s="6">
        <v>1</v>
      </c>
      <c r="C1141" s="13">
        <v>0</v>
      </c>
    </row>
    <row r="1142" spans="1:3" x14ac:dyDescent="0.25">
      <c r="A1142" s="5" t="s">
        <v>49</v>
      </c>
      <c r="B1142" s="5">
        <v>1</v>
      </c>
      <c r="C1142" s="12">
        <v>0</v>
      </c>
    </row>
    <row r="1143" spans="1:3" x14ac:dyDescent="0.25">
      <c r="A1143" s="6" t="s">
        <v>193</v>
      </c>
      <c r="B1143" s="6">
        <v>1</v>
      </c>
      <c r="C1143" s="13">
        <v>0</v>
      </c>
    </row>
    <row r="1144" spans="1:3" x14ac:dyDescent="0.25">
      <c r="A1144" s="5" t="s">
        <v>213</v>
      </c>
      <c r="B1144" s="5">
        <v>1</v>
      </c>
      <c r="C1144" s="12">
        <v>0</v>
      </c>
    </row>
    <row r="1145" spans="1:3" x14ac:dyDescent="0.25">
      <c r="A1145" s="6" t="s">
        <v>50</v>
      </c>
      <c r="B1145" s="6">
        <v>1</v>
      </c>
      <c r="C1145" s="13">
        <v>0</v>
      </c>
    </row>
    <row r="1146" spans="1:3" x14ac:dyDescent="0.25">
      <c r="A1146" s="5" t="s">
        <v>570</v>
      </c>
      <c r="B1146" s="5">
        <v>1</v>
      </c>
      <c r="C1146" s="12">
        <v>0</v>
      </c>
    </row>
    <row r="1147" spans="1:3" x14ac:dyDescent="0.25">
      <c r="A1147" s="6" t="s">
        <v>62</v>
      </c>
      <c r="B1147" s="6">
        <v>1</v>
      </c>
      <c r="C1147" s="13">
        <v>0</v>
      </c>
    </row>
    <row r="1148" spans="1:3" x14ac:dyDescent="0.25">
      <c r="A1148" s="5" t="s">
        <v>83</v>
      </c>
      <c r="B1148" s="5">
        <v>1</v>
      </c>
      <c r="C1148" s="12">
        <v>0</v>
      </c>
    </row>
    <row r="1149" spans="1:3" x14ac:dyDescent="0.25">
      <c r="A1149" s="6" t="s">
        <v>549</v>
      </c>
      <c r="B1149" s="6">
        <v>1</v>
      </c>
      <c r="C1149" s="13">
        <v>0</v>
      </c>
    </row>
    <row r="1150" spans="1:3" x14ac:dyDescent="0.25">
      <c r="A1150" s="5" t="s">
        <v>101</v>
      </c>
      <c r="B1150" s="5">
        <v>1</v>
      </c>
      <c r="C1150" s="12">
        <v>0</v>
      </c>
    </row>
    <row r="1151" spans="1:3" x14ac:dyDescent="0.25">
      <c r="A1151" s="6" t="s">
        <v>53</v>
      </c>
      <c r="B1151" s="6">
        <v>1</v>
      </c>
      <c r="C1151" s="13">
        <v>0</v>
      </c>
    </row>
    <row r="1152" spans="1:3" x14ac:dyDescent="0.25">
      <c r="A1152" s="5" t="s">
        <v>262</v>
      </c>
      <c r="B1152" s="5">
        <v>1</v>
      </c>
      <c r="C1152" s="12">
        <v>0</v>
      </c>
    </row>
    <row r="1153" spans="1:3" x14ac:dyDescent="0.25">
      <c r="A1153" s="6" t="s">
        <v>54</v>
      </c>
      <c r="B1153" s="6">
        <v>1</v>
      </c>
      <c r="C1153" s="13">
        <v>0</v>
      </c>
    </row>
    <row r="1154" spans="1:3" x14ac:dyDescent="0.25">
      <c r="A1154" s="5" t="s">
        <v>470</v>
      </c>
      <c r="B1154" s="5">
        <v>1</v>
      </c>
      <c r="C1154" s="12">
        <v>0</v>
      </c>
    </row>
    <row r="1155" spans="1:3" x14ac:dyDescent="0.25">
      <c r="A1155" s="6" t="s">
        <v>397</v>
      </c>
      <c r="B1155" s="6">
        <v>1</v>
      </c>
      <c r="C1155" s="13">
        <v>0</v>
      </c>
    </row>
    <row r="1156" spans="1:3" x14ac:dyDescent="0.25">
      <c r="A1156" s="5" t="s">
        <v>89</v>
      </c>
      <c r="B1156" s="5">
        <v>1</v>
      </c>
      <c r="C1156" s="12">
        <v>0</v>
      </c>
    </row>
    <row r="1157" spans="1:3" x14ac:dyDescent="0.25">
      <c r="A1157" s="6" t="s">
        <v>348</v>
      </c>
      <c r="B1157" s="6">
        <v>1</v>
      </c>
      <c r="C1157" s="13">
        <v>0</v>
      </c>
    </row>
    <row r="1158" spans="1:3" x14ac:dyDescent="0.25">
      <c r="A1158" s="5" t="s">
        <v>321</v>
      </c>
      <c r="B1158" s="5">
        <v>1</v>
      </c>
      <c r="C1158" s="12">
        <v>0</v>
      </c>
    </row>
    <row r="1159" spans="1:3" x14ac:dyDescent="0.25">
      <c r="A1159" s="6" t="s">
        <v>55</v>
      </c>
      <c r="B1159" s="6">
        <v>1</v>
      </c>
      <c r="C1159" s="13">
        <v>0</v>
      </c>
    </row>
    <row r="1160" spans="1:3" x14ac:dyDescent="0.25">
      <c r="A1160" s="5" t="s">
        <v>296</v>
      </c>
      <c r="B1160" s="5">
        <v>1</v>
      </c>
      <c r="C1160" s="12">
        <v>0</v>
      </c>
    </row>
    <row r="1161" spans="1:3" x14ac:dyDescent="0.25">
      <c r="A1161" s="6" t="s">
        <v>636</v>
      </c>
      <c r="B1161" s="6">
        <v>1</v>
      </c>
      <c r="C1161" s="13">
        <v>0</v>
      </c>
    </row>
    <row r="1162" spans="1:3" x14ac:dyDescent="0.25">
      <c r="A1162" s="5" t="s">
        <v>585</v>
      </c>
      <c r="B1162" s="5">
        <v>1</v>
      </c>
      <c r="C1162" s="12">
        <v>0</v>
      </c>
    </row>
    <row r="1163" spans="1:3" x14ac:dyDescent="0.25">
      <c r="A1163" s="6" t="s">
        <v>59</v>
      </c>
      <c r="B1163" s="6">
        <v>1</v>
      </c>
      <c r="C1163" s="13">
        <v>0</v>
      </c>
    </row>
    <row r="1164" spans="1:3" x14ac:dyDescent="0.25">
      <c r="A1164" s="5" t="s">
        <v>380</v>
      </c>
      <c r="B1164" s="5">
        <v>1</v>
      </c>
      <c r="C1164" s="12">
        <v>0</v>
      </c>
    </row>
    <row r="1165" spans="1:3" x14ac:dyDescent="0.25">
      <c r="A1165" s="6" t="s">
        <v>181</v>
      </c>
      <c r="B1165" s="6">
        <v>1</v>
      </c>
      <c r="C1165" s="13">
        <v>0</v>
      </c>
    </row>
    <row r="1166" spans="1:3" x14ac:dyDescent="0.25">
      <c r="A1166" s="5" t="s">
        <v>36</v>
      </c>
      <c r="B1166" s="5">
        <v>1</v>
      </c>
      <c r="C1166" s="12">
        <v>0</v>
      </c>
    </row>
    <row r="1167" spans="1:3" x14ac:dyDescent="0.25">
      <c r="A1167" s="6" t="s">
        <v>16</v>
      </c>
      <c r="B1167" s="6">
        <v>1</v>
      </c>
      <c r="C1167" s="13">
        <v>0</v>
      </c>
    </row>
    <row r="1168" spans="1:3" x14ac:dyDescent="0.25">
      <c r="A1168" s="5" t="s">
        <v>186</v>
      </c>
      <c r="B1168" s="5">
        <v>1</v>
      </c>
      <c r="C1168" s="12">
        <v>0</v>
      </c>
    </row>
    <row r="1169" spans="1:3" x14ac:dyDescent="0.25">
      <c r="A1169" s="6" t="s">
        <v>114</v>
      </c>
      <c r="B1169" s="6">
        <v>1</v>
      </c>
      <c r="C1169" s="13">
        <v>0</v>
      </c>
    </row>
    <row r="1170" spans="1:3" x14ac:dyDescent="0.25">
      <c r="A1170" s="5" t="s">
        <v>410</v>
      </c>
      <c r="B1170" s="5">
        <v>1</v>
      </c>
      <c r="C1170" s="12">
        <v>0</v>
      </c>
    </row>
    <row r="1171" spans="1:3" x14ac:dyDescent="0.25">
      <c r="A1171" s="6" t="s">
        <v>18</v>
      </c>
      <c r="B1171" s="6">
        <v>1</v>
      </c>
      <c r="C1171" s="13">
        <v>0</v>
      </c>
    </row>
    <row r="1172" spans="1:3" x14ac:dyDescent="0.25">
      <c r="A1172" s="5" t="s">
        <v>506</v>
      </c>
      <c r="B1172" s="5">
        <v>1</v>
      </c>
      <c r="C1172" s="12">
        <v>0</v>
      </c>
    </row>
    <row r="1173" spans="1:3" x14ac:dyDescent="0.25">
      <c r="A1173" s="6" t="s">
        <v>118</v>
      </c>
      <c r="B1173" s="6">
        <v>1</v>
      </c>
      <c r="C1173" s="13">
        <v>0</v>
      </c>
    </row>
    <row r="1174" spans="1:3" x14ac:dyDescent="0.25">
      <c r="A1174" s="5" t="s">
        <v>383</v>
      </c>
      <c r="B1174" s="5">
        <v>1</v>
      </c>
      <c r="C1174" s="12">
        <v>0</v>
      </c>
    </row>
    <row r="1175" spans="1:3" x14ac:dyDescent="0.25">
      <c r="A1175" s="6" t="s">
        <v>236</v>
      </c>
      <c r="B1175" s="6">
        <v>1</v>
      </c>
      <c r="C1175" s="13">
        <v>0</v>
      </c>
    </row>
    <row r="1176" spans="1:3" x14ac:dyDescent="0.25">
      <c r="A1176" s="5" t="s">
        <v>22</v>
      </c>
      <c r="B1176" s="5">
        <v>1</v>
      </c>
      <c r="C1176" s="12">
        <v>0</v>
      </c>
    </row>
    <row r="1177" spans="1:3" x14ac:dyDescent="0.25">
      <c r="A1177" s="6" t="s">
        <v>46</v>
      </c>
      <c r="B1177" s="6">
        <v>1</v>
      </c>
      <c r="C1177" s="13">
        <v>0</v>
      </c>
    </row>
    <row r="1178" spans="1:3" x14ac:dyDescent="0.25">
      <c r="A1178" s="5" t="s">
        <v>100</v>
      </c>
      <c r="B1178" s="5">
        <v>1</v>
      </c>
      <c r="C1178" s="12">
        <v>0</v>
      </c>
    </row>
    <row r="1179" spans="1:3" x14ac:dyDescent="0.25">
      <c r="A1179" s="6" t="s">
        <v>23</v>
      </c>
      <c r="B1179" s="6">
        <v>1</v>
      </c>
      <c r="C1179" s="13">
        <v>0</v>
      </c>
    </row>
    <row r="1180" spans="1:3" x14ac:dyDescent="0.25">
      <c r="A1180" s="5" t="s">
        <v>570</v>
      </c>
      <c r="B1180" s="5">
        <v>1</v>
      </c>
      <c r="C1180" s="12">
        <v>0</v>
      </c>
    </row>
    <row r="1181" spans="1:3" x14ac:dyDescent="0.25">
      <c r="A1181" s="6" t="s">
        <v>53</v>
      </c>
      <c r="B1181" s="6">
        <v>1</v>
      </c>
      <c r="C1181" s="13">
        <v>0</v>
      </c>
    </row>
    <row r="1182" spans="1:3" x14ac:dyDescent="0.25">
      <c r="A1182" s="5" t="s">
        <v>89</v>
      </c>
      <c r="B1182" s="5">
        <v>1</v>
      </c>
      <c r="C1182" s="12">
        <v>0</v>
      </c>
    </row>
    <row r="1183" spans="1:3" x14ac:dyDescent="0.25">
      <c r="A1183" s="6" t="s">
        <v>348</v>
      </c>
      <c r="B1183" s="6">
        <v>1</v>
      </c>
      <c r="C1183" s="13">
        <v>0</v>
      </c>
    </row>
    <row r="1184" spans="1:3" x14ac:dyDescent="0.25">
      <c r="A1184" s="5" t="s">
        <v>9</v>
      </c>
      <c r="B1184" s="5">
        <v>1</v>
      </c>
      <c r="C1184" s="12">
        <v>0</v>
      </c>
    </row>
    <row r="1185" spans="1:3" x14ac:dyDescent="0.25">
      <c r="A1185" s="6" t="s">
        <v>11</v>
      </c>
      <c r="B1185" s="6">
        <v>1</v>
      </c>
      <c r="C1185" s="13">
        <v>0</v>
      </c>
    </row>
    <row r="1186" spans="1:3" x14ac:dyDescent="0.25">
      <c r="A1186" s="5" t="s">
        <v>296</v>
      </c>
      <c r="B1186" s="5">
        <v>1</v>
      </c>
      <c r="C1186" s="12">
        <v>0</v>
      </c>
    </row>
    <row r="1187" spans="1:3" x14ac:dyDescent="0.25">
      <c r="A1187" s="6" t="s">
        <v>35</v>
      </c>
      <c r="B1187" s="6">
        <v>1</v>
      </c>
      <c r="C1187" s="13">
        <v>0</v>
      </c>
    </row>
    <row r="1188" spans="1:3" x14ac:dyDescent="0.25">
      <c r="A1188" s="5" t="s">
        <v>636</v>
      </c>
      <c r="B1188" s="5">
        <v>1</v>
      </c>
      <c r="C1188" s="12">
        <v>0</v>
      </c>
    </row>
    <row r="1189" spans="1:3" x14ac:dyDescent="0.25">
      <c r="A1189" s="6" t="s">
        <v>15</v>
      </c>
      <c r="B1189" s="6">
        <v>1</v>
      </c>
      <c r="C1189" s="13">
        <v>0</v>
      </c>
    </row>
    <row r="1190" spans="1:3" x14ac:dyDescent="0.25">
      <c r="A1190" s="5" t="s">
        <v>70</v>
      </c>
      <c r="B1190" s="5">
        <v>1</v>
      </c>
      <c r="C1190" s="12">
        <v>0</v>
      </c>
    </row>
    <row r="1191" spans="1:3" x14ac:dyDescent="0.25">
      <c r="A1191" s="6" t="s">
        <v>59</v>
      </c>
      <c r="B1191" s="6">
        <v>1</v>
      </c>
      <c r="C1191" s="13">
        <v>0</v>
      </c>
    </row>
    <row r="1192" spans="1:3" x14ac:dyDescent="0.25">
      <c r="A1192" s="5" t="s">
        <v>380</v>
      </c>
      <c r="B1192" s="5">
        <v>1</v>
      </c>
      <c r="C1192" s="12">
        <v>0</v>
      </c>
    </row>
    <row r="1193" spans="1:3" x14ac:dyDescent="0.25">
      <c r="A1193" s="6" t="s">
        <v>359</v>
      </c>
      <c r="B1193" s="6">
        <v>1</v>
      </c>
      <c r="C1193" s="13">
        <v>0</v>
      </c>
    </row>
    <row r="1194" spans="1:3" x14ac:dyDescent="0.25">
      <c r="A1194" s="5" t="s">
        <v>36</v>
      </c>
      <c r="B1194" s="5">
        <v>1</v>
      </c>
      <c r="C1194" s="12">
        <v>0</v>
      </c>
    </row>
    <row r="1195" spans="1:3" x14ac:dyDescent="0.25">
      <c r="A1195" s="6" t="s">
        <v>530</v>
      </c>
      <c r="B1195" s="6">
        <v>1</v>
      </c>
      <c r="C1195" s="13">
        <v>0</v>
      </c>
    </row>
    <row r="1196" spans="1:3" x14ac:dyDescent="0.25">
      <c r="A1196" s="5" t="s">
        <v>208</v>
      </c>
      <c r="B1196" s="5">
        <v>1</v>
      </c>
      <c r="C1196" s="12">
        <v>0</v>
      </c>
    </row>
    <row r="1197" spans="1:3" x14ac:dyDescent="0.25">
      <c r="A1197" s="6" t="s">
        <v>16</v>
      </c>
      <c r="B1197" s="6">
        <v>1</v>
      </c>
      <c r="C1197" s="13">
        <v>0</v>
      </c>
    </row>
    <row r="1198" spans="1:3" x14ac:dyDescent="0.25">
      <c r="A1198" s="5" t="s">
        <v>184</v>
      </c>
      <c r="B1198" s="5">
        <v>1</v>
      </c>
      <c r="C1198" s="12">
        <v>0</v>
      </c>
    </row>
    <row r="1199" spans="1:3" x14ac:dyDescent="0.25">
      <c r="A1199" s="6" t="s">
        <v>625</v>
      </c>
      <c r="B1199" s="6">
        <v>1</v>
      </c>
      <c r="C1199" s="13">
        <v>0</v>
      </c>
    </row>
    <row r="1200" spans="1:3" x14ac:dyDescent="0.25">
      <c r="A1200" s="5" t="s">
        <v>538</v>
      </c>
      <c r="B1200" s="5">
        <v>1</v>
      </c>
      <c r="C1200" s="12">
        <v>0</v>
      </c>
    </row>
    <row r="1201" spans="1:3" x14ac:dyDescent="0.25">
      <c r="A1201" s="6" t="s">
        <v>114</v>
      </c>
      <c r="B1201" s="6">
        <v>1</v>
      </c>
      <c r="C1201" s="13">
        <v>0</v>
      </c>
    </row>
    <row r="1202" spans="1:3" x14ac:dyDescent="0.25">
      <c r="A1202" s="5" t="s">
        <v>410</v>
      </c>
      <c r="B1202" s="5">
        <v>1</v>
      </c>
      <c r="C1202" s="12">
        <v>0</v>
      </c>
    </row>
    <row r="1203" spans="1:3" x14ac:dyDescent="0.25">
      <c r="A1203" s="6" t="s">
        <v>41</v>
      </c>
      <c r="B1203" s="6">
        <v>1</v>
      </c>
      <c r="C1203" s="13">
        <v>0</v>
      </c>
    </row>
    <row r="1204" spans="1:3" x14ac:dyDescent="0.25">
      <c r="A1204" s="5" t="s">
        <v>267</v>
      </c>
      <c r="B1204" s="5">
        <v>1</v>
      </c>
      <c r="C1204" s="12">
        <v>0</v>
      </c>
    </row>
    <row r="1205" spans="1:3" x14ac:dyDescent="0.25">
      <c r="A1205" s="6" t="s">
        <v>20</v>
      </c>
      <c r="B1205" s="6">
        <v>1</v>
      </c>
      <c r="C1205" s="13">
        <v>0</v>
      </c>
    </row>
    <row r="1206" spans="1:3" x14ac:dyDescent="0.25">
      <c r="A1206" s="5" t="s">
        <v>99</v>
      </c>
      <c r="B1206" s="5">
        <v>1</v>
      </c>
      <c r="C1206" s="12">
        <v>0</v>
      </c>
    </row>
    <row r="1207" spans="1:3" x14ac:dyDescent="0.25">
      <c r="A1207" s="6" t="s">
        <v>156</v>
      </c>
      <c r="B1207" s="6">
        <v>1</v>
      </c>
      <c r="C1207" s="13">
        <v>0</v>
      </c>
    </row>
    <row r="1208" spans="1:3" x14ac:dyDescent="0.25">
      <c r="A1208" s="5" t="s">
        <v>384</v>
      </c>
      <c r="B1208" s="5">
        <v>1</v>
      </c>
      <c r="C1208" s="12">
        <v>0</v>
      </c>
    </row>
    <row r="1209" spans="1:3" x14ac:dyDescent="0.25">
      <c r="A1209" s="6" t="s">
        <v>238</v>
      </c>
      <c r="B1209" s="6">
        <v>1</v>
      </c>
      <c r="C1209" s="13">
        <v>0</v>
      </c>
    </row>
    <row r="1210" spans="1:3" x14ac:dyDescent="0.25">
      <c r="A1210" s="5" t="s">
        <v>22</v>
      </c>
      <c r="B1210" s="5">
        <v>1</v>
      </c>
      <c r="C1210" s="12">
        <v>0</v>
      </c>
    </row>
    <row r="1211" spans="1:3" x14ac:dyDescent="0.25">
      <c r="A1211" s="6" t="s">
        <v>46</v>
      </c>
      <c r="B1211" s="6">
        <v>1</v>
      </c>
      <c r="C1211" s="13">
        <v>0</v>
      </c>
    </row>
    <row r="1212" spans="1:3" x14ac:dyDescent="0.25">
      <c r="A1212" s="5" t="s">
        <v>100</v>
      </c>
      <c r="B1212" s="5">
        <v>1</v>
      </c>
      <c r="C1212" s="12">
        <v>0</v>
      </c>
    </row>
    <row r="1213" spans="1:3" x14ac:dyDescent="0.25">
      <c r="A1213" s="6" t="s">
        <v>511</v>
      </c>
      <c r="B1213" s="6">
        <v>1</v>
      </c>
      <c r="C1213" s="13">
        <v>0</v>
      </c>
    </row>
    <row r="1214" spans="1:3" x14ac:dyDescent="0.25">
      <c r="A1214" s="5" t="s">
        <v>49</v>
      </c>
      <c r="B1214" s="5">
        <v>1</v>
      </c>
      <c r="C1214" s="12">
        <v>0</v>
      </c>
    </row>
    <row r="1215" spans="1:3" x14ac:dyDescent="0.25">
      <c r="A1215" s="6" t="s">
        <v>193</v>
      </c>
      <c r="B1215" s="6">
        <v>1</v>
      </c>
      <c r="C1215" s="13">
        <v>0</v>
      </c>
    </row>
    <row r="1216" spans="1:3" x14ac:dyDescent="0.25">
      <c r="A1216" s="5" t="s">
        <v>50</v>
      </c>
      <c r="B1216" s="5">
        <v>1</v>
      </c>
      <c r="C1216" s="12">
        <v>0</v>
      </c>
    </row>
    <row r="1217" spans="1:3" x14ac:dyDescent="0.25">
      <c r="A1217" s="6" t="s">
        <v>570</v>
      </c>
      <c r="B1217" s="6">
        <v>1</v>
      </c>
      <c r="C1217" s="13">
        <v>0</v>
      </c>
    </row>
    <row r="1218" spans="1:3" x14ac:dyDescent="0.25">
      <c r="A1218" s="5" t="s">
        <v>62</v>
      </c>
      <c r="B1218" s="5">
        <v>1</v>
      </c>
      <c r="C1218" s="12">
        <v>0</v>
      </c>
    </row>
    <row r="1219" spans="1:3" x14ac:dyDescent="0.25">
      <c r="A1219" s="6" t="s">
        <v>516</v>
      </c>
      <c r="B1219" s="6">
        <v>1</v>
      </c>
      <c r="C1219" s="13">
        <v>0</v>
      </c>
    </row>
    <row r="1220" spans="1:3" x14ac:dyDescent="0.25">
      <c r="A1220" s="5" t="s">
        <v>51</v>
      </c>
      <c r="B1220" s="5">
        <v>1</v>
      </c>
      <c r="C1220" s="12">
        <v>0</v>
      </c>
    </row>
    <row r="1221" spans="1:3" x14ac:dyDescent="0.25">
      <c r="A1221" s="6" t="s">
        <v>549</v>
      </c>
      <c r="B1221" s="6">
        <v>1</v>
      </c>
      <c r="C1221" s="13">
        <v>0</v>
      </c>
    </row>
    <row r="1222" spans="1:3" x14ac:dyDescent="0.25">
      <c r="A1222" s="5" t="s">
        <v>101</v>
      </c>
      <c r="B1222" s="5">
        <v>1</v>
      </c>
      <c r="C1222" s="12">
        <v>0</v>
      </c>
    </row>
    <row r="1223" spans="1:3" x14ac:dyDescent="0.25">
      <c r="A1223" s="6" t="s">
        <v>53</v>
      </c>
      <c r="B1223" s="6">
        <v>1</v>
      </c>
      <c r="C1223" s="13">
        <v>0</v>
      </c>
    </row>
    <row r="1224" spans="1:3" x14ac:dyDescent="0.25">
      <c r="A1224" s="5" t="s">
        <v>651</v>
      </c>
      <c r="B1224" s="5">
        <v>1</v>
      </c>
      <c r="C1224" s="12">
        <v>0</v>
      </c>
    </row>
    <row r="1225" spans="1:3" x14ac:dyDescent="0.25">
      <c r="A1225" s="6" t="s">
        <v>54</v>
      </c>
      <c r="B1225" s="6">
        <v>1</v>
      </c>
      <c r="C1225" s="13">
        <v>0</v>
      </c>
    </row>
    <row r="1226" spans="1:3" x14ac:dyDescent="0.25">
      <c r="A1226" s="5" t="s">
        <v>470</v>
      </c>
      <c r="B1226" s="5">
        <v>1</v>
      </c>
      <c r="C1226" s="12">
        <v>0</v>
      </c>
    </row>
    <row r="1227" spans="1:3" x14ac:dyDescent="0.25">
      <c r="A1227" s="6" t="s">
        <v>397</v>
      </c>
      <c r="B1227" s="6">
        <v>1</v>
      </c>
      <c r="C1227" s="13">
        <v>0</v>
      </c>
    </row>
    <row r="1228" spans="1:3" x14ac:dyDescent="0.25">
      <c r="A1228" s="5" t="s">
        <v>321</v>
      </c>
      <c r="B1228" s="5">
        <v>1</v>
      </c>
      <c r="C1228" s="12">
        <v>0</v>
      </c>
    </row>
    <row r="1229" spans="1:3" x14ac:dyDescent="0.25">
      <c r="A1229" s="6" t="s">
        <v>9</v>
      </c>
      <c r="B1229" s="6">
        <v>1</v>
      </c>
      <c r="C1229" s="13">
        <v>0</v>
      </c>
    </row>
    <row r="1230" spans="1:3" x14ac:dyDescent="0.25">
      <c r="A1230" s="5" t="s">
        <v>11</v>
      </c>
      <c r="B1230" s="5">
        <v>1</v>
      </c>
      <c r="C1230" s="12">
        <v>0</v>
      </c>
    </row>
    <row r="1231" spans="1:3" x14ac:dyDescent="0.25">
      <c r="A1231" s="6" t="s">
        <v>296</v>
      </c>
      <c r="B1231" s="6">
        <v>1</v>
      </c>
      <c r="C1231" s="13">
        <v>0</v>
      </c>
    </row>
    <row r="1232" spans="1:3" x14ac:dyDescent="0.25">
      <c r="A1232" s="5" t="s">
        <v>35</v>
      </c>
      <c r="B1232" s="5">
        <v>1</v>
      </c>
      <c r="C1232" s="12">
        <v>0</v>
      </c>
    </row>
    <row r="1233" spans="1:3" x14ac:dyDescent="0.25">
      <c r="A1233" s="6" t="s">
        <v>636</v>
      </c>
      <c r="B1233" s="6">
        <v>1</v>
      </c>
      <c r="C1233" s="13">
        <v>0</v>
      </c>
    </row>
    <row r="1234" spans="1:3" x14ac:dyDescent="0.25">
      <c r="A1234" s="5" t="s">
        <v>585</v>
      </c>
      <c r="B1234" s="5">
        <v>1</v>
      </c>
      <c r="C1234" s="12">
        <v>0</v>
      </c>
    </row>
    <row r="1235" spans="1:3" x14ac:dyDescent="0.25">
      <c r="A1235" s="6" t="s">
        <v>15</v>
      </c>
      <c r="B1235" s="6">
        <v>1</v>
      </c>
      <c r="C1235" s="13">
        <v>0</v>
      </c>
    </row>
    <row r="1236" spans="1:3" x14ac:dyDescent="0.25">
      <c r="A1236" s="5" t="s">
        <v>70</v>
      </c>
      <c r="B1236" s="5">
        <v>1</v>
      </c>
      <c r="C1236" s="12">
        <v>0</v>
      </c>
    </row>
    <row r="1237" spans="1:3" x14ac:dyDescent="0.25">
      <c r="A1237" s="6" t="s">
        <v>59</v>
      </c>
      <c r="B1237" s="6">
        <v>1</v>
      </c>
      <c r="C1237" s="13">
        <v>0</v>
      </c>
    </row>
    <row r="1238" spans="1:3" x14ac:dyDescent="0.25">
      <c r="A1238" s="5" t="s">
        <v>380</v>
      </c>
      <c r="B1238" s="5">
        <v>1</v>
      </c>
      <c r="C1238" s="12">
        <v>0</v>
      </c>
    </row>
    <row r="1239" spans="1:3" x14ac:dyDescent="0.25">
      <c r="A1239" s="6" t="s">
        <v>181</v>
      </c>
      <c r="B1239" s="6">
        <v>1</v>
      </c>
      <c r="C1239" s="13">
        <v>0</v>
      </c>
    </row>
    <row r="1240" spans="1:3" x14ac:dyDescent="0.25">
      <c r="A1240" s="5" t="s">
        <v>36</v>
      </c>
      <c r="B1240" s="5">
        <v>1</v>
      </c>
      <c r="C1240" s="12">
        <v>0</v>
      </c>
    </row>
    <row r="1241" spans="1:3" x14ac:dyDescent="0.25">
      <c r="A1241" s="6" t="s">
        <v>530</v>
      </c>
      <c r="B1241" s="6">
        <v>1</v>
      </c>
      <c r="C1241" s="13">
        <v>0</v>
      </c>
    </row>
    <row r="1242" spans="1:3" x14ac:dyDescent="0.25">
      <c r="A1242" s="5" t="s">
        <v>208</v>
      </c>
      <c r="B1242" s="5">
        <v>1</v>
      </c>
      <c r="C1242" s="12">
        <v>0</v>
      </c>
    </row>
    <row r="1243" spans="1:3" x14ac:dyDescent="0.25">
      <c r="A1243" s="6" t="s">
        <v>16</v>
      </c>
      <c r="B1243" s="6">
        <v>1</v>
      </c>
      <c r="C1243" s="13">
        <v>0</v>
      </c>
    </row>
    <row r="1244" spans="1:3" x14ac:dyDescent="0.25">
      <c r="A1244" s="5" t="s">
        <v>534</v>
      </c>
      <c r="B1244" s="5">
        <v>1</v>
      </c>
      <c r="C1244" s="12">
        <v>0</v>
      </c>
    </row>
    <row r="1245" spans="1:3" x14ac:dyDescent="0.25">
      <c r="A1245" s="6" t="s">
        <v>186</v>
      </c>
      <c r="B1245" s="6">
        <v>1</v>
      </c>
      <c r="C1245" s="13">
        <v>0</v>
      </c>
    </row>
    <row r="1246" spans="1:3" x14ac:dyDescent="0.25">
      <c r="A1246" s="5" t="s">
        <v>409</v>
      </c>
      <c r="B1246" s="5">
        <v>1</v>
      </c>
      <c r="C1246" s="12">
        <v>0</v>
      </c>
    </row>
    <row r="1247" spans="1:3" x14ac:dyDescent="0.25">
      <c r="A1247" s="6" t="s">
        <v>538</v>
      </c>
      <c r="B1247" s="6">
        <v>1</v>
      </c>
      <c r="C1247" s="13">
        <v>0</v>
      </c>
    </row>
    <row r="1248" spans="1:3" x14ac:dyDescent="0.25">
      <c r="A1248" s="5" t="s">
        <v>114</v>
      </c>
      <c r="B1248" s="5">
        <v>1</v>
      </c>
      <c r="C1248" s="12">
        <v>0</v>
      </c>
    </row>
    <row r="1249" spans="1:3" x14ac:dyDescent="0.25">
      <c r="A1249" s="6" t="s">
        <v>410</v>
      </c>
      <c r="B1249" s="6">
        <v>1</v>
      </c>
      <c r="C1249" s="13">
        <v>0</v>
      </c>
    </row>
    <row r="1250" spans="1:3" x14ac:dyDescent="0.25">
      <c r="A1250" s="5" t="s">
        <v>18</v>
      </c>
      <c r="B1250" s="5">
        <v>1</v>
      </c>
      <c r="C1250" s="12">
        <v>0</v>
      </c>
    </row>
    <row r="1251" spans="1:3" x14ac:dyDescent="0.25">
      <c r="A1251" s="6" t="s">
        <v>41</v>
      </c>
      <c r="B1251" s="6">
        <v>1</v>
      </c>
      <c r="C1251" s="13">
        <v>0</v>
      </c>
    </row>
    <row r="1252" spans="1:3" x14ac:dyDescent="0.25">
      <c r="A1252" s="5" t="s">
        <v>267</v>
      </c>
      <c r="B1252" s="5">
        <v>1</v>
      </c>
      <c r="C1252" s="12">
        <v>0</v>
      </c>
    </row>
    <row r="1253" spans="1:3" x14ac:dyDescent="0.25">
      <c r="A1253" s="6" t="s">
        <v>20</v>
      </c>
      <c r="B1253" s="6">
        <v>1</v>
      </c>
      <c r="C1253" s="13">
        <v>0</v>
      </c>
    </row>
    <row r="1254" spans="1:3" x14ac:dyDescent="0.25">
      <c r="A1254" s="5" t="s">
        <v>43</v>
      </c>
      <c r="B1254" s="5">
        <v>1</v>
      </c>
      <c r="C1254" s="12">
        <v>0</v>
      </c>
    </row>
    <row r="1255" spans="1:3" x14ac:dyDescent="0.25">
      <c r="A1255" s="6" t="s">
        <v>99</v>
      </c>
      <c r="B1255" s="6">
        <v>1</v>
      </c>
      <c r="C1255" s="13">
        <v>0</v>
      </c>
    </row>
    <row r="1256" spans="1:3" x14ac:dyDescent="0.25">
      <c r="A1256" s="5" t="s">
        <v>156</v>
      </c>
      <c r="B1256" s="5">
        <v>1</v>
      </c>
      <c r="C1256" s="12">
        <v>0</v>
      </c>
    </row>
    <row r="1257" spans="1:3" x14ac:dyDescent="0.25">
      <c r="A1257" s="6" t="s">
        <v>384</v>
      </c>
      <c r="B1257" s="6">
        <v>1</v>
      </c>
      <c r="C1257" s="13">
        <v>0</v>
      </c>
    </row>
    <row r="1258" spans="1:3" x14ac:dyDescent="0.25">
      <c r="A1258" s="5" t="s">
        <v>238</v>
      </c>
      <c r="B1258" s="5">
        <v>1</v>
      </c>
      <c r="C1258" s="12">
        <v>0</v>
      </c>
    </row>
    <row r="1259" spans="1:3" x14ac:dyDescent="0.25">
      <c r="A1259" s="6" t="s">
        <v>22</v>
      </c>
      <c r="B1259" s="6">
        <v>1</v>
      </c>
      <c r="C1259" s="13">
        <v>0</v>
      </c>
    </row>
    <row r="1260" spans="1:3" x14ac:dyDescent="0.25">
      <c r="A1260" s="5" t="s">
        <v>61</v>
      </c>
      <c r="B1260" s="5">
        <v>1</v>
      </c>
      <c r="C1260" s="12">
        <v>0</v>
      </c>
    </row>
    <row r="1261" spans="1:3" x14ac:dyDescent="0.25">
      <c r="A1261" s="6" t="s">
        <v>46</v>
      </c>
      <c r="B1261" s="6">
        <v>1</v>
      </c>
      <c r="C1261" s="13">
        <v>0</v>
      </c>
    </row>
    <row r="1262" spans="1:3" x14ac:dyDescent="0.25">
      <c r="A1262" s="5" t="s">
        <v>100</v>
      </c>
      <c r="B1262" s="5">
        <v>1</v>
      </c>
      <c r="C1262" s="12">
        <v>0</v>
      </c>
    </row>
    <row r="1263" spans="1:3" x14ac:dyDescent="0.25">
      <c r="A1263" s="6" t="s">
        <v>23</v>
      </c>
      <c r="B1263" s="6">
        <v>1</v>
      </c>
      <c r="C1263" s="13">
        <v>0</v>
      </c>
    </row>
    <row r="1264" spans="1:3" x14ac:dyDescent="0.25">
      <c r="A1264" s="5" t="s">
        <v>511</v>
      </c>
      <c r="B1264" s="5">
        <v>1</v>
      </c>
      <c r="C1264" s="12">
        <v>0</v>
      </c>
    </row>
    <row r="1265" spans="1:3" x14ac:dyDescent="0.25">
      <c r="A1265" s="6" t="s">
        <v>49</v>
      </c>
      <c r="B1265" s="6">
        <v>1</v>
      </c>
      <c r="C1265" s="13">
        <v>0</v>
      </c>
    </row>
    <row r="1266" spans="1:3" x14ac:dyDescent="0.25">
      <c r="A1266" s="5" t="s">
        <v>268</v>
      </c>
      <c r="B1266" s="5">
        <v>1</v>
      </c>
      <c r="C1266" s="12">
        <v>0</v>
      </c>
    </row>
    <row r="1267" spans="1:3" x14ac:dyDescent="0.25">
      <c r="A1267" s="6" t="s">
        <v>213</v>
      </c>
      <c r="B1267" s="6">
        <v>1</v>
      </c>
      <c r="C1267" s="13">
        <v>0</v>
      </c>
    </row>
    <row r="1268" spans="1:3" x14ac:dyDescent="0.25">
      <c r="A1268" s="5" t="s">
        <v>50</v>
      </c>
      <c r="B1268" s="5">
        <v>1</v>
      </c>
      <c r="C1268" s="12">
        <v>0</v>
      </c>
    </row>
    <row r="1269" spans="1:3" x14ac:dyDescent="0.25">
      <c r="A1269" s="6" t="s">
        <v>570</v>
      </c>
      <c r="B1269" s="6">
        <v>1</v>
      </c>
      <c r="C1269" s="13">
        <v>0</v>
      </c>
    </row>
    <row r="1270" spans="1:3" x14ac:dyDescent="0.25">
      <c r="A1270" s="5" t="s">
        <v>62</v>
      </c>
      <c r="B1270" s="5">
        <v>1</v>
      </c>
      <c r="C1270" s="12">
        <v>0</v>
      </c>
    </row>
    <row r="1271" spans="1:3" x14ac:dyDescent="0.25">
      <c r="A1271" s="6" t="s">
        <v>516</v>
      </c>
      <c r="B1271" s="6">
        <v>1</v>
      </c>
      <c r="C1271" s="13">
        <v>0</v>
      </c>
    </row>
    <row r="1272" spans="1:3" x14ac:dyDescent="0.25">
      <c r="A1272" s="5" t="s">
        <v>51</v>
      </c>
      <c r="B1272" s="5">
        <v>1</v>
      </c>
      <c r="C1272" s="12">
        <v>0</v>
      </c>
    </row>
    <row r="1273" spans="1:3" x14ac:dyDescent="0.25">
      <c r="A1273" s="6" t="s">
        <v>549</v>
      </c>
      <c r="B1273" s="6">
        <v>1</v>
      </c>
      <c r="C1273" s="13">
        <v>0</v>
      </c>
    </row>
    <row r="1274" spans="1:3" x14ac:dyDescent="0.25">
      <c r="A1274" s="5" t="s">
        <v>53</v>
      </c>
      <c r="B1274" s="5">
        <v>1</v>
      </c>
      <c r="C1274" s="12">
        <v>0</v>
      </c>
    </row>
    <row r="1275" spans="1:3" x14ac:dyDescent="0.25">
      <c r="A1275" s="6" t="s">
        <v>262</v>
      </c>
      <c r="B1275" s="6">
        <v>1</v>
      </c>
      <c r="C1275" s="13">
        <v>0</v>
      </c>
    </row>
    <row r="1276" spans="1:3" x14ac:dyDescent="0.25">
      <c r="A1276" s="5" t="s">
        <v>54</v>
      </c>
      <c r="B1276" s="5">
        <v>1</v>
      </c>
      <c r="C1276" s="12">
        <v>0</v>
      </c>
    </row>
    <row r="1277" spans="1:3" x14ac:dyDescent="0.25">
      <c r="A1277" s="6" t="s">
        <v>470</v>
      </c>
      <c r="B1277" s="6">
        <v>1</v>
      </c>
      <c r="C1277" s="13">
        <v>0</v>
      </c>
    </row>
    <row r="1278" spans="1:3" x14ac:dyDescent="0.25">
      <c r="A1278" s="5" t="s">
        <v>397</v>
      </c>
      <c r="B1278" s="5">
        <v>1</v>
      </c>
      <c r="C1278" s="12">
        <v>0</v>
      </c>
    </row>
    <row r="1279" spans="1:3" x14ac:dyDescent="0.25">
      <c r="A1279" s="6" t="s">
        <v>89</v>
      </c>
      <c r="B1279" s="6">
        <v>1</v>
      </c>
      <c r="C1279" s="13">
        <v>0</v>
      </c>
    </row>
    <row r="1280" spans="1:3" x14ac:dyDescent="0.25">
      <c r="A1280" s="5" t="s">
        <v>348</v>
      </c>
      <c r="B1280" s="5">
        <v>1</v>
      </c>
      <c r="C1280" s="12">
        <v>0</v>
      </c>
    </row>
    <row r="1281" spans="1:3" x14ac:dyDescent="0.25">
      <c r="A1281" s="6" t="s">
        <v>321</v>
      </c>
      <c r="B1281" s="6">
        <v>1</v>
      </c>
      <c r="C1281" s="13">
        <v>0</v>
      </c>
    </row>
    <row r="1282" spans="1:3" x14ac:dyDescent="0.25">
      <c r="A1282" s="5" t="s">
        <v>9</v>
      </c>
      <c r="B1282" s="5">
        <v>1</v>
      </c>
      <c r="C1282" s="12">
        <v>0</v>
      </c>
    </row>
    <row r="1283" spans="1:3" x14ac:dyDescent="0.25">
      <c r="A1283" s="6" t="s">
        <v>11</v>
      </c>
      <c r="B1283" s="6">
        <v>1</v>
      </c>
      <c r="C1283" s="13">
        <v>0</v>
      </c>
    </row>
    <row r="1284" spans="1:3" x14ac:dyDescent="0.25">
      <c r="A1284" s="5" t="s">
        <v>296</v>
      </c>
      <c r="B1284" s="5">
        <v>1</v>
      </c>
      <c r="C1284" s="12">
        <v>0</v>
      </c>
    </row>
    <row r="1285" spans="1:3" x14ac:dyDescent="0.25">
      <c r="A1285" s="6" t="s">
        <v>35</v>
      </c>
      <c r="B1285" s="6">
        <v>1</v>
      </c>
      <c r="C1285" s="13">
        <v>0</v>
      </c>
    </row>
    <row r="1286" spans="1:3" x14ac:dyDescent="0.25">
      <c r="A1286" s="5" t="s">
        <v>636</v>
      </c>
      <c r="B1286" s="5">
        <v>1</v>
      </c>
      <c r="C1286" s="12">
        <v>0</v>
      </c>
    </row>
    <row r="1287" spans="1:3" x14ac:dyDescent="0.25">
      <c r="A1287" s="6" t="s">
        <v>15</v>
      </c>
      <c r="B1287" s="6">
        <v>1</v>
      </c>
      <c r="C1287" s="13">
        <v>0</v>
      </c>
    </row>
    <row r="1288" spans="1:3" x14ac:dyDescent="0.25">
      <c r="A1288" s="5" t="s">
        <v>70</v>
      </c>
      <c r="B1288" s="5">
        <v>1</v>
      </c>
      <c r="C1288" s="12">
        <v>0</v>
      </c>
    </row>
    <row r="1289" spans="1:3" x14ac:dyDescent="0.25">
      <c r="A1289" s="6" t="s">
        <v>59</v>
      </c>
      <c r="B1289" s="6">
        <v>1</v>
      </c>
      <c r="C1289" s="13">
        <v>0</v>
      </c>
    </row>
    <row r="1290" spans="1:3" x14ac:dyDescent="0.25">
      <c r="A1290" s="5" t="s">
        <v>181</v>
      </c>
      <c r="B1290" s="5">
        <v>1</v>
      </c>
      <c r="C1290" s="12">
        <v>0</v>
      </c>
    </row>
    <row r="1291" spans="1:3" x14ac:dyDescent="0.25">
      <c r="A1291" s="6" t="s">
        <v>36</v>
      </c>
      <c r="B1291" s="6">
        <v>1</v>
      </c>
      <c r="C1291" s="13">
        <v>0</v>
      </c>
    </row>
    <row r="1292" spans="1:3" x14ac:dyDescent="0.25">
      <c r="A1292" s="5" t="s">
        <v>530</v>
      </c>
      <c r="B1292" s="5">
        <v>1</v>
      </c>
      <c r="C1292" s="12">
        <v>0</v>
      </c>
    </row>
    <row r="1293" spans="1:3" x14ac:dyDescent="0.25">
      <c r="A1293" s="6" t="s">
        <v>208</v>
      </c>
      <c r="B1293" s="6">
        <v>1</v>
      </c>
      <c r="C1293" s="13">
        <v>0</v>
      </c>
    </row>
    <row r="1294" spans="1:3" x14ac:dyDescent="0.25">
      <c r="A1294" s="5" t="s">
        <v>16</v>
      </c>
      <c r="B1294" s="5">
        <v>1</v>
      </c>
      <c r="C1294" s="12">
        <v>0</v>
      </c>
    </row>
    <row r="1295" spans="1:3" x14ac:dyDescent="0.25">
      <c r="A1295" s="6" t="s">
        <v>184</v>
      </c>
      <c r="B1295" s="6">
        <v>1</v>
      </c>
      <c r="C1295" s="13">
        <v>0</v>
      </c>
    </row>
    <row r="1296" spans="1:3" x14ac:dyDescent="0.25">
      <c r="A1296" s="5" t="s">
        <v>534</v>
      </c>
      <c r="B1296" s="5">
        <v>1</v>
      </c>
      <c r="C1296" s="12">
        <v>0</v>
      </c>
    </row>
    <row r="1297" spans="1:3" x14ac:dyDescent="0.25">
      <c r="A1297" s="6" t="s">
        <v>186</v>
      </c>
      <c r="B1297" s="6">
        <v>1</v>
      </c>
      <c r="C1297" s="13">
        <v>0</v>
      </c>
    </row>
    <row r="1298" spans="1:3" x14ac:dyDescent="0.25">
      <c r="A1298" s="5" t="s">
        <v>409</v>
      </c>
      <c r="B1298" s="5">
        <v>1</v>
      </c>
      <c r="C1298" s="12">
        <v>0</v>
      </c>
    </row>
    <row r="1299" spans="1:3" x14ac:dyDescent="0.25">
      <c r="A1299" s="6" t="s">
        <v>538</v>
      </c>
      <c r="B1299" s="6">
        <v>1</v>
      </c>
      <c r="C1299" s="13">
        <v>0</v>
      </c>
    </row>
    <row r="1300" spans="1:3" x14ac:dyDescent="0.25">
      <c r="A1300" s="5" t="s">
        <v>114</v>
      </c>
      <c r="B1300" s="5">
        <v>1</v>
      </c>
      <c r="C1300" s="12">
        <v>0</v>
      </c>
    </row>
    <row r="1301" spans="1:3" x14ac:dyDescent="0.25">
      <c r="A1301" s="6" t="s">
        <v>410</v>
      </c>
      <c r="B1301" s="6">
        <v>1</v>
      </c>
      <c r="C1301" s="13">
        <v>0</v>
      </c>
    </row>
    <row r="1302" spans="1:3" x14ac:dyDescent="0.25">
      <c r="A1302" s="5" t="s">
        <v>668</v>
      </c>
      <c r="B1302" s="5">
        <v>1</v>
      </c>
      <c r="C1302" s="12">
        <v>0</v>
      </c>
    </row>
    <row r="1303" spans="1:3" x14ac:dyDescent="0.25">
      <c r="A1303" s="6" t="s">
        <v>18</v>
      </c>
      <c r="B1303" s="6">
        <v>1</v>
      </c>
      <c r="C1303" s="13">
        <v>0</v>
      </c>
    </row>
    <row r="1304" spans="1:3" x14ac:dyDescent="0.25">
      <c r="A1304" s="5" t="s">
        <v>41</v>
      </c>
      <c r="B1304" s="5">
        <v>1</v>
      </c>
      <c r="C1304" s="12">
        <v>0</v>
      </c>
    </row>
    <row r="1305" spans="1:3" x14ac:dyDescent="0.25">
      <c r="A1305" s="6" t="s">
        <v>506</v>
      </c>
      <c r="B1305" s="6">
        <v>1</v>
      </c>
      <c r="C1305" s="13">
        <v>0</v>
      </c>
    </row>
    <row r="1306" spans="1:3" x14ac:dyDescent="0.25">
      <c r="A1306" s="5" t="s">
        <v>118</v>
      </c>
      <c r="B1306" s="5">
        <v>1</v>
      </c>
      <c r="C1306" s="12">
        <v>0</v>
      </c>
    </row>
    <row r="1307" spans="1:3" x14ac:dyDescent="0.25">
      <c r="A1307" s="6" t="s">
        <v>20</v>
      </c>
      <c r="B1307" s="6">
        <v>1</v>
      </c>
      <c r="C1307" s="13">
        <v>0</v>
      </c>
    </row>
    <row r="1308" spans="1:3" x14ac:dyDescent="0.25">
      <c r="A1308" s="5" t="s">
        <v>43</v>
      </c>
      <c r="B1308" s="5">
        <v>1</v>
      </c>
      <c r="C1308" s="12">
        <v>0</v>
      </c>
    </row>
    <row r="1309" spans="1:3" x14ac:dyDescent="0.25">
      <c r="A1309" s="6" t="s">
        <v>671</v>
      </c>
      <c r="B1309" s="6">
        <v>1</v>
      </c>
      <c r="C1309" s="13">
        <v>0</v>
      </c>
    </row>
    <row r="1310" spans="1:3" x14ac:dyDescent="0.25">
      <c r="A1310" s="5" t="s">
        <v>99</v>
      </c>
      <c r="B1310" s="5">
        <v>1</v>
      </c>
      <c r="C1310" s="12">
        <v>0</v>
      </c>
    </row>
    <row r="1311" spans="1:3" x14ac:dyDescent="0.25">
      <c r="A1311" s="6" t="s">
        <v>156</v>
      </c>
      <c r="B1311" s="6">
        <v>1</v>
      </c>
      <c r="C1311" s="13">
        <v>0</v>
      </c>
    </row>
    <row r="1312" spans="1:3" x14ac:dyDescent="0.25">
      <c r="A1312" s="5" t="s">
        <v>238</v>
      </c>
      <c r="B1312" s="5">
        <v>1</v>
      </c>
      <c r="C1312" s="12">
        <v>0</v>
      </c>
    </row>
    <row r="1313" spans="1:3" x14ac:dyDescent="0.25">
      <c r="A1313" s="6" t="s">
        <v>22</v>
      </c>
      <c r="B1313" s="6">
        <v>1</v>
      </c>
      <c r="C1313" s="13">
        <v>0</v>
      </c>
    </row>
    <row r="1314" spans="1:3" x14ac:dyDescent="0.25">
      <c r="A1314" s="5" t="s">
        <v>61</v>
      </c>
      <c r="B1314" s="5">
        <v>1</v>
      </c>
      <c r="C1314" s="12">
        <v>0</v>
      </c>
    </row>
    <row r="1315" spans="1:3" x14ac:dyDescent="0.25">
      <c r="A1315" s="6" t="s">
        <v>46</v>
      </c>
      <c r="B1315" s="6">
        <v>1</v>
      </c>
      <c r="C1315" s="13">
        <v>0</v>
      </c>
    </row>
    <row r="1316" spans="1:3" x14ac:dyDescent="0.25">
      <c r="A1316" s="5" t="s">
        <v>23</v>
      </c>
      <c r="B1316" s="5">
        <v>1</v>
      </c>
      <c r="C1316" s="12">
        <v>0</v>
      </c>
    </row>
    <row r="1317" spans="1:3" x14ac:dyDescent="0.25">
      <c r="A1317" s="6" t="s">
        <v>511</v>
      </c>
      <c r="B1317" s="6">
        <v>1</v>
      </c>
      <c r="C1317" s="13">
        <v>0</v>
      </c>
    </row>
    <row r="1318" spans="1:3" x14ac:dyDescent="0.25">
      <c r="A1318" s="5" t="s">
        <v>546</v>
      </c>
      <c r="B1318" s="5">
        <v>1</v>
      </c>
      <c r="C1318" s="12">
        <v>0</v>
      </c>
    </row>
    <row r="1319" spans="1:3" x14ac:dyDescent="0.25">
      <c r="A1319" s="6" t="s">
        <v>193</v>
      </c>
      <c r="B1319" s="6">
        <v>1</v>
      </c>
      <c r="C1319" s="13">
        <v>0</v>
      </c>
    </row>
    <row r="1320" spans="1:3" x14ac:dyDescent="0.25">
      <c r="A1320" s="5" t="s">
        <v>213</v>
      </c>
      <c r="B1320" s="5">
        <v>1</v>
      </c>
      <c r="C1320" s="12">
        <v>0</v>
      </c>
    </row>
    <row r="1321" spans="1:3" x14ac:dyDescent="0.25">
      <c r="A1321" s="6" t="s">
        <v>50</v>
      </c>
      <c r="B1321" s="6">
        <v>1</v>
      </c>
      <c r="C1321" s="13">
        <v>0</v>
      </c>
    </row>
    <row r="1322" spans="1:3" x14ac:dyDescent="0.25">
      <c r="A1322" s="5" t="s">
        <v>570</v>
      </c>
      <c r="B1322" s="5">
        <v>1</v>
      </c>
      <c r="C1322" s="12">
        <v>0</v>
      </c>
    </row>
    <row r="1323" spans="1:3" x14ac:dyDescent="0.25">
      <c r="A1323" s="6" t="s">
        <v>62</v>
      </c>
      <c r="B1323" s="6">
        <v>1</v>
      </c>
      <c r="C1323" s="13">
        <v>0</v>
      </c>
    </row>
    <row r="1324" spans="1:3" x14ac:dyDescent="0.25">
      <c r="A1324" s="5" t="s">
        <v>516</v>
      </c>
      <c r="B1324" s="5">
        <v>1</v>
      </c>
      <c r="C1324" s="12">
        <v>0</v>
      </c>
    </row>
    <row r="1325" spans="1:3" x14ac:dyDescent="0.25">
      <c r="A1325" s="6" t="s">
        <v>51</v>
      </c>
      <c r="B1325" s="6">
        <v>1</v>
      </c>
      <c r="C1325" s="13">
        <v>0</v>
      </c>
    </row>
    <row r="1326" spans="1:3" x14ac:dyDescent="0.25">
      <c r="A1326" s="5" t="s">
        <v>83</v>
      </c>
      <c r="B1326" s="5">
        <v>1</v>
      </c>
      <c r="C1326" s="12">
        <v>0</v>
      </c>
    </row>
    <row r="1327" spans="1:3" x14ac:dyDescent="0.25">
      <c r="A1327" s="6" t="s">
        <v>85</v>
      </c>
      <c r="B1327" s="6">
        <v>1</v>
      </c>
      <c r="C1327" s="13">
        <v>0</v>
      </c>
    </row>
    <row r="1328" spans="1:3" x14ac:dyDescent="0.25">
      <c r="A1328" s="5" t="s">
        <v>53</v>
      </c>
      <c r="B1328" s="5">
        <v>1</v>
      </c>
      <c r="C1328" s="12">
        <v>0</v>
      </c>
    </row>
    <row r="1329" spans="1:3" x14ac:dyDescent="0.25">
      <c r="A1329" s="6" t="s">
        <v>54</v>
      </c>
      <c r="B1329" s="6">
        <v>1</v>
      </c>
      <c r="C1329" s="13">
        <v>0</v>
      </c>
    </row>
    <row r="1330" spans="1:3" x14ac:dyDescent="0.25">
      <c r="A1330" s="5" t="s">
        <v>470</v>
      </c>
      <c r="B1330" s="5">
        <v>1</v>
      </c>
      <c r="C1330" s="12">
        <v>0</v>
      </c>
    </row>
    <row r="1331" spans="1:3" x14ac:dyDescent="0.25">
      <c r="A1331" s="6" t="s">
        <v>397</v>
      </c>
      <c r="B1331" s="6">
        <v>1</v>
      </c>
      <c r="C1331" s="13">
        <v>0</v>
      </c>
    </row>
    <row r="1332" spans="1:3" x14ac:dyDescent="0.25">
      <c r="A1332" s="5" t="s">
        <v>89</v>
      </c>
      <c r="B1332" s="5">
        <v>1</v>
      </c>
      <c r="C1332" s="12">
        <v>0</v>
      </c>
    </row>
    <row r="1333" spans="1:3" x14ac:dyDescent="0.25">
      <c r="A1333" s="6" t="s">
        <v>321</v>
      </c>
      <c r="B1333" s="6">
        <v>1</v>
      </c>
      <c r="C1333" s="13">
        <v>0</v>
      </c>
    </row>
    <row r="1334" spans="1:3" x14ac:dyDescent="0.25">
      <c r="A1334" s="5" t="s">
        <v>55</v>
      </c>
      <c r="B1334" s="5">
        <v>1</v>
      </c>
      <c r="C1334" s="12">
        <v>0</v>
      </c>
    </row>
    <row r="1335" spans="1:3" x14ac:dyDescent="0.25">
      <c r="A1335" s="6" t="s">
        <v>29</v>
      </c>
      <c r="B1335" s="6">
        <v>1</v>
      </c>
      <c r="C1335" s="13">
        <v>0</v>
      </c>
    </row>
    <row r="1336" spans="1:3" x14ac:dyDescent="0.25">
      <c r="A1336" s="5" t="s">
        <v>5</v>
      </c>
      <c r="B1336" s="5">
        <v>1</v>
      </c>
      <c r="C1336" s="12">
        <v>0</v>
      </c>
    </row>
    <row r="1337" spans="1:3" x14ac:dyDescent="0.25">
      <c r="A1337" s="6" t="s">
        <v>11</v>
      </c>
      <c r="B1337" s="6">
        <v>1</v>
      </c>
      <c r="C1337" s="13">
        <v>0</v>
      </c>
    </row>
    <row r="1338" spans="1:3" x14ac:dyDescent="0.25">
      <c r="A1338" s="5" t="s">
        <v>296</v>
      </c>
      <c r="B1338" s="5">
        <v>1</v>
      </c>
      <c r="C1338" s="12">
        <v>0</v>
      </c>
    </row>
    <row r="1339" spans="1:3" x14ac:dyDescent="0.25">
      <c r="A1339" s="6" t="s">
        <v>35</v>
      </c>
      <c r="B1339" s="6">
        <v>1</v>
      </c>
      <c r="C1339" s="13">
        <v>0</v>
      </c>
    </row>
    <row r="1340" spans="1:3" x14ac:dyDescent="0.25">
      <c r="A1340" s="5" t="s">
        <v>15</v>
      </c>
      <c r="B1340" s="5">
        <v>1</v>
      </c>
      <c r="C1340" s="12">
        <v>0</v>
      </c>
    </row>
    <row r="1341" spans="1:3" x14ac:dyDescent="0.25">
      <c r="A1341" s="6" t="s">
        <v>70</v>
      </c>
      <c r="B1341" s="6">
        <v>1</v>
      </c>
      <c r="C1341" s="13">
        <v>0</v>
      </c>
    </row>
    <row r="1342" spans="1:3" x14ac:dyDescent="0.25">
      <c r="A1342" s="5" t="s">
        <v>59</v>
      </c>
      <c r="B1342" s="5">
        <v>1</v>
      </c>
      <c r="C1342" s="12">
        <v>0</v>
      </c>
    </row>
    <row r="1343" spans="1:3" x14ac:dyDescent="0.25">
      <c r="A1343" s="6" t="s">
        <v>380</v>
      </c>
      <c r="B1343" s="6">
        <v>1</v>
      </c>
      <c r="C1343" s="13">
        <v>0</v>
      </c>
    </row>
    <row r="1344" spans="1:3" x14ac:dyDescent="0.25">
      <c r="A1344" s="5" t="s">
        <v>181</v>
      </c>
      <c r="B1344" s="5">
        <v>1</v>
      </c>
      <c r="C1344" s="12">
        <v>0</v>
      </c>
    </row>
    <row r="1345" spans="1:3" x14ac:dyDescent="0.25">
      <c r="A1345" s="6" t="s">
        <v>36</v>
      </c>
      <c r="B1345" s="6">
        <v>1</v>
      </c>
      <c r="C1345" s="13">
        <v>0</v>
      </c>
    </row>
    <row r="1346" spans="1:3" x14ac:dyDescent="0.25">
      <c r="A1346" s="5" t="s">
        <v>530</v>
      </c>
      <c r="B1346" s="5">
        <v>1</v>
      </c>
      <c r="C1346" s="12">
        <v>0</v>
      </c>
    </row>
    <row r="1347" spans="1:3" x14ac:dyDescent="0.25">
      <c r="A1347" s="6" t="s">
        <v>208</v>
      </c>
      <c r="B1347" s="6">
        <v>1</v>
      </c>
      <c r="C1347" s="13">
        <v>0</v>
      </c>
    </row>
    <row r="1348" spans="1:3" x14ac:dyDescent="0.25">
      <c r="A1348" s="5" t="s">
        <v>222</v>
      </c>
      <c r="B1348" s="5">
        <v>1</v>
      </c>
      <c r="C1348" s="12">
        <v>0</v>
      </c>
    </row>
    <row r="1349" spans="1:3" x14ac:dyDescent="0.25">
      <c r="A1349" s="6" t="s">
        <v>16</v>
      </c>
      <c r="B1349" s="6">
        <v>1</v>
      </c>
      <c r="C1349" s="13">
        <v>0</v>
      </c>
    </row>
    <row r="1350" spans="1:3" x14ac:dyDescent="0.25">
      <c r="A1350" s="5" t="s">
        <v>686</v>
      </c>
      <c r="B1350" s="5">
        <v>1</v>
      </c>
      <c r="C1350" s="12">
        <v>0</v>
      </c>
    </row>
    <row r="1351" spans="1:3" x14ac:dyDescent="0.25">
      <c r="A1351" s="6" t="s">
        <v>184</v>
      </c>
      <c r="B1351" s="6">
        <v>1</v>
      </c>
      <c r="C1351" s="13">
        <v>0</v>
      </c>
    </row>
    <row r="1352" spans="1:3" x14ac:dyDescent="0.25">
      <c r="A1352" s="5" t="s">
        <v>534</v>
      </c>
      <c r="B1352" s="5">
        <v>1</v>
      </c>
      <c r="C1352" s="12">
        <v>0</v>
      </c>
    </row>
    <row r="1353" spans="1:3" x14ac:dyDescent="0.25">
      <c r="A1353" s="6" t="s">
        <v>186</v>
      </c>
      <c r="B1353" s="6">
        <v>1</v>
      </c>
      <c r="C1353" s="13">
        <v>0</v>
      </c>
    </row>
    <row r="1354" spans="1:3" x14ac:dyDescent="0.25">
      <c r="A1354" s="5" t="s">
        <v>689</v>
      </c>
      <c r="B1354" s="5">
        <v>1</v>
      </c>
      <c r="C1354" s="12">
        <v>0</v>
      </c>
    </row>
    <row r="1355" spans="1:3" x14ac:dyDescent="0.25">
      <c r="A1355" s="6" t="s">
        <v>409</v>
      </c>
      <c r="B1355" s="6">
        <v>1</v>
      </c>
      <c r="C1355" s="13">
        <v>0</v>
      </c>
    </row>
    <row r="1356" spans="1:3" x14ac:dyDescent="0.25">
      <c r="A1356" s="5" t="s">
        <v>538</v>
      </c>
      <c r="B1356" s="5">
        <v>1</v>
      </c>
      <c r="C1356" s="12">
        <v>0</v>
      </c>
    </row>
    <row r="1357" spans="1:3" x14ac:dyDescent="0.25">
      <c r="A1357" s="6" t="s">
        <v>114</v>
      </c>
      <c r="B1357" s="6">
        <v>1</v>
      </c>
      <c r="C1357" s="13">
        <v>0</v>
      </c>
    </row>
    <row r="1358" spans="1:3" x14ac:dyDescent="0.25">
      <c r="A1358" s="5" t="s">
        <v>410</v>
      </c>
      <c r="B1358" s="5">
        <v>1</v>
      </c>
      <c r="C1358" s="12">
        <v>0</v>
      </c>
    </row>
    <row r="1359" spans="1:3" x14ac:dyDescent="0.25">
      <c r="A1359" s="6" t="s">
        <v>18</v>
      </c>
      <c r="B1359" s="6">
        <v>1</v>
      </c>
      <c r="C1359" s="13">
        <v>0</v>
      </c>
    </row>
    <row r="1360" spans="1:3" x14ac:dyDescent="0.25">
      <c r="A1360" s="5" t="s">
        <v>41</v>
      </c>
      <c r="B1360" s="5">
        <v>1</v>
      </c>
      <c r="C1360" s="12">
        <v>0</v>
      </c>
    </row>
    <row r="1361" spans="1:3" x14ac:dyDescent="0.25">
      <c r="A1361" s="6" t="s">
        <v>506</v>
      </c>
      <c r="B1361" s="6">
        <v>1</v>
      </c>
      <c r="C1361" s="13">
        <v>0</v>
      </c>
    </row>
    <row r="1362" spans="1:3" x14ac:dyDescent="0.25">
      <c r="A1362" s="5" t="s">
        <v>118</v>
      </c>
      <c r="B1362" s="5">
        <v>1</v>
      </c>
      <c r="C1362" s="12">
        <v>0</v>
      </c>
    </row>
    <row r="1363" spans="1:3" x14ac:dyDescent="0.25">
      <c r="A1363" s="6" t="s">
        <v>592</v>
      </c>
      <c r="B1363" s="6">
        <v>1</v>
      </c>
      <c r="C1363" s="13">
        <v>0</v>
      </c>
    </row>
    <row r="1364" spans="1:3" x14ac:dyDescent="0.25">
      <c r="A1364" s="5" t="s">
        <v>20</v>
      </c>
      <c r="B1364" s="5">
        <v>1</v>
      </c>
      <c r="C1364" s="12">
        <v>0</v>
      </c>
    </row>
    <row r="1365" spans="1:3" x14ac:dyDescent="0.25">
      <c r="A1365" s="6" t="s">
        <v>43</v>
      </c>
      <c r="B1365" s="6">
        <v>1</v>
      </c>
      <c r="C1365" s="13">
        <v>0</v>
      </c>
    </row>
    <row r="1366" spans="1:3" x14ac:dyDescent="0.25">
      <c r="A1366" s="5" t="s">
        <v>156</v>
      </c>
      <c r="B1366" s="5">
        <v>1</v>
      </c>
      <c r="C1366" s="12">
        <v>0</v>
      </c>
    </row>
    <row r="1367" spans="1:3" x14ac:dyDescent="0.25">
      <c r="A1367" s="6" t="s">
        <v>384</v>
      </c>
      <c r="B1367" s="6">
        <v>1</v>
      </c>
      <c r="C1367" s="13">
        <v>0</v>
      </c>
    </row>
    <row r="1368" spans="1:3" x14ac:dyDescent="0.25">
      <c r="A1368" s="5" t="s">
        <v>238</v>
      </c>
      <c r="B1368" s="5">
        <v>1</v>
      </c>
      <c r="C1368" s="12">
        <v>0</v>
      </c>
    </row>
    <row r="1369" spans="1:3" x14ac:dyDescent="0.25">
      <c r="A1369" s="6" t="s">
        <v>22</v>
      </c>
      <c r="B1369" s="6">
        <v>1</v>
      </c>
      <c r="C1369" s="13">
        <v>0</v>
      </c>
    </row>
    <row r="1370" spans="1:3" x14ac:dyDescent="0.25">
      <c r="A1370" s="5" t="s">
        <v>61</v>
      </c>
      <c r="B1370" s="5">
        <v>1</v>
      </c>
      <c r="C1370" s="12">
        <v>0</v>
      </c>
    </row>
    <row r="1371" spans="1:3" x14ac:dyDescent="0.25">
      <c r="A1371" s="6" t="s">
        <v>46</v>
      </c>
      <c r="B1371" s="6">
        <v>1</v>
      </c>
      <c r="C1371" s="13">
        <v>0</v>
      </c>
    </row>
    <row r="1372" spans="1:3" x14ac:dyDescent="0.25">
      <c r="A1372" s="5" t="s">
        <v>100</v>
      </c>
      <c r="B1372" s="5">
        <v>1</v>
      </c>
      <c r="C1372" s="12">
        <v>0</v>
      </c>
    </row>
    <row r="1373" spans="1:3" x14ac:dyDescent="0.25">
      <c r="A1373" s="6" t="s">
        <v>23</v>
      </c>
      <c r="B1373" s="6">
        <v>1</v>
      </c>
      <c r="C1373" s="13">
        <v>0</v>
      </c>
    </row>
    <row r="1374" spans="1:3" x14ac:dyDescent="0.25">
      <c r="A1374" s="5" t="s">
        <v>268</v>
      </c>
      <c r="B1374" s="5">
        <v>1</v>
      </c>
      <c r="C1374" s="12">
        <v>0</v>
      </c>
    </row>
    <row r="1375" spans="1:3" x14ac:dyDescent="0.25">
      <c r="A1375" s="6" t="s">
        <v>243</v>
      </c>
      <c r="B1375" s="6">
        <v>1</v>
      </c>
      <c r="C1375" s="13">
        <v>0</v>
      </c>
    </row>
    <row r="1376" spans="1:3" x14ac:dyDescent="0.25">
      <c r="A1376" s="5" t="s">
        <v>546</v>
      </c>
      <c r="B1376" s="5">
        <v>1</v>
      </c>
      <c r="C1376" s="12">
        <v>0</v>
      </c>
    </row>
    <row r="1377" spans="1:3" x14ac:dyDescent="0.25">
      <c r="A1377" s="6" t="s">
        <v>193</v>
      </c>
      <c r="B1377" s="6">
        <v>1</v>
      </c>
      <c r="C1377" s="13">
        <v>0</v>
      </c>
    </row>
    <row r="1378" spans="1:3" x14ac:dyDescent="0.25">
      <c r="A1378" s="5" t="s">
        <v>50</v>
      </c>
      <c r="B1378" s="5">
        <v>1</v>
      </c>
      <c r="C1378" s="12">
        <v>0</v>
      </c>
    </row>
    <row r="1379" spans="1:3" x14ac:dyDescent="0.25">
      <c r="A1379" s="6" t="s">
        <v>570</v>
      </c>
      <c r="B1379" s="6">
        <v>1</v>
      </c>
      <c r="C1379" s="13">
        <v>0</v>
      </c>
    </row>
    <row r="1380" spans="1:3" x14ac:dyDescent="0.25">
      <c r="A1380" s="5" t="s">
        <v>62</v>
      </c>
      <c r="B1380" s="5">
        <v>1</v>
      </c>
      <c r="C1380" s="12">
        <v>0</v>
      </c>
    </row>
    <row r="1381" spans="1:3" x14ac:dyDescent="0.25">
      <c r="A1381" s="6" t="s">
        <v>516</v>
      </c>
      <c r="B1381" s="6">
        <v>1</v>
      </c>
      <c r="C1381" s="13">
        <v>0</v>
      </c>
    </row>
    <row r="1382" spans="1:3" x14ac:dyDescent="0.25">
      <c r="A1382" s="5" t="s">
        <v>51</v>
      </c>
      <c r="B1382" s="5">
        <v>1</v>
      </c>
      <c r="C1382" s="12">
        <v>0</v>
      </c>
    </row>
    <row r="1383" spans="1:3" x14ac:dyDescent="0.25">
      <c r="A1383" s="6" t="s">
        <v>83</v>
      </c>
      <c r="B1383" s="6">
        <v>1</v>
      </c>
      <c r="C1383" s="13">
        <v>0</v>
      </c>
    </row>
    <row r="1384" spans="1:3" x14ac:dyDescent="0.25">
      <c r="A1384" s="5" t="s">
        <v>706</v>
      </c>
      <c r="B1384" s="5">
        <v>1</v>
      </c>
      <c r="C1384" s="12">
        <v>0</v>
      </c>
    </row>
    <row r="1385" spans="1:3" x14ac:dyDescent="0.25">
      <c r="A1385" s="6" t="s">
        <v>85</v>
      </c>
      <c r="B1385" s="6">
        <v>1</v>
      </c>
      <c r="C1385" s="13">
        <v>0</v>
      </c>
    </row>
    <row r="1386" spans="1:3" x14ac:dyDescent="0.25">
      <c r="A1386" s="5" t="s">
        <v>53</v>
      </c>
      <c r="B1386" s="5">
        <v>1</v>
      </c>
      <c r="C1386" s="12">
        <v>0</v>
      </c>
    </row>
    <row r="1387" spans="1:3" x14ac:dyDescent="0.25">
      <c r="A1387" s="6" t="s">
        <v>262</v>
      </c>
      <c r="B1387" s="6">
        <v>1</v>
      </c>
      <c r="C1387" s="13">
        <v>0</v>
      </c>
    </row>
    <row r="1388" spans="1:3" x14ac:dyDescent="0.25">
      <c r="A1388" s="5" t="s">
        <v>54</v>
      </c>
      <c r="B1388" s="5">
        <v>1</v>
      </c>
      <c r="C1388" s="12">
        <v>0</v>
      </c>
    </row>
    <row r="1389" spans="1:3" x14ac:dyDescent="0.25">
      <c r="A1389" s="6" t="s">
        <v>470</v>
      </c>
      <c r="B1389" s="6">
        <v>1</v>
      </c>
      <c r="C1389" s="13">
        <v>0</v>
      </c>
    </row>
    <row r="1390" spans="1:3" x14ac:dyDescent="0.25">
      <c r="A1390" s="5" t="s">
        <v>397</v>
      </c>
      <c r="B1390" s="5">
        <v>1</v>
      </c>
      <c r="C1390" s="12">
        <v>0</v>
      </c>
    </row>
    <row r="1391" spans="1:3" x14ac:dyDescent="0.25">
      <c r="A1391" s="6" t="s">
        <v>89</v>
      </c>
      <c r="B1391" s="6">
        <v>1</v>
      </c>
      <c r="C1391" s="13">
        <v>0</v>
      </c>
    </row>
    <row r="1392" spans="1:3" x14ac:dyDescent="0.25">
      <c r="A1392" s="5" t="s">
        <v>348</v>
      </c>
      <c r="B1392" s="5">
        <v>1</v>
      </c>
      <c r="C1392" s="12">
        <v>0</v>
      </c>
    </row>
    <row r="1393" spans="1:3" x14ac:dyDescent="0.25">
      <c r="A1393" s="6" t="s">
        <v>321</v>
      </c>
      <c r="B1393" s="6">
        <v>1</v>
      </c>
      <c r="C1393" s="13">
        <v>0</v>
      </c>
    </row>
    <row r="1394" spans="1:3" x14ac:dyDescent="0.25">
      <c r="A1394" s="5" t="s">
        <v>55</v>
      </c>
      <c r="B1394" s="5">
        <v>1</v>
      </c>
      <c r="C1394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5"/>
  <sheetViews>
    <sheetView topLeftCell="A57" workbookViewId="0">
      <selection activeCell="B50" sqref="B50"/>
    </sheetView>
  </sheetViews>
  <sheetFormatPr defaultRowHeight="15" x14ac:dyDescent="0.25"/>
  <cols>
    <col min="1" max="1" width="21.7109375" customWidth="1"/>
    <col min="2" max="2" width="26.85546875" customWidth="1"/>
    <col min="3" max="3" width="12.5703125" customWidth="1"/>
  </cols>
  <sheetData>
    <row r="1" spans="1:15" x14ac:dyDescent="0.25">
      <c r="A1">
        <v>1</v>
      </c>
      <c r="B1" s="7" t="s">
        <v>723</v>
      </c>
      <c r="C1" s="4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B2" t="s">
        <v>721</v>
      </c>
      <c r="C2">
        <v>1394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B3" t="s">
        <v>720</v>
      </c>
      <c r="C3">
        <v>1393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8"/>
      <c r="B4" s="8"/>
      <c r="C4" s="17"/>
      <c r="D4" s="8"/>
    </row>
    <row r="5" spans="1:15" x14ac:dyDescent="0.25">
      <c r="A5" s="8">
        <v>2</v>
      </c>
      <c r="B5" t="s">
        <v>754</v>
      </c>
    </row>
    <row r="6" spans="1:15" x14ac:dyDescent="0.25">
      <c r="A6" s="8"/>
    </row>
    <row r="7" spans="1:15" x14ac:dyDescent="0.25">
      <c r="A7" s="8"/>
    </row>
    <row r="8" spans="1:15" x14ac:dyDescent="0.25">
      <c r="A8">
        <v>3</v>
      </c>
      <c r="B8" t="s">
        <v>755</v>
      </c>
    </row>
    <row r="9" spans="1:15" x14ac:dyDescent="0.25">
      <c r="B9">
        <f>COUNTA(#REF!)</f>
        <v>1</v>
      </c>
    </row>
    <row r="10" spans="1:15" x14ac:dyDescent="0.25">
      <c r="B10">
        <f>COUNTA('UNIQUE VALUES(NO DUPLICATES)'!A2:A107)</f>
        <v>106</v>
      </c>
    </row>
    <row r="11" spans="1:15" x14ac:dyDescent="0.25">
      <c r="B11" t="s">
        <v>756</v>
      </c>
    </row>
    <row r="12" spans="1:15" x14ac:dyDescent="0.25">
      <c r="B12">
        <f>B10*36</f>
        <v>3816</v>
      </c>
    </row>
    <row r="13" spans="1:15" x14ac:dyDescent="0.25">
      <c r="B13" s="14">
        <f>B9/B12</f>
        <v>2.6205450733752622E-4</v>
      </c>
    </row>
    <row r="14" spans="1:15" x14ac:dyDescent="0.25">
      <c r="B14" s="14" t="s">
        <v>757</v>
      </c>
    </row>
    <row r="17" spans="1:13" ht="150" x14ac:dyDescent="0.25">
      <c r="A17">
        <v>4</v>
      </c>
      <c r="B17" s="9" t="s">
        <v>758</v>
      </c>
      <c r="C17" s="10"/>
      <c r="D17" s="10"/>
    </row>
    <row r="18" spans="1:13" x14ac:dyDescent="0.25">
      <c r="B18" s="9">
        <f>B9/B12</f>
        <v>2.6205450733752622E-4</v>
      </c>
      <c r="C18" s="10"/>
      <c r="D18" s="10"/>
    </row>
    <row r="19" spans="1:13" x14ac:dyDescent="0.25">
      <c r="B19" t="s">
        <v>759</v>
      </c>
    </row>
    <row r="21" spans="1:13" x14ac:dyDescent="0.25">
      <c r="B21" s="9"/>
      <c r="C21" s="10"/>
      <c r="D21" s="10"/>
    </row>
    <row r="22" spans="1:13" ht="75" x14ac:dyDescent="0.25">
      <c r="A22">
        <v>5</v>
      </c>
      <c r="B22" s="10" t="s">
        <v>725</v>
      </c>
      <c r="C22" s="10"/>
      <c r="D22" s="10"/>
    </row>
    <row r="23" spans="1:13" ht="120" x14ac:dyDescent="0.25">
      <c r="B23" s="10" t="s">
        <v>726</v>
      </c>
      <c r="C23" s="11"/>
      <c r="D23" s="10"/>
    </row>
    <row r="24" spans="1:13" x14ac:dyDescent="0.25">
      <c r="B24" s="10" t="e">
        <f>(GETPIVOTDATA("DURATION",'PIVOT TABLES'!$A$226)*24)/36</f>
        <v>#REF!</v>
      </c>
      <c r="C24" s="10"/>
      <c r="D24" s="10"/>
    </row>
    <row r="25" spans="1:13" ht="45" x14ac:dyDescent="0.25">
      <c r="B25" s="10" t="s">
        <v>760</v>
      </c>
      <c r="C25" s="10"/>
      <c r="D25" s="10"/>
    </row>
    <row r="26" spans="1:13" x14ac:dyDescent="0.25">
      <c r="B26" s="10"/>
      <c r="C26" s="10"/>
      <c r="D26" s="10"/>
    </row>
    <row r="27" spans="1:13" ht="45" x14ac:dyDescent="0.25">
      <c r="A27">
        <v>6</v>
      </c>
      <c r="B27" s="10" t="s">
        <v>727</v>
      </c>
      <c r="C27" s="10">
        <f>36*2</f>
        <v>72</v>
      </c>
      <c r="D27" s="10"/>
    </row>
    <row r="28" spans="1:13" ht="45" x14ac:dyDescent="0.25">
      <c r="B28" s="10" t="s">
        <v>761</v>
      </c>
    </row>
    <row r="29" spans="1:13" x14ac:dyDescent="0.25">
      <c r="B29" s="10"/>
    </row>
    <row r="30" spans="1:13" x14ac:dyDescent="0.25">
      <c r="A30">
        <v>7</v>
      </c>
      <c r="B30" s="10">
        <f>'PERFOEMANCE TABLE'!P2</f>
        <v>15</v>
      </c>
    </row>
    <row r="31" spans="1:13" x14ac:dyDescent="0.25">
      <c r="B31" s="28" t="s">
        <v>818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3" spans="1:5" x14ac:dyDescent="0.25">
      <c r="A33">
        <v>8</v>
      </c>
      <c r="B33" s="10" t="s">
        <v>728</v>
      </c>
      <c r="C33" t="s">
        <v>730</v>
      </c>
    </row>
    <row r="34" spans="1:5" x14ac:dyDescent="0.25">
      <c r="B34" s="10" t="s">
        <v>729</v>
      </c>
      <c r="C34" t="s">
        <v>731</v>
      </c>
    </row>
    <row r="36" spans="1:5" x14ac:dyDescent="0.25">
      <c r="B36" s="10"/>
    </row>
    <row r="37" spans="1:5" ht="45" x14ac:dyDescent="0.25">
      <c r="A37">
        <v>10</v>
      </c>
      <c r="B37" s="10" t="s">
        <v>732</v>
      </c>
      <c r="E37" t="s">
        <v>749</v>
      </c>
    </row>
    <row r="39" spans="1:5" x14ac:dyDescent="0.25">
      <c r="A39">
        <v>11</v>
      </c>
      <c r="B39" t="s">
        <v>766</v>
      </c>
    </row>
    <row r="40" spans="1:5" x14ac:dyDescent="0.25">
      <c r="B40" s="14">
        <f>'RETENTION CALCULATIONS'!G2/'RETENTION CALCULATIONS'!C2</f>
        <v>0.8</v>
      </c>
    </row>
    <row r="42" spans="1:5" x14ac:dyDescent="0.25">
      <c r="A42">
        <v>12</v>
      </c>
      <c r="B42" t="s">
        <v>772</v>
      </c>
    </row>
    <row r="43" spans="1:5" x14ac:dyDescent="0.25">
      <c r="B43" s="14">
        <f>'RETENTION CALCULATIONS'!F64/'RETENTION CALCULATIONS'!C64</f>
        <v>0.64150943396226412</v>
      </c>
    </row>
    <row r="45" spans="1:5" x14ac:dyDescent="0.25">
      <c r="A45">
        <v>13</v>
      </c>
      <c r="B45" t="s">
        <v>775</v>
      </c>
    </row>
    <row r="46" spans="1:5" x14ac:dyDescent="0.25">
      <c r="B46" s="14">
        <f>'RETENTION CALCULATIONS'!C155/'RETENTION CALCULATIONS'!F155</f>
        <v>0.33333333333333331</v>
      </c>
    </row>
    <row r="47" spans="1:5" x14ac:dyDescent="0.25">
      <c r="B47" s="14"/>
    </row>
    <row r="48" spans="1:5" x14ac:dyDescent="0.25">
      <c r="A48">
        <v>14</v>
      </c>
      <c r="B48" t="s">
        <v>779</v>
      </c>
    </row>
    <row r="49" spans="1:2" x14ac:dyDescent="0.25">
      <c r="B49" s="14">
        <f>'VOLATILITY TABLE'!D16</f>
        <v>0.28079075392382868</v>
      </c>
    </row>
    <row r="50" spans="1:2" x14ac:dyDescent="0.25">
      <c r="B50" s="14"/>
    </row>
    <row r="51" spans="1:2" x14ac:dyDescent="0.25">
      <c r="A51">
        <v>15</v>
      </c>
      <c r="B51" t="s">
        <v>735</v>
      </c>
    </row>
    <row r="52" spans="1:2" x14ac:dyDescent="0.25">
      <c r="B52" s="14">
        <f>(('RETENTION CALCULATIONS'!C2-'RETENTION CALCULATIONS'!C155)/'RETENTION CALCULATIONS'!C2)/35</f>
        <v>2.2857142857142857E-2</v>
      </c>
    </row>
    <row r="54" spans="1:2" x14ac:dyDescent="0.25">
      <c r="A54">
        <v>16</v>
      </c>
      <c r="B54" t="s">
        <v>741</v>
      </c>
    </row>
    <row r="57" spans="1:2" x14ac:dyDescent="0.25">
      <c r="A57">
        <v>17</v>
      </c>
      <c r="B57" t="s">
        <v>742</v>
      </c>
    </row>
    <row r="60" spans="1:2" x14ac:dyDescent="0.25">
      <c r="A60">
        <v>18</v>
      </c>
      <c r="B60" t="s">
        <v>750</v>
      </c>
    </row>
    <row r="66" spans="1:4" x14ac:dyDescent="0.25">
      <c r="A66" s="18" t="s">
        <v>778</v>
      </c>
    </row>
    <row r="67" spans="1:4" x14ac:dyDescent="0.25">
      <c r="A67" s="18">
        <v>1</v>
      </c>
    </row>
    <row r="68" spans="1:4" x14ac:dyDescent="0.25">
      <c r="A68" t="s">
        <v>780</v>
      </c>
    </row>
    <row r="70" spans="1:4" x14ac:dyDescent="0.25">
      <c r="A70">
        <v>2</v>
      </c>
    </row>
    <row r="71" spans="1:4" x14ac:dyDescent="0.25">
      <c r="A71" t="s">
        <v>781</v>
      </c>
    </row>
    <row r="73" spans="1:4" x14ac:dyDescent="0.25">
      <c r="A73">
        <v>3</v>
      </c>
    </row>
    <row r="74" spans="1:4" x14ac:dyDescent="0.25">
      <c r="A74" t="s">
        <v>782</v>
      </c>
    </row>
    <row r="75" spans="1:4" x14ac:dyDescent="0.25">
      <c r="B75" s="1" t="s">
        <v>715</v>
      </c>
      <c r="C75" s="1" t="s">
        <v>722</v>
      </c>
      <c r="D75" t="s">
        <v>724</v>
      </c>
    </row>
    <row r="76" spans="1:4" x14ac:dyDescent="0.25">
      <c r="B76" s="2" t="s">
        <v>5</v>
      </c>
      <c r="C76">
        <v>25</v>
      </c>
      <c r="D76">
        <v>2.940405092592592</v>
      </c>
    </row>
    <row r="77" spans="1:4" x14ac:dyDescent="0.25">
      <c r="B77" s="2" t="s">
        <v>16</v>
      </c>
      <c r="C77">
        <v>36</v>
      </c>
      <c r="D77">
        <v>3.0720949074074078</v>
      </c>
    </row>
    <row r="78" spans="1:4" x14ac:dyDescent="0.25">
      <c r="B78" s="2" t="s">
        <v>22</v>
      </c>
      <c r="C78">
        <v>35</v>
      </c>
      <c r="D78">
        <v>3.0000462962962966</v>
      </c>
    </row>
    <row r="79" spans="1:4" x14ac:dyDescent="0.25">
      <c r="B79" s="2" t="s">
        <v>716</v>
      </c>
      <c r="C79">
        <v>96</v>
      </c>
      <c r="D79">
        <v>9.012546296296291</v>
      </c>
    </row>
    <row r="81" spans="1:2" x14ac:dyDescent="0.25">
      <c r="A81" t="s">
        <v>783</v>
      </c>
    </row>
    <row r="83" spans="1:2" x14ac:dyDescent="0.25">
      <c r="A83">
        <v>4</v>
      </c>
    </row>
    <row r="84" spans="1:2" x14ac:dyDescent="0.25">
      <c r="A84" t="s">
        <v>784</v>
      </c>
    </row>
    <row r="85" spans="1:2" x14ac:dyDescent="0.25">
      <c r="B85" t="s">
        <v>785</v>
      </c>
    </row>
    <row r="86" spans="1:2" x14ac:dyDescent="0.25">
      <c r="B86" t="s">
        <v>786</v>
      </c>
    </row>
    <row r="87" spans="1:2" x14ac:dyDescent="0.25">
      <c r="A87" t="s">
        <v>787</v>
      </c>
    </row>
    <row r="88" spans="1:2" x14ac:dyDescent="0.25">
      <c r="B88" t="s">
        <v>788</v>
      </c>
    </row>
    <row r="89" spans="1:2" x14ac:dyDescent="0.25">
      <c r="B89" t="s">
        <v>789</v>
      </c>
    </row>
    <row r="90" spans="1:2" x14ac:dyDescent="0.25">
      <c r="B90" t="s">
        <v>790</v>
      </c>
    </row>
    <row r="91" spans="1:2" x14ac:dyDescent="0.25">
      <c r="B91" t="s">
        <v>791</v>
      </c>
    </row>
    <row r="93" spans="1:2" x14ac:dyDescent="0.25">
      <c r="A93">
        <v>5</v>
      </c>
    </row>
    <row r="94" spans="1:2" x14ac:dyDescent="0.25">
      <c r="A94" t="s">
        <v>792</v>
      </c>
    </row>
    <row r="96" spans="1:2" x14ac:dyDescent="0.25">
      <c r="A96" t="s">
        <v>793</v>
      </c>
    </row>
    <row r="100" spans="1:7" x14ac:dyDescent="0.25">
      <c r="A100" s="19"/>
      <c r="B100" s="19"/>
      <c r="C100" s="19"/>
      <c r="D100" s="19"/>
      <c r="E100" s="19"/>
      <c r="F100" s="19"/>
      <c r="G100" s="19"/>
    </row>
    <row r="101" spans="1:7" x14ac:dyDescent="0.25">
      <c r="A101" s="20" t="s">
        <v>736</v>
      </c>
      <c r="B101" s="20" t="s">
        <v>722</v>
      </c>
      <c r="C101" s="20" t="s">
        <v>724</v>
      </c>
      <c r="D101" s="20" t="s">
        <v>762</v>
      </c>
      <c r="E101" s="20" t="s">
        <v>763</v>
      </c>
      <c r="F101" s="20" t="s">
        <v>797</v>
      </c>
      <c r="G101" s="19"/>
    </row>
    <row r="102" spans="1:7" x14ac:dyDescent="0.25">
      <c r="A102" s="21" t="s">
        <v>16</v>
      </c>
      <c r="B102" s="19">
        <v>36</v>
      </c>
      <c r="C102" s="19">
        <v>3.0720949074074078</v>
      </c>
      <c r="D102" s="19">
        <v>3</v>
      </c>
      <c r="E102" s="22">
        <v>1.0240316358024693</v>
      </c>
      <c r="F102" s="19">
        <v>1</v>
      </c>
      <c r="G102" s="19"/>
    </row>
    <row r="103" spans="1:7" x14ac:dyDescent="0.25">
      <c r="A103" s="21" t="s">
        <v>22</v>
      </c>
      <c r="B103" s="19">
        <v>35</v>
      </c>
      <c r="C103" s="19">
        <v>3.0000462962962966</v>
      </c>
      <c r="D103" s="19">
        <v>3</v>
      </c>
      <c r="E103" s="22">
        <v>1.0000154320987655</v>
      </c>
      <c r="F103" s="19">
        <v>2</v>
      </c>
      <c r="G103" s="19"/>
    </row>
    <row r="104" spans="1:7" x14ac:dyDescent="0.25">
      <c r="A104" s="21" t="s">
        <v>5</v>
      </c>
      <c r="B104" s="19">
        <v>25</v>
      </c>
      <c r="C104" s="19">
        <v>2.940405092592592</v>
      </c>
      <c r="D104" s="19">
        <v>3</v>
      </c>
      <c r="E104" s="22">
        <v>0.98013503086419729</v>
      </c>
      <c r="F104" s="19">
        <v>3</v>
      </c>
      <c r="G104" s="19"/>
    </row>
    <row r="105" spans="1:7" x14ac:dyDescent="0.25">
      <c r="A105" s="21" t="s">
        <v>11</v>
      </c>
      <c r="B105" s="19">
        <v>35</v>
      </c>
      <c r="C105" s="19">
        <v>2.9238773148148152</v>
      </c>
      <c r="D105" s="19">
        <v>3</v>
      </c>
      <c r="E105" s="22">
        <v>0.97462577160493835</v>
      </c>
      <c r="F105" s="19">
        <v>4</v>
      </c>
      <c r="G105" s="19"/>
    </row>
    <row r="106" spans="1:7" x14ac:dyDescent="0.25">
      <c r="A106" s="21" t="s">
        <v>53</v>
      </c>
      <c r="B106" s="19">
        <v>34</v>
      </c>
      <c r="C106" s="19">
        <v>2.9219097222222223</v>
      </c>
      <c r="D106" s="19">
        <v>3</v>
      </c>
      <c r="E106" s="22">
        <v>0.97396990740740741</v>
      </c>
      <c r="F106" s="19">
        <v>5</v>
      </c>
      <c r="G106" s="19"/>
    </row>
    <row r="107" spans="1:7" x14ac:dyDescent="0.25">
      <c r="A107" s="21" t="s">
        <v>18</v>
      </c>
      <c r="B107" s="19">
        <v>33</v>
      </c>
      <c r="C107" s="19">
        <v>2.8203587962962962</v>
      </c>
      <c r="D107" s="19">
        <v>3</v>
      </c>
      <c r="E107" s="22">
        <v>0.94011959876543205</v>
      </c>
      <c r="F107" s="19">
        <v>6</v>
      </c>
      <c r="G107" s="19"/>
    </row>
    <row r="108" spans="1:7" x14ac:dyDescent="0.25">
      <c r="A108" s="21" t="s">
        <v>46</v>
      </c>
      <c r="B108" s="19">
        <v>33</v>
      </c>
      <c r="C108" s="19">
        <v>2.7944212962962962</v>
      </c>
      <c r="D108" s="19">
        <v>3</v>
      </c>
      <c r="E108" s="22">
        <v>0.9314737654320987</v>
      </c>
      <c r="F108" s="19">
        <v>7</v>
      </c>
      <c r="G108" s="19"/>
    </row>
    <row r="109" spans="1:7" x14ac:dyDescent="0.25">
      <c r="A109" s="21" t="s">
        <v>20</v>
      </c>
      <c r="B109" s="19">
        <v>33</v>
      </c>
      <c r="C109" s="19">
        <v>2.783159722222222</v>
      </c>
      <c r="D109" s="19">
        <v>3</v>
      </c>
      <c r="E109" s="22">
        <v>0.92771990740740728</v>
      </c>
      <c r="F109" s="19">
        <v>8</v>
      </c>
      <c r="G109" s="19"/>
    </row>
    <row r="110" spans="1:7" x14ac:dyDescent="0.25">
      <c r="A110" s="21" t="s">
        <v>41</v>
      </c>
      <c r="B110" s="19">
        <v>31</v>
      </c>
      <c r="C110" s="19">
        <v>2.6125578703703707</v>
      </c>
      <c r="D110" s="19">
        <v>3</v>
      </c>
      <c r="E110" s="22">
        <v>0.87085262345679026</v>
      </c>
      <c r="F110" s="19">
        <v>9</v>
      </c>
      <c r="G110" s="19"/>
    </row>
    <row r="111" spans="1:7" x14ac:dyDescent="0.25">
      <c r="A111" s="21" t="s">
        <v>36</v>
      </c>
      <c r="B111" s="19">
        <v>30</v>
      </c>
      <c r="C111" s="19">
        <v>2.5660879629629627</v>
      </c>
      <c r="D111" s="19">
        <v>3</v>
      </c>
      <c r="E111" s="22">
        <v>0.85536265432098757</v>
      </c>
      <c r="F111" s="19">
        <v>10</v>
      </c>
      <c r="G111" s="19"/>
    </row>
    <row r="112" spans="1:7" x14ac:dyDescent="0.25">
      <c r="A112" s="19"/>
      <c r="B112" s="19"/>
      <c r="C112" s="19"/>
      <c r="D112" s="19"/>
      <c r="E112" s="19"/>
      <c r="F112" s="19"/>
      <c r="G112" s="19"/>
    </row>
    <row r="116" spans="1:9" x14ac:dyDescent="0.25">
      <c r="A116" s="2" t="s">
        <v>16</v>
      </c>
      <c r="B116" s="15">
        <v>3.0720949074074078</v>
      </c>
      <c r="D116" s="2" t="s">
        <v>16</v>
      </c>
      <c r="E116">
        <v>36</v>
      </c>
      <c r="F116">
        <v>3.0720949074074078</v>
      </c>
      <c r="G116">
        <v>3</v>
      </c>
      <c r="H116" s="14">
        <v>1.0240316358024693</v>
      </c>
      <c r="I116">
        <v>1</v>
      </c>
    </row>
    <row r="117" spans="1:9" x14ac:dyDescent="0.25">
      <c r="A117" s="2" t="s">
        <v>22</v>
      </c>
      <c r="B117" s="15">
        <v>3.0000462962962966</v>
      </c>
      <c r="D117" s="2" t="s">
        <v>22</v>
      </c>
      <c r="E117">
        <v>35</v>
      </c>
      <c r="F117">
        <v>3.0000462962962966</v>
      </c>
      <c r="G117">
        <v>3</v>
      </c>
      <c r="H117" s="14">
        <v>1.0000154320987655</v>
      </c>
      <c r="I117">
        <v>2</v>
      </c>
    </row>
    <row r="118" spans="1:9" x14ac:dyDescent="0.25">
      <c r="A118" s="2" t="s">
        <v>5</v>
      </c>
      <c r="B118" s="15">
        <v>2.940405092592592</v>
      </c>
      <c r="D118" s="2" t="s">
        <v>5</v>
      </c>
      <c r="E118">
        <v>25</v>
      </c>
      <c r="F118">
        <v>2.940405092592592</v>
      </c>
      <c r="G118">
        <v>3</v>
      </c>
      <c r="H118" s="14">
        <v>0.98013503086419729</v>
      </c>
      <c r="I118">
        <v>3</v>
      </c>
    </row>
    <row r="119" spans="1:9" x14ac:dyDescent="0.25">
      <c r="A119" s="2" t="s">
        <v>11</v>
      </c>
      <c r="B119" s="15">
        <v>2.9238773148148152</v>
      </c>
      <c r="D119" s="2" t="s">
        <v>11</v>
      </c>
      <c r="E119">
        <v>35</v>
      </c>
      <c r="F119">
        <v>2.9238773148148152</v>
      </c>
      <c r="G119">
        <v>3</v>
      </c>
      <c r="H119" s="14">
        <v>0.97462577160493835</v>
      </c>
      <c r="I119">
        <v>4</v>
      </c>
    </row>
    <row r="120" spans="1:9" x14ac:dyDescent="0.25">
      <c r="A120" s="2" t="s">
        <v>53</v>
      </c>
      <c r="B120" s="15">
        <v>2.9219097222222223</v>
      </c>
      <c r="D120" s="2" t="s">
        <v>53</v>
      </c>
      <c r="E120">
        <v>34</v>
      </c>
      <c r="F120">
        <v>2.9219097222222223</v>
      </c>
      <c r="G120">
        <v>3</v>
      </c>
      <c r="H120" s="14">
        <v>0.97396990740740741</v>
      </c>
      <c r="I120">
        <v>5</v>
      </c>
    </row>
    <row r="121" spans="1:9" x14ac:dyDescent="0.25">
      <c r="A121" s="2" t="s">
        <v>18</v>
      </c>
      <c r="B121" s="15">
        <v>2.8203587962962962</v>
      </c>
      <c r="D121" s="2" t="s">
        <v>18</v>
      </c>
      <c r="E121">
        <v>33</v>
      </c>
      <c r="F121">
        <v>2.8203587962962962</v>
      </c>
      <c r="G121">
        <v>3</v>
      </c>
      <c r="H121" s="14">
        <v>0.94011959876543205</v>
      </c>
      <c r="I121">
        <v>6</v>
      </c>
    </row>
    <row r="122" spans="1:9" x14ac:dyDescent="0.25">
      <c r="A122" s="2" t="s">
        <v>46</v>
      </c>
      <c r="B122" s="15">
        <v>2.7944212962962962</v>
      </c>
      <c r="D122" s="2" t="s">
        <v>46</v>
      </c>
      <c r="E122">
        <v>33</v>
      </c>
      <c r="F122">
        <v>2.7944212962962962</v>
      </c>
      <c r="G122">
        <v>3</v>
      </c>
      <c r="H122" s="14">
        <v>0.9314737654320987</v>
      </c>
      <c r="I122">
        <v>7</v>
      </c>
    </row>
    <row r="123" spans="1:9" x14ac:dyDescent="0.25">
      <c r="A123" s="2" t="s">
        <v>20</v>
      </c>
      <c r="B123" s="15">
        <v>2.783159722222222</v>
      </c>
      <c r="D123" s="2" t="s">
        <v>20</v>
      </c>
      <c r="E123">
        <v>33</v>
      </c>
      <c r="F123">
        <v>2.783159722222222</v>
      </c>
      <c r="G123">
        <v>3</v>
      </c>
      <c r="H123" s="14">
        <v>0.92771990740740728</v>
      </c>
      <c r="I123">
        <v>8</v>
      </c>
    </row>
    <row r="124" spans="1:9" x14ac:dyDescent="0.25">
      <c r="A124" s="2" t="s">
        <v>41</v>
      </c>
      <c r="B124" s="15">
        <v>2.6125578703703707</v>
      </c>
      <c r="D124" s="2" t="s">
        <v>41</v>
      </c>
      <c r="E124">
        <v>31</v>
      </c>
      <c r="F124">
        <v>2.6125578703703707</v>
      </c>
      <c r="G124">
        <v>3</v>
      </c>
      <c r="H124" s="14">
        <v>0.87085262345679026</v>
      </c>
      <c r="I124">
        <v>9</v>
      </c>
    </row>
    <row r="125" spans="1:9" x14ac:dyDescent="0.25">
      <c r="A125" s="2" t="s">
        <v>36</v>
      </c>
      <c r="B125" s="15">
        <v>2.5660879629629627</v>
      </c>
      <c r="D125" s="2" t="s">
        <v>36</v>
      </c>
      <c r="E125">
        <v>30</v>
      </c>
      <c r="F125">
        <v>2.5660879629629627</v>
      </c>
      <c r="G125">
        <v>3</v>
      </c>
      <c r="H125" s="14">
        <v>0.85536265432098757</v>
      </c>
      <c r="I125">
        <v>10</v>
      </c>
    </row>
  </sheetData>
  <sortState xmlns:xlrd2="http://schemas.microsoft.com/office/spreadsheetml/2017/richdata2" ref="A116:I125">
    <sortCondition ref="I116:I125"/>
  </sortState>
  <mergeCells count="1">
    <mergeCell ref="B31:M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729C-AD67-4B17-9E3B-5B56A19B5ADE}">
  <dimension ref="A1:G51"/>
  <sheetViews>
    <sheetView tabSelected="1" topLeftCell="A2" workbookViewId="0">
      <selection activeCell="D16" sqref="D16"/>
    </sheetView>
  </sheetViews>
  <sheetFormatPr defaultRowHeight="15" x14ac:dyDescent="0.25"/>
  <cols>
    <col min="1" max="1" width="18.85546875" customWidth="1"/>
    <col min="2" max="2" width="16.140625" customWidth="1"/>
    <col min="3" max="3" width="26.85546875" customWidth="1"/>
  </cols>
  <sheetData>
    <row r="1" spans="1:7" s="29" customFormat="1" x14ac:dyDescent="0.25">
      <c r="A1" s="29" t="s">
        <v>819</v>
      </c>
    </row>
    <row r="2" spans="1:7" x14ac:dyDescent="0.25">
      <c r="A2" t="s">
        <v>736</v>
      </c>
      <c r="C2" t="s">
        <v>802</v>
      </c>
    </row>
    <row r="3" spans="1:7" x14ac:dyDescent="0.25">
      <c r="A3" s="2" t="s">
        <v>16</v>
      </c>
      <c r="B3" s="15">
        <v>3.0720949074074078</v>
      </c>
      <c r="C3">
        <v>36</v>
      </c>
      <c r="D3">
        <v>3.0720949074074078</v>
      </c>
      <c r="E3">
        <v>3</v>
      </c>
      <c r="F3" s="14">
        <v>1.0240316358024693</v>
      </c>
      <c r="G3">
        <v>1</v>
      </c>
    </row>
    <row r="4" spans="1:7" x14ac:dyDescent="0.25">
      <c r="A4" s="2" t="s">
        <v>22</v>
      </c>
      <c r="B4" s="15">
        <v>3.0000462962962966</v>
      </c>
      <c r="C4">
        <v>35</v>
      </c>
      <c r="D4">
        <v>3.0000462962962966</v>
      </c>
      <c r="E4">
        <v>3</v>
      </c>
      <c r="F4" s="14">
        <v>1.0000154320987655</v>
      </c>
      <c r="G4">
        <v>2</v>
      </c>
    </row>
    <row r="5" spans="1:7" x14ac:dyDescent="0.25">
      <c r="A5" s="2" t="s">
        <v>5</v>
      </c>
      <c r="B5" s="15">
        <v>2.940405092592592</v>
      </c>
      <c r="C5">
        <v>25</v>
      </c>
      <c r="D5">
        <v>2.940405092592592</v>
      </c>
      <c r="E5">
        <v>3</v>
      </c>
      <c r="F5" s="14">
        <v>0.98013503086419729</v>
      </c>
      <c r="G5">
        <v>3</v>
      </c>
    </row>
    <row r="6" spans="1:7" x14ac:dyDescent="0.25">
      <c r="A6" s="2" t="s">
        <v>11</v>
      </c>
      <c r="B6" s="15">
        <v>2.9238773148148152</v>
      </c>
      <c r="C6">
        <v>35</v>
      </c>
      <c r="D6">
        <v>2.9238773148148152</v>
      </c>
      <c r="E6">
        <v>3</v>
      </c>
      <c r="F6" s="14">
        <v>0.97462577160493835</v>
      </c>
      <c r="G6">
        <v>4</v>
      </c>
    </row>
    <row r="7" spans="1:7" x14ac:dyDescent="0.25">
      <c r="A7" s="2" t="s">
        <v>53</v>
      </c>
      <c r="B7" s="15">
        <v>2.9219097222222223</v>
      </c>
      <c r="C7">
        <v>34</v>
      </c>
      <c r="D7">
        <v>2.9219097222222223</v>
      </c>
      <c r="E7">
        <v>3</v>
      </c>
      <c r="F7" s="14">
        <v>0.97396990740740741</v>
      </c>
      <c r="G7">
        <v>5</v>
      </c>
    </row>
    <row r="8" spans="1:7" x14ac:dyDescent="0.25">
      <c r="A8" s="2" t="s">
        <v>18</v>
      </c>
      <c r="B8" s="15">
        <v>2.8203587962962962</v>
      </c>
      <c r="C8">
        <v>33</v>
      </c>
      <c r="D8">
        <v>2.8203587962962962</v>
      </c>
      <c r="E8">
        <v>3</v>
      </c>
      <c r="F8" s="14">
        <v>0.94011959876543205</v>
      </c>
      <c r="G8">
        <v>6</v>
      </c>
    </row>
    <row r="9" spans="1:7" x14ac:dyDescent="0.25">
      <c r="A9" s="2" t="s">
        <v>46</v>
      </c>
      <c r="B9" s="15">
        <v>2.7944212962962962</v>
      </c>
      <c r="C9">
        <v>33</v>
      </c>
      <c r="D9">
        <v>2.7944212962962962</v>
      </c>
      <c r="E9">
        <v>3</v>
      </c>
      <c r="F9" s="14">
        <v>0.9314737654320987</v>
      </c>
      <c r="G9">
        <v>7</v>
      </c>
    </row>
    <row r="10" spans="1:7" x14ac:dyDescent="0.25">
      <c r="A10" s="2" t="s">
        <v>20</v>
      </c>
      <c r="B10" s="15">
        <v>2.783159722222222</v>
      </c>
      <c r="C10">
        <v>33</v>
      </c>
      <c r="D10">
        <v>2.783159722222222</v>
      </c>
      <c r="E10">
        <v>3</v>
      </c>
      <c r="F10" s="14">
        <v>0.92771990740740728</v>
      </c>
      <c r="G10">
        <v>8</v>
      </c>
    </row>
    <row r="11" spans="1:7" x14ac:dyDescent="0.25">
      <c r="A11" s="2" t="s">
        <v>41</v>
      </c>
      <c r="B11" s="15">
        <v>2.6125578703703707</v>
      </c>
      <c r="C11">
        <v>31</v>
      </c>
      <c r="D11">
        <v>2.6125578703703707</v>
      </c>
      <c r="E11">
        <v>3</v>
      </c>
      <c r="F11" s="14">
        <v>0.87085262345679026</v>
      </c>
      <c r="G11">
        <v>9</v>
      </c>
    </row>
    <row r="12" spans="1:7" x14ac:dyDescent="0.25">
      <c r="A12" s="2" t="s">
        <v>36</v>
      </c>
      <c r="B12" s="15">
        <v>2.5660879629629627</v>
      </c>
      <c r="C12">
        <v>30</v>
      </c>
      <c r="D12">
        <v>2.5660879629629627</v>
      </c>
      <c r="E12">
        <v>3</v>
      </c>
      <c r="F12" s="14">
        <v>0.85536265432098757</v>
      </c>
      <c r="G12">
        <v>10</v>
      </c>
    </row>
    <row r="13" spans="1:7" x14ac:dyDescent="0.25">
      <c r="A13" s="2"/>
      <c r="B13" s="15"/>
      <c r="F13" s="14"/>
    </row>
    <row r="14" spans="1:7" s="28" customFormat="1" x14ac:dyDescent="0.25">
      <c r="A14" s="30" t="s">
        <v>820</v>
      </c>
    </row>
    <row r="15" spans="1:7" x14ac:dyDescent="0.25">
      <c r="A15" s="2" t="s">
        <v>734</v>
      </c>
      <c r="B15" t="s">
        <v>821</v>
      </c>
      <c r="C15" t="s">
        <v>822</v>
      </c>
      <c r="D15" t="s">
        <v>779</v>
      </c>
    </row>
    <row r="16" spans="1:7" x14ac:dyDescent="0.25">
      <c r="A16" s="2">
        <v>1</v>
      </c>
      <c r="B16">
        <v>60</v>
      </c>
      <c r="D16" s="14">
        <f>_xlfn.STDEV.S(C17:C51)</f>
        <v>0.28079075392382868</v>
      </c>
    </row>
    <row r="17" spans="1:3" x14ac:dyDescent="0.25">
      <c r="A17" s="2">
        <v>2</v>
      </c>
      <c r="B17">
        <v>53</v>
      </c>
      <c r="C17" s="14">
        <f>LN(B17/B16)</f>
        <v>-0.12405264866997888</v>
      </c>
    </row>
    <row r="18" spans="1:3" x14ac:dyDescent="0.25">
      <c r="A18" s="2">
        <v>3</v>
      </c>
      <c r="B18">
        <v>53</v>
      </c>
      <c r="C18" s="14">
        <f t="shared" ref="C18:C51" si="0">LN(B18/B17)</f>
        <v>0</v>
      </c>
    </row>
    <row r="19" spans="1:3" x14ac:dyDescent="0.25">
      <c r="A19" s="2">
        <v>4</v>
      </c>
      <c r="B19">
        <v>45</v>
      </c>
      <c r="C19" s="14">
        <f t="shared" si="0"/>
        <v>-0.16362942378180204</v>
      </c>
    </row>
    <row r="20" spans="1:3" x14ac:dyDescent="0.25">
      <c r="A20" s="2">
        <v>5</v>
      </c>
      <c r="B20">
        <v>24</v>
      </c>
      <c r="C20" s="14">
        <f t="shared" si="0"/>
        <v>-0.62860865942237421</v>
      </c>
    </row>
    <row r="21" spans="1:3" x14ac:dyDescent="0.25">
      <c r="A21" s="2">
        <v>6</v>
      </c>
      <c r="B21">
        <v>50</v>
      </c>
      <c r="C21" s="14">
        <f t="shared" si="0"/>
        <v>0.73396917508020054</v>
      </c>
    </row>
    <row r="22" spans="1:3" x14ac:dyDescent="0.25">
      <c r="A22" s="2">
        <v>7</v>
      </c>
      <c r="B22">
        <v>48</v>
      </c>
      <c r="C22" s="14">
        <f t="shared" si="0"/>
        <v>-4.0821994520255166E-2</v>
      </c>
    </row>
    <row r="23" spans="1:3" x14ac:dyDescent="0.25">
      <c r="A23" s="2">
        <v>8</v>
      </c>
      <c r="B23">
        <v>47</v>
      </c>
      <c r="C23" s="14">
        <f t="shared" si="0"/>
        <v>-2.1053409197832381E-2</v>
      </c>
    </row>
    <row r="24" spans="1:3" x14ac:dyDescent="0.25">
      <c r="A24" s="2">
        <v>9</v>
      </c>
      <c r="B24">
        <v>56</v>
      </c>
      <c r="C24" s="14">
        <f t="shared" si="0"/>
        <v>0.1752040890250906</v>
      </c>
    </row>
    <row r="25" spans="1:3" x14ac:dyDescent="0.25">
      <c r="A25" s="2">
        <v>10</v>
      </c>
      <c r="B25">
        <v>58</v>
      </c>
      <c r="C25" s="14">
        <f t="shared" si="0"/>
        <v>3.5091319811270193E-2</v>
      </c>
    </row>
    <row r="26" spans="1:3" x14ac:dyDescent="0.25">
      <c r="A26" s="2">
        <v>11</v>
      </c>
      <c r="B26">
        <v>49</v>
      </c>
      <c r="C26" s="14">
        <f t="shared" si="0"/>
        <v>-0.16862271243579269</v>
      </c>
    </row>
    <row r="27" spans="1:3" x14ac:dyDescent="0.25">
      <c r="A27" s="2">
        <v>12</v>
      </c>
      <c r="B27">
        <v>52</v>
      </c>
      <c r="C27" s="14">
        <f t="shared" si="0"/>
        <v>5.9423420470800806E-2</v>
      </c>
    </row>
    <row r="28" spans="1:3" x14ac:dyDescent="0.25">
      <c r="A28" s="2">
        <v>13</v>
      </c>
      <c r="B28">
        <v>40</v>
      </c>
      <c r="C28" s="14">
        <f t="shared" si="0"/>
        <v>-0.262364264467491</v>
      </c>
    </row>
    <row r="29" spans="1:3" x14ac:dyDescent="0.25">
      <c r="A29" s="2">
        <v>14</v>
      </c>
      <c r="B29">
        <v>44</v>
      </c>
      <c r="C29" s="14">
        <f t="shared" si="0"/>
        <v>9.5310179804324935E-2</v>
      </c>
    </row>
    <row r="30" spans="1:3" x14ac:dyDescent="0.25">
      <c r="A30" s="2">
        <v>15</v>
      </c>
      <c r="B30">
        <v>48</v>
      </c>
      <c r="C30" s="14">
        <f t="shared" si="0"/>
        <v>8.7011376989629699E-2</v>
      </c>
    </row>
    <row r="31" spans="1:3" x14ac:dyDescent="0.25">
      <c r="A31" s="2">
        <v>16</v>
      </c>
      <c r="B31">
        <v>53</v>
      </c>
      <c r="C31" s="14">
        <f t="shared" si="0"/>
        <v>9.9090902644230969E-2</v>
      </c>
    </row>
    <row r="32" spans="1:3" x14ac:dyDescent="0.25">
      <c r="A32" s="2">
        <v>17</v>
      </c>
      <c r="B32">
        <v>43</v>
      </c>
      <c r="C32" s="14">
        <f t="shared" si="0"/>
        <v>-0.20909179785855936</v>
      </c>
    </row>
    <row r="33" spans="1:3" x14ac:dyDescent="0.25">
      <c r="A33" s="2">
        <v>18</v>
      </c>
      <c r="B33">
        <v>39</v>
      </c>
      <c r="C33" s="14">
        <f t="shared" si="0"/>
        <v>-9.7638469563916058E-2</v>
      </c>
    </row>
    <row r="34" spans="1:3" x14ac:dyDescent="0.25">
      <c r="A34" s="2">
        <v>19</v>
      </c>
      <c r="B34">
        <v>35</v>
      </c>
      <c r="C34" s="14">
        <f t="shared" si="0"/>
        <v>-0.10821358464023272</v>
      </c>
    </row>
    <row r="35" spans="1:3" x14ac:dyDescent="0.25">
      <c r="A35" s="2">
        <v>20</v>
      </c>
      <c r="B35">
        <v>34</v>
      </c>
      <c r="C35" s="14">
        <f t="shared" si="0"/>
        <v>-2.8987536873252298E-2</v>
      </c>
    </row>
    <row r="36" spans="1:3" x14ac:dyDescent="0.25">
      <c r="A36" s="2">
        <v>21</v>
      </c>
      <c r="B36">
        <v>38</v>
      </c>
      <c r="C36" s="14">
        <f t="shared" si="0"/>
        <v>0.1112256351102244</v>
      </c>
    </row>
    <row r="37" spans="1:3" x14ac:dyDescent="0.25">
      <c r="A37" s="2">
        <v>22</v>
      </c>
      <c r="B37">
        <v>33</v>
      </c>
      <c r="C37" s="14">
        <f t="shared" si="0"/>
        <v>-0.14107859825990549</v>
      </c>
    </row>
    <row r="38" spans="1:3" x14ac:dyDescent="0.25">
      <c r="A38" s="2">
        <v>23</v>
      </c>
      <c r="B38">
        <v>41</v>
      </c>
      <c r="C38" s="14">
        <f t="shared" si="0"/>
        <v>0.21706450523782758</v>
      </c>
    </row>
    <row r="39" spans="1:3" x14ac:dyDescent="0.25">
      <c r="A39" s="2">
        <v>24</v>
      </c>
      <c r="B39">
        <v>34</v>
      </c>
      <c r="C39" s="14">
        <f t="shared" si="0"/>
        <v>-0.18721154208814647</v>
      </c>
    </row>
    <row r="40" spans="1:3" x14ac:dyDescent="0.25">
      <c r="A40" s="2">
        <v>25</v>
      </c>
      <c r="B40">
        <v>32</v>
      </c>
      <c r="C40" s="14">
        <f t="shared" si="0"/>
        <v>-6.0624621816434854E-2</v>
      </c>
    </row>
    <row r="41" spans="1:3" x14ac:dyDescent="0.25">
      <c r="A41" s="2">
        <v>26</v>
      </c>
      <c r="B41">
        <v>27</v>
      </c>
      <c r="C41" s="14">
        <f t="shared" si="0"/>
        <v>-0.16989903679539747</v>
      </c>
    </row>
    <row r="42" spans="1:3" x14ac:dyDescent="0.25">
      <c r="A42" s="2">
        <v>27</v>
      </c>
      <c r="B42">
        <v>31</v>
      </c>
      <c r="C42" s="14">
        <f t="shared" si="0"/>
        <v>0.13815033848081718</v>
      </c>
    </row>
    <row r="43" spans="1:3" x14ac:dyDescent="0.25">
      <c r="A43" s="2">
        <v>28</v>
      </c>
      <c r="B43">
        <v>25</v>
      </c>
      <c r="C43" s="14">
        <f t="shared" si="0"/>
        <v>-0.21511137961694557</v>
      </c>
    </row>
    <row r="44" spans="1:3" x14ac:dyDescent="0.25">
      <c r="A44" s="2">
        <v>29</v>
      </c>
      <c r="B44">
        <v>24</v>
      </c>
      <c r="C44" s="14">
        <f t="shared" si="0"/>
        <v>-4.0821994520255166E-2</v>
      </c>
    </row>
    <row r="45" spans="1:3" x14ac:dyDescent="0.25">
      <c r="A45" s="2">
        <v>30</v>
      </c>
      <c r="B45">
        <v>31</v>
      </c>
      <c r="C45" s="14">
        <f t="shared" si="0"/>
        <v>0.25593337413720069</v>
      </c>
    </row>
    <row r="46" spans="1:3" x14ac:dyDescent="0.25">
      <c r="A46" s="2">
        <v>31</v>
      </c>
      <c r="B46">
        <v>36</v>
      </c>
      <c r="C46" s="14">
        <f t="shared" si="0"/>
        <v>0.14953173397096384</v>
      </c>
    </row>
    <row r="47" spans="1:3" x14ac:dyDescent="0.25">
      <c r="A47" s="2">
        <v>32</v>
      </c>
      <c r="B47">
        <v>24</v>
      </c>
      <c r="C47" s="14">
        <f t="shared" si="0"/>
        <v>-0.40546510810816444</v>
      </c>
    </row>
    <row r="48" spans="1:3" x14ac:dyDescent="0.25">
      <c r="A48" s="2">
        <v>33</v>
      </c>
      <c r="B48">
        <v>29</v>
      </c>
      <c r="C48" s="14">
        <f t="shared" si="0"/>
        <v>0.18924199963852834</v>
      </c>
    </row>
    <row r="49" spans="1:3" x14ac:dyDescent="0.25">
      <c r="A49" s="2">
        <v>34</v>
      </c>
      <c r="B49">
        <v>18</v>
      </c>
      <c r="C49" s="14">
        <f t="shared" si="0"/>
        <v>-0.47692407209030929</v>
      </c>
    </row>
    <row r="50" spans="1:3" x14ac:dyDescent="0.25">
      <c r="A50" s="2">
        <v>35</v>
      </c>
      <c r="B50">
        <v>27</v>
      </c>
      <c r="C50" s="14">
        <f t="shared" si="0"/>
        <v>0.40546510810816438</v>
      </c>
    </row>
    <row r="51" spans="1:3" x14ac:dyDescent="0.25">
      <c r="A51" s="2">
        <v>36</v>
      </c>
      <c r="B51">
        <v>12</v>
      </c>
      <c r="C51" s="14">
        <f t="shared" si="0"/>
        <v>-0.81093021621632877</v>
      </c>
    </row>
  </sheetData>
  <mergeCells count="2">
    <mergeCell ref="A1:XFD1"/>
    <mergeCell ref="A14:XFD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CE9607-F9E3-430A-8284-05719F667B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COMBINED ATTENDANCE TABLE</vt:lpstr>
      <vt:lpstr>SECTION B.</vt:lpstr>
      <vt:lpstr>UNIQUE VALUES(NO DUPLICATES)</vt:lpstr>
      <vt:lpstr>PERFOEMANCE TABLE</vt:lpstr>
      <vt:lpstr>PIVOT TABLES</vt:lpstr>
      <vt:lpstr>RETENTION CALCULATIONS</vt:lpstr>
      <vt:lpstr>CHARTS</vt:lpstr>
      <vt:lpstr>DROP OFF TABLE</vt:lpstr>
      <vt:lpstr>ANSWERS</vt:lpstr>
      <vt:lpstr>VOLATILITY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</dc:creator>
  <cp:lastModifiedBy>irunguann91@outlook.com</cp:lastModifiedBy>
  <dcterms:created xsi:type="dcterms:W3CDTF">2025-10-21T13:49:13Z</dcterms:created>
  <dcterms:modified xsi:type="dcterms:W3CDTF">2025-10-23T08:37:43Z</dcterms:modified>
</cp:coreProperties>
</file>