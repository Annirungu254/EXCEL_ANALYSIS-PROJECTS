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urface pro7\Downloads\"/>
    </mc:Choice>
  </mc:AlternateContent>
  <bookViews>
    <workbookView xWindow="-120" yWindow="-120" windowWidth="20730" windowHeight="11160" tabRatio="500" firstSheet="4" activeTab="8"/>
  </bookViews>
  <sheets>
    <sheet name="Income Statement" sheetId="2" r:id="rId1"/>
    <sheet name="Balance Sheet" sheetId="1" r:id="rId2"/>
    <sheet name="Cash Flows" sheetId="3" r:id="rId3"/>
    <sheet name="Part One" sheetId="4" r:id="rId4"/>
    <sheet name="Part one analysis" sheetId="17" r:id="rId5"/>
    <sheet name="Part Two" sheetId="11" r:id="rId6"/>
    <sheet name="Part 2 analysis." sheetId="16" r:id="rId7"/>
    <sheet name="Variance Analysis Case Study" sheetId="15" r:id="rId8"/>
    <sheet name="Part Three" sheetId="14" r:id="rId9"/>
  </sheets>
  <externalReferences>
    <externalReference r:id="rId10"/>
    <externalReference r:id="rId11"/>
  </externalReferences>
  <definedNames>
    <definedName name="cash.2009" localSheetId="7">'[1]Analyze Organization Financial '!$B$3</definedName>
    <definedName name="cash.2009">'[2]Analyze Organization Financial '!$B$3</definedName>
    <definedName name="depreciation.2009" localSheetId="7">'[1]Analyze Organization Financial '!$B$6</definedName>
    <definedName name="depreciation.2009">'[2]Analyze Organization Financial '!$B$6</definedName>
    <definedName name="expenses.2009" localSheetId="7">'[1]Analyze Organization Financial '!$B$7</definedName>
    <definedName name="expenses.2009">'[2]Analyze Organization Financial '!$B$7</definedName>
    <definedName name="FinanceRate" localSheetId="7">'[1]Capital Project'!$B$21</definedName>
    <definedName name="FinanceRate">'[2]Capital Project'!$B$21</definedName>
    <definedName name="LongTermInvestments.2009" localSheetId="7">'[1]Analyze Organization Financial '!$B$11</definedName>
    <definedName name="LongTermInvestments.2009">'[2]Analyze Organization Financial '!$B$11</definedName>
    <definedName name="NetIncome.2009" localSheetId="7">'[1]Analyze Organization Financial '!$B$9</definedName>
    <definedName name="NetIncome.2009">'[2]Analyze Organization Financial '!$B$9</definedName>
    <definedName name="Total.Assets.2009" localSheetId="7">'[1]Analyze Organization Financial '!$B$12</definedName>
    <definedName name="Total.Assets.2009">'[2]Analyze Organization Financial '!$B$12</definedName>
    <definedName name="Total.Revenue.2009" localSheetId="7">'[1]Analyze Organization Financial '!$B$16</definedName>
    <definedName name="Total.Revenue.2009">'[2]Analyze Organization Financial '!$B$16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60" i="14" l="1"/>
  <c r="E60" i="14"/>
  <c r="C60" i="14"/>
  <c r="B60" i="14"/>
  <c r="E50" i="14"/>
  <c r="E51" i="14"/>
  <c r="E52" i="14"/>
  <c r="E53" i="14"/>
  <c r="E54" i="14"/>
  <c r="E55" i="14"/>
  <c r="E56" i="14"/>
  <c r="E57" i="14"/>
  <c r="E58" i="14"/>
  <c r="E59" i="14"/>
  <c r="E49" i="14"/>
  <c r="D50" i="14"/>
  <c r="D51" i="14"/>
  <c r="D52" i="14"/>
  <c r="D53" i="14"/>
  <c r="D54" i="14"/>
  <c r="D55" i="14"/>
  <c r="D56" i="14"/>
  <c r="D57" i="14"/>
  <c r="D58" i="14"/>
  <c r="D59" i="14"/>
  <c r="D49" i="14"/>
  <c r="C50" i="14"/>
  <c r="C51" i="14"/>
  <c r="C52" i="14"/>
  <c r="C53" i="14"/>
  <c r="C54" i="14"/>
  <c r="C55" i="14"/>
  <c r="C56" i="14"/>
  <c r="C57" i="14"/>
  <c r="C58" i="14"/>
  <c r="C59" i="14"/>
  <c r="C49" i="14"/>
  <c r="B50" i="14"/>
  <c r="B51" i="14"/>
  <c r="B52" i="14"/>
  <c r="B53" i="14"/>
  <c r="B54" i="14"/>
  <c r="B55" i="14"/>
  <c r="B56" i="14"/>
  <c r="B57" i="14"/>
  <c r="B58" i="14"/>
  <c r="B59" i="14"/>
  <c r="B49" i="14"/>
  <c r="E32" i="14"/>
  <c r="E33" i="14"/>
  <c r="E34" i="14"/>
  <c r="E35" i="14"/>
  <c r="E36" i="14"/>
  <c r="E37" i="14"/>
  <c r="E38" i="14"/>
  <c r="E39" i="14"/>
  <c r="E40" i="14"/>
  <c r="E41" i="14"/>
  <c r="E42" i="14"/>
  <c r="E14" i="14"/>
  <c r="E15" i="14"/>
  <c r="E16" i="14"/>
  <c r="E17" i="14"/>
  <c r="E18" i="14"/>
  <c r="E19" i="14"/>
  <c r="E20" i="14"/>
  <c r="E21" i="14"/>
  <c r="E22" i="14"/>
  <c r="E23" i="14"/>
  <c r="E24" i="14"/>
  <c r="E13" i="14"/>
  <c r="E31" i="14"/>
  <c r="D42" i="14"/>
  <c r="D32" i="14"/>
  <c r="D33" i="14"/>
  <c r="D34" i="14"/>
  <c r="D35" i="14"/>
  <c r="D36" i="14"/>
  <c r="D37" i="14"/>
  <c r="D38" i="14"/>
  <c r="D39" i="14"/>
  <c r="D40" i="14"/>
  <c r="D41" i="14"/>
  <c r="D31" i="14"/>
  <c r="C42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D24" i="14"/>
  <c r="C24" i="14"/>
  <c r="B24" i="14"/>
  <c r="D14" i="14"/>
  <c r="D15" i="14"/>
  <c r="D16" i="14"/>
  <c r="D17" i="14"/>
  <c r="D18" i="14"/>
  <c r="D19" i="14"/>
  <c r="D20" i="14"/>
  <c r="D21" i="14"/>
  <c r="D22" i="14"/>
  <c r="D23" i="14"/>
  <c r="D13" i="14"/>
  <c r="I11" i="15"/>
  <c r="B23" i="14"/>
  <c r="B22" i="14"/>
  <c r="B21" i="14"/>
  <c r="B20" i="14"/>
  <c r="B19" i="14"/>
  <c r="B18" i="14"/>
  <c r="B17" i="14"/>
  <c r="B16" i="14"/>
  <c r="B15" i="14"/>
  <c r="B14" i="14"/>
  <c r="B13" i="14"/>
  <c r="E6" i="14"/>
  <c r="E5" i="14"/>
  <c r="E4" i="14"/>
  <c r="D6" i="14"/>
  <c r="C6" i="14"/>
  <c r="I16" i="15"/>
  <c r="C5" i="14"/>
  <c r="C4" i="14"/>
  <c r="B6" i="14"/>
  <c r="C34" i="4"/>
  <c r="D34" i="4"/>
  <c r="E34" i="4"/>
  <c r="F34" i="4"/>
  <c r="B34" i="4"/>
  <c r="C33" i="4"/>
  <c r="D33" i="4"/>
  <c r="E33" i="4"/>
  <c r="F33" i="4"/>
  <c r="B33" i="4"/>
  <c r="C32" i="4"/>
  <c r="D32" i="4"/>
  <c r="E32" i="4"/>
  <c r="F32" i="4"/>
  <c r="B32" i="4"/>
  <c r="C31" i="4"/>
  <c r="D31" i="4"/>
  <c r="E31" i="4"/>
  <c r="F31" i="4"/>
  <c r="B31" i="4"/>
  <c r="C13" i="17"/>
  <c r="D13" i="17"/>
  <c r="E13" i="17"/>
  <c r="F13" i="17"/>
  <c r="B13" i="17"/>
  <c r="C11" i="17"/>
  <c r="D11" i="17"/>
  <c r="E11" i="17"/>
  <c r="F11" i="17"/>
  <c r="B11" i="17"/>
  <c r="C25" i="4"/>
  <c r="D25" i="4"/>
  <c r="E25" i="4"/>
  <c r="F25" i="4"/>
  <c r="B25" i="4"/>
  <c r="D9" i="17"/>
  <c r="C7" i="17"/>
  <c r="C9" i="17" s="1"/>
  <c r="D7" i="17"/>
  <c r="E7" i="17"/>
  <c r="E9" i="17" s="1"/>
  <c r="F7" i="17"/>
  <c r="F9" i="17" s="1"/>
  <c r="B7" i="17"/>
  <c r="B9" i="17" s="1"/>
  <c r="B10" i="17" s="1"/>
  <c r="C2" i="17"/>
  <c r="C6" i="17" s="1"/>
  <c r="D2" i="17"/>
  <c r="D6" i="17" s="1"/>
  <c r="D10" i="17" s="1"/>
  <c r="E2" i="17"/>
  <c r="E6" i="17" s="1"/>
  <c r="E10" i="17" s="1"/>
  <c r="F2" i="17"/>
  <c r="F6" i="17" s="1"/>
  <c r="F10" i="17" s="1"/>
  <c r="B2" i="17"/>
  <c r="B6" i="17" s="1"/>
  <c r="C21" i="4"/>
  <c r="D21" i="4"/>
  <c r="E21" i="4"/>
  <c r="F21" i="4"/>
  <c r="B21" i="4"/>
  <c r="C19" i="4"/>
  <c r="D19" i="4"/>
  <c r="E19" i="4"/>
  <c r="F19" i="4"/>
  <c r="B19" i="4"/>
  <c r="C14" i="4"/>
  <c r="D14" i="4"/>
  <c r="E14" i="4"/>
  <c r="F14" i="4"/>
  <c r="B14" i="4"/>
  <c r="C13" i="4"/>
  <c r="D13" i="4"/>
  <c r="E13" i="4"/>
  <c r="F13" i="4"/>
  <c r="B13" i="4"/>
  <c r="A3" i="16"/>
  <c r="B3" i="16"/>
  <c r="C3" i="16"/>
  <c r="D3" i="16"/>
  <c r="E3" i="16"/>
  <c r="F3" i="16"/>
  <c r="G3" i="16"/>
  <c r="A4" i="16"/>
  <c r="B4" i="16"/>
  <c r="C4" i="16"/>
  <c r="D4" i="16"/>
  <c r="E4" i="16"/>
  <c r="F4" i="16"/>
  <c r="G4" i="16"/>
  <c r="A5" i="16"/>
  <c r="B5" i="16"/>
  <c r="C5" i="16"/>
  <c r="D5" i="16"/>
  <c r="E5" i="16"/>
  <c r="F5" i="16"/>
  <c r="G5" i="16"/>
  <c r="A6" i="16"/>
  <c r="B6" i="16"/>
  <c r="C6" i="16"/>
  <c r="D6" i="16"/>
  <c r="E6" i="16"/>
  <c r="F6" i="16"/>
  <c r="G6" i="16"/>
  <c r="A7" i="16"/>
  <c r="B7" i="16"/>
  <c r="C7" i="16"/>
  <c r="D7" i="16"/>
  <c r="E7" i="16"/>
  <c r="F7" i="16"/>
  <c r="G7" i="16"/>
  <c r="H32" i="15"/>
  <c r="G32" i="15"/>
  <c r="E32" i="15"/>
  <c r="C32" i="15"/>
  <c r="B32" i="15"/>
  <c r="F31" i="15"/>
  <c r="I31" i="15" s="1"/>
  <c r="D31" i="15"/>
  <c r="F30" i="15"/>
  <c r="I30" i="15" s="1"/>
  <c r="D30" i="15"/>
  <c r="F29" i="15"/>
  <c r="I29" i="15" s="1"/>
  <c r="D29" i="15"/>
  <c r="F28" i="15"/>
  <c r="I28" i="15" s="1"/>
  <c r="D28" i="15"/>
  <c r="F27" i="15"/>
  <c r="I27" i="15" s="1"/>
  <c r="D27" i="15"/>
  <c r="F26" i="15"/>
  <c r="I26" i="15" s="1"/>
  <c r="D26" i="15"/>
  <c r="F25" i="15"/>
  <c r="I25" i="15" s="1"/>
  <c r="D25" i="15"/>
  <c r="F24" i="15"/>
  <c r="I24" i="15" s="1"/>
  <c r="D24" i="15"/>
  <c r="F23" i="15"/>
  <c r="I23" i="15" s="1"/>
  <c r="D23" i="15"/>
  <c r="F22" i="15"/>
  <c r="I22" i="15" s="1"/>
  <c r="D22" i="15"/>
  <c r="F21" i="15"/>
  <c r="I21" i="15" s="1"/>
  <c r="D21" i="15"/>
  <c r="H16" i="15"/>
  <c r="G16" i="15"/>
  <c r="E16" i="15"/>
  <c r="D16" i="15"/>
  <c r="C16" i="15"/>
  <c r="F15" i="15"/>
  <c r="I15" i="15" s="1"/>
  <c r="B15" i="15"/>
  <c r="F14" i="15"/>
  <c r="I14" i="15" s="1"/>
  <c r="B14" i="15"/>
  <c r="F13" i="15"/>
  <c r="I13" i="15" s="1"/>
  <c r="B13" i="15"/>
  <c r="F12" i="15"/>
  <c r="I12" i="15" s="1"/>
  <c r="B12" i="15"/>
  <c r="F11" i="15"/>
  <c r="B11" i="15"/>
  <c r="F10" i="15"/>
  <c r="I10" i="15" s="1"/>
  <c r="B10" i="15"/>
  <c r="F9" i="15"/>
  <c r="I9" i="15" s="1"/>
  <c r="B9" i="15"/>
  <c r="F8" i="15"/>
  <c r="I8" i="15" s="1"/>
  <c r="B8" i="15"/>
  <c r="F7" i="15"/>
  <c r="I7" i="15" s="1"/>
  <c r="B7" i="15"/>
  <c r="F6" i="15"/>
  <c r="I6" i="15" s="1"/>
  <c r="B6" i="15"/>
  <c r="F5" i="15"/>
  <c r="I5" i="15" s="1"/>
  <c r="B5" i="15"/>
  <c r="C10" i="17" l="1"/>
  <c r="G8" i="16"/>
  <c r="G9" i="16" s="1"/>
  <c r="G15" i="16" s="1"/>
  <c r="C8" i="16"/>
  <c r="C9" i="16" s="1"/>
  <c r="E8" i="16"/>
  <c r="E9" i="16" s="1"/>
  <c r="E15" i="16" s="1"/>
  <c r="D8" i="16"/>
  <c r="D9" i="16"/>
  <c r="D15" i="16" s="1"/>
  <c r="F8" i="16"/>
  <c r="F9" i="16" s="1"/>
  <c r="F15" i="16" s="1"/>
  <c r="B8" i="16"/>
  <c r="B9" i="16" s="1"/>
  <c r="B10" i="16" s="1"/>
  <c r="B16" i="15"/>
  <c r="F16" i="15"/>
  <c r="D32" i="15"/>
  <c r="I32" i="15"/>
  <c r="F32" i="15"/>
  <c r="B12" i="16" l="1"/>
  <c r="C15" i="16"/>
  <c r="B15" i="16"/>
  <c r="B16" i="16" s="1"/>
  <c r="B14" i="16"/>
  <c r="B13" i="16"/>
  <c r="C10" i="16"/>
  <c r="D10" i="16" s="1"/>
  <c r="E10" i="16" s="1"/>
  <c r="C22" i="3"/>
  <c r="C9" i="3"/>
  <c r="C16" i="3"/>
  <c r="D21" i="1"/>
  <c r="D23" i="1" s="1"/>
  <c r="D30" i="1" s="1"/>
  <c r="E21" i="1"/>
  <c r="E23" i="1" s="1"/>
  <c r="E30" i="1" s="1"/>
  <c r="F21" i="1"/>
  <c r="F23" i="1" s="1"/>
  <c r="F30" i="1" s="1"/>
  <c r="C29" i="1"/>
  <c r="C21" i="1"/>
  <c r="C23" i="1" s="1"/>
  <c r="C30" i="1" s="1"/>
  <c r="B29" i="1"/>
  <c r="B21" i="1"/>
  <c r="B23" i="1" s="1"/>
  <c r="B30" i="1" s="1"/>
  <c r="C14" i="1"/>
  <c r="D14" i="1"/>
  <c r="D15" i="1"/>
  <c r="E14" i="1"/>
  <c r="F14" i="1"/>
  <c r="B14" i="1"/>
  <c r="C9" i="1"/>
  <c r="D9" i="1"/>
  <c r="E9" i="1"/>
  <c r="F9" i="1"/>
  <c r="F15" i="1" s="1"/>
  <c r="B9" i="1"/>
  <c r="B15" i="1" s="1"/>
  <c r="C19" i="2"/>
  <c r="C6" i="2"/>
  <c r="C8" i="2" s="1"/>
  <c r="D19" i="2"/>
  <c r="D6" i="2"/>
  <c r="D8" i="2" s="1"/>
  <c r="E19" i="2"/>
  <c r="E6" i="2"/>
  <c r="E8" i="2" s="1"/>
  <c r="F19" i="2"/>
  <c r="F6" i="2"/>
  <c r="F8" i="2" s="1"/>
  <c r="B6" i="2"/>
  <c r="B8" i="2" s="1"/>
  <c r="B3" i="4" s="1"/>
  <c r="B19" i="2"/>
  <c r="B9" i="4" l="1"/>
  <c r="B11" i="4"/>
  <c r="C16" i="16"/>
  <c r="D16" i="16" s="1"/>
  <c r="E16" i="16" s="1"/>
  <c r="F16" i="16" s="1"/>
  <c r="F10" i="16"/>
  <c r="G10" i="16" s="1"/>
  <c r="B11" i="16"/>
  <c r="D21" i="2"/>
  <c r="D23" i="2" s="1"/>
  <c r="D26" i="2" s="1"/>
  <c r="D29" i="2" s="1"/>
  <c r="D3" i="4"/>
  <c r="E21" i="2"/>
  <c r="E23" i="2" s="1"/>
  <c r="E26" i="2" s="1"/>
  <c r="E29" i="2" s="1"/>
  <c r="E3" i="4"/>
  <c r="C21" i="2"/>
  <c r="C23" i="2" s="1"/>
  <c r="C26" i="2" s="1"/>
  <c r="C29" i="2" s="1"/>
  <c r="C3" i="4"/>
  <c r="E15" i="1"/>
  <c r="F21" i="2"/>
  <c r="F23" i="2" s="1"/>
  <c r="F26" i="2" s="1"/>
  <c r="F29" i="2" s="1"/>
  <c r="F3" i="4"/>
  <c r="B21" i="2"/>
  <c r="B23" i="2" s="1"/>
  <c r="B26" i="2" s="1"/>
  <c r="B29" i="2" s="1"/>
  <c r="C15" i="1"/>
  <c r="C23" i="3"/>
  <c r="C9" i="4" l="1"/>
  <c r="C11" i="4"/>
  <c r="F9" i="4"/>
  <c r="F11" i="4"/>
  <c r="D9" i="4"/>
  <c r="D11" i="4"/>
  <c r="E9" i="4"/>
  <c r="E11" i="4"/>
  <c r="G16" i="16"/>
  <c r="B17" i="16"/>
</calcChain>
</file>

<file path=xl/sharedStrings.xml><?xml version="1.0" encoding="utf-8"?>
<sst xmlns="http://schemas.openxmlformats.org/spreadsheetml/2006/main" count="299" uniqueCount="214">
  <si>
    <t>Gross patient services revenues (non-GAAP)</t>
  </si>
  <si>
    <t>Less deductions from revenues (non-GAAP)</t>
  </si>
  <si>
    <t>Net patient service revenues</t>
  </si>
  <si>
    <t>Other operating revenues</t>
  </si>
  <si>
    <t>Total operating revenues</t>
  </si>
  <si>
    <t>Operating expenses</t>
  </si>
  <si>
    <t>Salaries and wages</t>
  </si>
  <si>
    <t>Supplies</t>
  </si>
  <si>
    <t>Utilities</t>
  </si>
  <si>
    <t>Insurance</t>
  </si>
  <si>
    <t>Depreciation</t>
  </si>
  <si>
    <t>Interest</t>
  </si>
  <si>
    <t>Bad debts</t>
  </si>
  <si>
    <t>Other operating expenses</t>
  </si>
  <si>
    <t>Total operating expenses</t>
  </si>
  <si>
    <t>Operating income</t>
  </si>
  <si>
    <t>Nonoperating income</t>
  </si>
  <si>
    <t>Excess of revenue over expenses</t>
  </si>
  <si>
    <t>Change in net assets</t>
  </si>
  <si>
    <t>Unrestricted</t>
  </si>
  <si>
    <t>Temporarily restricted</t>
  </si>
  <si>
    <t>Permanently restricted</t>
  </si>
  <si>
    <t>Total change in net assets</t>
  </si>
  <si>
    <t>Current assets</t>
  </si>
  <si>
    <t>Cash</t>
  </si>
  <si>
    <t>Receivables, net</t>
  </si>
  <si>
    <t>Inventory</t>
  </si>
  <si>
    <t>Prepaid expenses</t>
  </si>
  <si>
    <t>Total Current Assets</t>
  </si>
  <si>
    <t>Plant and equipment</t>
  </si>
  <si>
    <t>Less accumulated depreciation</t>
  </si>
  <si>
    <t>Plants and equipment, net</t>
  </si>
  <si>
    <t>Total Assets</t>
  </si>
  <si>
    <t>Accounts payable</t>
  </si>
  <si>
    <t>Accrued expenses payable</t>
  </si>
  <si>
    <t>Deferred revenues</t>
  </si>
  <si>
    <t>Total current liabilities</t>
  </si>
  <si>
    <t>Long-term liabilities</t>
  </si>
  <si>
    <t>Net assets</t>
  </si>
  <si>
    <t>Cash Flows from Operating Activities</t>
  </si>
  <si>
    <t>Cash received from patient and third-party payers</t>
  </si>
  <si>
    <t>Cash received from nonoperating revenue sources</t>
  </si>
  <si>
    <t>Cash payments to employees</t>
  </si>
  <si>
    <t>Cash received from operating revenue sources</t>
  </si>
  <si>
    <t>Cash payments to suppliers of goods and services</t>
  </si>
  <si>
    <t>Net cash flow from operating activities</t>
  </si>
  <si>
    <t>Cash flows from Investing Activities</t>
  </si>
  <si>
    <t>Cash payments for purchase of plant assets</t>
  </si>
  <si>
    <t>Cash payments for purchase of long-term investments</t>
  </si>
  <si>
    <t>Proceeds from sales of plant assets</t>
  </si>
  <si>
    <t>Proceeds from sale of long-term investments</t>
  </si>
  <si>
    <t>Net cash flow from investing activities</t>
  </si>
  <si>
    <t>Cash flows from Financing Activities</t>
  </si>
  <si>
    <t>Proceeds from issuance of 6% bonds payable</t>
  </si>
  <si>
    <t>Principal payments on long-term debt</t>
  </si>
  <si>
    <t>Cash payments to retire 7% bonds payable</t>
  </si>
  <si>
    <t>Net cash flow from financing activities</t>
  </si>
  <si>
    <t>Net increase/(decrease) in cash</t>
  </si>
  <si>
    <t>Current liabilities</t>
  </si>
  <si>
    <t>Total Liabilities</t>
  </si>
  <si>
    <t>Total Liabilities and Net Assets</t>
  </si>
  <si>
    <t>Total Net Assets</t>
  </si>
  <si>
    <t>Operating Expenses</t>
  </si>
  <si>
    <t>Operating Income</t>
  </si>
  <si>
    <t>Net Income</t>
  </si>
  <si>
    <t>Year 0</t>
  </si>
  <si>
    <t>Year 1</t>
  </si>
  <si>
    <t>Year 2</t>
  </si>
  <si>
    <t>Year 3</t>
  </si>
  <si>
    <t>Year 4</t>
  </si>
  <si>
    <t>Year 5</t>
  </si>
  <si>
    <t>Nurse Triage Salaries</t>
  </si>
  <si>
    <t>Forecasted ER Cost Reductions</t>
  </si>
  <si>
    <t>New IT Specialist's Salary</t>
  </si>
  <si>
    <t>Costs of Facility Renovations</t>
  </si>
  <si>
    <t>Necessary Capital Equipment Purchases</t>
  </si>
  <si>
    <t>Net Cash Flow:</t>
  </si>
  <si>
    <t>Present Values of Net Cash Flows:</t>
  </si>
  <si>
    <t>Net Present Value:</t>
  </si>
  <si>
    <t>Internal Rate of Return (IRR):</t>
  </si>
  <si>
    <t>Modified Internal Rate of Return (MIRR):</t>
  </si>
  <si>
    <t>Payback Period (# years):</t>
  </si>
  <si>
    <t>Discounted Payback Period (# years):</t>
  </si>
  <si>
    <t>Total Profit Margin</t>
  </si>
  <si>
    <t>Asset Turnover</t>
  </si>
  <si>
    <t>Return on Assets</t>
  </si>
  <si>
    <t>Return on Net Worth</t>
  </si>
  <si>
    <t>Current Ratio</t>
  </si>
  <si>
    <t>Days Cash on Hand</t>
  </si>
  <si>
    <t>Working Capital</t>
  </si>
  <si>
    <t>Debt Ratio</t>
  </si>
  <si>
    <t>Times Interest Earned</t>
  </si>
  <si>
    <t>Short-term investments</t>
  </si>
  <si>
    <t>Jiranna Healthcare</t>
  </si>
  <si>
    <t>Projected Profit</t>
  </si>
  <si>
    <t>Projected 
(mid-year)</t>
  </si>
  <si>
    <t>Actual
 (mid-year)</t>
  </si>
  <si>
    <t>Revenue</t>
  </si>
  <si>
    <t>Expenses</t>
  </si>
  <si>
    <t>Profit</t>
  </si>
  <si>
    <t>I</t>
  </si>
  <si>
    <t>II</t>
  </si>
  <si>
    <t>III</t>
  </si>
  <si>
    <t>IV</t>
  </si>
  <si>
    <t>Outpatient Product Line</t>
  </si>
  <si>
    <t>Favorable / Unfavorable</t>
  </si>
  <si>
    <t>CARDIOLOGY</t>
  </si>
  <si>
    <t>ENDOCRINOLOYGY</t>
  </si>
  <si>
    <t>FAMILY MED</t>
  </si>
  <si>
    <t>GYN</t>
  </si>
  <si>
    <t>ENT</t>
  </si>
  <si>
    <t>MENTAL HEALTH</t>
  </si>
  <si>
    <t>NEWBORN</t>
  </si>
  <si>
    <t>OB</t>
  </si>
  <si>
    <t>ORTHO</t>
  </si>
  <si>
    <t>PEDIATRICS</t>
  </si>
  <si>
    <t>PODIATRY</t>
  </si>
  <si>
    <t>Total Outpatient Expenses</t>
  </si>
  <si>
    <t>Revenue Variances</t>
  </si>
  <si>
    <t>Total Outpatient Revenues</t>
  </si>
  <si>
    <t>Profit Variances</t>
  </si>
  <si>
    <t>F/U</t>
  </si>
  <si>
    <t>Total Profit</t>
  </si>
  <si>
    <t>Outpatient</t>
  </si>
  <si>
    <t>Total Expenses</t>
  </si>
  <si>
    <r>
      <rPr>
        <b/>
        <sz val="10"/>
        <rFont val="Arial"/>
        <family val="2"/>
      </rPr>
      <t>Jiranna Healthcare
Revenues Worksheet, Mid-Year Review</t>
    </r>
  </si>
  <si>
    <t>Total Revenue</t>
  </si>
  <si>
    <t>Product Line</t>
  </si>
  <si>
    <t>MDC DescrOPtion</t>
  </si>
  <si>
    <t>Diseases and Disorders of the Circulatory System (Hypertension, Heart Disease, etc.)</t>
  </si>
  <si>
    <t>Diseases and Disorders of the Endocrin System (Diabetes Type 1 &amp; 2, Thyroid Disorders, etc)</t>
  </si>
  <si>
    <t>Family Primary Care and Disease Preventative Services</t>
  </si>
  <si>
    <t>Diseases and Disorders of Women's Reproductive Health</t>
  </si>
  <si>
    <t xml:space="preserve">Diseases and Disorders of the Ear, Nose, Mouth, and Throat </t>
  </si>
  <si>
    <t>Mental Diseases and Disorders</t>
  </si>
  <si>
    <t xml:space="preserve">Newborns and Other Neonates with Conditions Originating in Perinatal Period </t>
  </si>
  <si>
    <t>Pregnancy, Childbirth, and the Puerperium</t>
  </si>
  <si>
    <t xml:space="preserve">Diseases and Disorders of the Musculoskeletal System and Connective Tissue </t>
  </si>
  <si>
    <t>Pediatric Primary Care and Disease Prevention Services (0 - 18 years)</t>
  </si>
  <si>
    <t>Diseases and Disorders of the Feet and Lower Limbs</t>
  </si>
  <si>
    <t>DuPont Analysis</t>
  </si>
  <si>
    <t>DuPont</t>
  </si>
  <si>
    <t>Net Profit Margin</t>
  </si>
  <si>
    <t>Equity Multiplier</t>
  </si>
  <si>
    <t>Jiranna Financials</t>
  </si>
  <si>
    <t>Profitability</t>
  </si>
  <si>
    <t>Liquidity Analysis</t>
  </si>
  <si>
    <t>Longterm Solvency</t>
  </si>
  <si>
    <t>Calculation for Discounted Payback Period</t>
  </si>
  <si>
    <t>Breakeven/Payback Period Years
Based on PV of Net Cash Flows</t>
  </si>
  <si>
    <t>Disc cum cash flow</t>
  </si>
  <si>
    <t>Cum Cash Flow</t>
  </si>
  <si>
    <t>PV cash flow</t>
  </si>
  <si>
    <t>Cumulative cash flow</t>
  </si>
  <si>
    <t>Discounted PayBack Period in Years</t>
  </si>
  <si>
    <t>Jiranna Healthcare Balance Sheet December 31, 2021 (in thousands)</t>
  </si>
  <si>
    <t>Jiranna Healthcare Income Statement December 31, 2021 (in thousands)</t>
  </si>
  <si>
    <t>Jiranna Healthcare Cash Flows, 2021 (in thousands)</t>
  </si>
  <si>
    <t>Unit Expense (FY20)</t>
  </si>
  <si>
    <t>Actual Units (FY20)</t>
  </si>
  <si>
    <t>Total OP Expenses (FY20)</t>
  </si>
  <si>
    <t>Unit Price (FY20)</t>
  </si>
  <si>
    <t>Unit Forecast (FY21)</t>
  </si>
  <si>
    <t>Unit Expence (Budget FY21)</t>
  </si>
  <si>
    <t>FY21 Budget (FY20+6% Inflation)</t>
  </si>
  <si>
    <t>Acutal Mid Year Units (FY21)</t>
  </si>
  <si>
    <t>Actual OP Expenses (FY21 YTD)</t>
  </si>
  <si>
    <t>Unit Forecasted For (FY21)</t>
  </si>
  <si>
    <t>Unit Price (Budget FY21)</t>
  </si>
  <si>
    <t>Projected OP Revenue For FY21</t>
  </si>
  <si>
    <t>Actual OP Revenue (FY21 YTD)</t>
  </si>
  <si>
    <t>Total OP Revenue (FY20)</t>
  </si>
  <si>
    <t>Actual Units (FY21 YTD)</t>
  </si>
  <si>
    <t xml:space="preserve">
Projected (FY21)</t>
  </si>
  <si>
    <t>Revised FY21 Projection</t>
  </si>
  <si>
    <t>FY21 YTD Expense Variances</t>
  </si>
  <si>
    <t xml:space="preserve">
FY21 YTD Budget</t>
  </si>
  <si>
    <t>FY21 YTD Budget Profit</t>
  </si>
  <si>
    <t>Actual OP Profit 
(FY21 YTD)</t>
  </si>
  <si>
    <t>Total Net Sales</t>
  </si>
  <si>
    <t>Expense Variance
(II-I)</t>
  </si>
  <si>
    <t>Revenue Variance
(II-I)</t>
  </si>
  <si>
    <t>Profit Variance
(II-I)</t>
  </si>
  <si>
    <t>Total Outflows</t>
  </si>
  <si>
    <t>Net Cashflows</t>
  </si>
  <si>
    <t>Net Present Value(NPV)</t>
  </si>
  <si>
    <t>Internal Rate of Return(IRR)</t>
  </si>
  <si>
    <t>Modified Internal Rate of return(MIRR)</t>
  </si>
  <si>
    <t>Cumulative Cash Flow</t>
  </si>
  <si>
    <t>Present value of net cash flow</t>
  </si>
  <si>
    <t>Cumulative discounted cash flows</t>
  </si>
  <si>
    <t>Payback Period</t>
  </si>
  <si>
    <t>Discounted Playback period</t>
  </si>
  <si>
    <t>FAIL</t>
  </si>
  <si>
    <t>PASS</t>
  </si>
  <si>
    <t>YEARS</t>
  </si>
  <si>
    <t>total net assets(balance sheet)</t>
  </si>
  <si>
    <t>Total Current Assets(balance sheet)</t>
  </si>
  <si>
    <t>Total current liabilities(balance sheet)</t>
  </si>
  <si>
    <t>cash(balance sheet)</t>
  </si>
  <si>
    <t>short term investments(balance sheet</t>
  </si>
  <si>
    <t>depraciation(income statement)</t>
  </si>
  <si>
    <t>operating expenses(income statement)</t>
  </si>
  <si>
    <t>Numerator</t>
  </si>
  <si>
    <t>Denominator</t>
  </si>
  <si>
    <t>days in a year</t>
  </si>
  <si>
    <t>operating expense-depreciation</t>
  </si>
  <si>
    <t>days cash on hand</t>
  </si>
  <si>
    <t>Total liabilities</t>
  </si>
  <si>
    <t>operating income+expense</t>
  </si>
  <si>
    <t>Interest expense</t>
  </si>
  <si>
    <t>Net income(income statement)</t>
  </si>
  <si>
    <t>Total revenue(income statement)</t>
  </si>
  <si>
    <t>Jiranna Healthcare
Expenses Worksheet, Mid-Year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</si>
</sst>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\$\ #,##0"/>
    <numFmt numFmtId="166" formatCode="_(* #,##0_);_(* \(#,##0\);_(* &quot;-&quot;??_);_(@_)"/>
    <numFmt numFmtId="167" formatCode="_(* #,##0.0_);_(* \(#,##0.0\);_(* &quot;-&quot;??_);_(@_)"/>
    <numFmt numFmtId="168" formatCode="\$\ #,##0.00"/>
    <numFmt numFmtId="169" formatCode="&quot;$&quot;#,##0.00"/>
    <numFmt numFmtId="170" formatCode="&quot;$&quot;#,##0"/>
    <numFmt numFmtId="171" formatCode="\$\ 0.00"/>
  </numFmts>
  <fonts count="3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theme="1"/>
      <name val="Calibri"/>
      <scheme val="minor"/>
    </font>
    <font>
      <sz val="12"/>
      <color rgb="FF0070C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name val="Arial"/>
      <family val="2"/>
    </font>
    <font>
      <b/>
      <sz val="10"/>
      <color rgb="FF000000"/>
      <name val="Times New Roman"/>
      <family val="1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</patternFill>
    </fill>
    <fill>
      <patternFill patternType="solid">
        <fgColor rgb="FFC0C0C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11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155">
    <xf numFmtId="0" fontId="0" fillId="0" borderId="0" xfId="0"/>
    <xf numFmtId="0" fontId="0" fillId="0" borderId="0" xfId="0" applyAlignment="1">
      <alignment horizontal="left" indent="1"/>
    </xf>
    <xf numFmtId="0" fontId="4" fillId="0" borderId="0" xfId="0" applyFont="1"/>
    <xf numFmtId="0" fontId="0" fillId="0" borderId="0" xfId="0" applyAlignment="1">
      <alignment horizontal="left"/>
    </xf>
    <xf numFmtId="41" fontId="0" fillId="0" borderId="0" xfId="0" applyNumberFormat="1"/>
    <xf numFmtId="41" fontId="7" fillId="0" borderId="0" xfId="0" applyNumberFormat="1" applyFont="1"/>
    <xf numFmtId="41" fontId="0" fillId="0" borderId="2" xfId="0" applyNumberFormat="1" applyBorder="1"/>
    <xf numFmtId="42" fontId="0" fillId="0" borderId="0" xfId="0" applyNumberFormat="1"/>
    <xf numFmtId="42" fontId="0" fillId="0" borderId="2" xfId="0" applyNumberFormat="1" applyBorder="1"/>
    <xf numFmtId="41" fontId="0" fillId="0" borderId="1" xfId="0" applyNumberFormat="1" applyBorder="1"/>
    <xf numFmtId="3" fontId="0" fillId="0" borderId="0" xfId="0" applyNumberFormat="1" applyAlignment="1">
      <alignment horizontal="left"/>
    </xf>
    <xf numFmtId="0" fontId="0" fillId="0" borderId="0" xfId="0" applyAlignment="1">
      <alignment horizontal="left" indent="3"/>
    </xf>
    <xf numFmtId="41" fontId="0" fillId="0" borderId="3" xfId="0" applyNumberFormat="1" applyBorder="1"/>
    <xf numFmtId="41" fontId="0" fillId="0" borderId="4" xfId="0" applyNumberFormat="1" applyBorder="1"/>
    <xf numFmtId="42" fontId="0" fillId="0" borderId="1" xfId="0" applyNumberFormat="1" applyBorder="1"/>
    <xf numFmtId="0" fontId="8" fillId="0" borderId="0" xfId="0" applyFont="1"/>
    <xf numFmtId="0" fontId="8" fillId="0" borderId="0" xfId="0" applyFont="1" applyAlignment="1">
      <alignment horizontal="left"/>
    </xf>
    <xf numFmtId="6" fontId="7" fillId="0" borderId="0" xfId="0" applyNumberFormat="1" applyFont="1"/>
    <xf numFmtId="0" fontId="3" fillId="0" borderId="0" xfId="7" applyAlignment="1">
      <alignment horizontal="center"/>
    </xf>
    <xf numFmtId="0" fontId="3" fillId="0" borderId="0" xfId="7"/>
    <xf numFmtId="164" fontId="0" fillId="0" borderId="0" xfId="8" applyNumberFormat="1" applyFont="1"/>
    <xf numFmtId="0" fontId="3" fillId="0" borderId="3" xfId="7" applyBorder="1"/>
    <xf numFmtId="164" fontId="0" fillId="0" borderId="3" xfId="8" applyNumberFormat="1" applyFont="1" applyBorder="1"/>
    <xf numFmtId="0" fontId="3" fillId="2" borderId="0" xfId="7" applyFill="1" applyAlignment="1">
      <alignment horizontal="right"/>
    </xf>
    <xf numFmtId="0" fontId="3" fillId="2" borderId="0" xfId="7" applyFill="1"/>
    <xf numFmtId="0" fontId="9" fillId="0" borderId="0" xfId="0" applyFont="1" applyAlignment="1">
      <alignment horizontal="left" indent="1"/>
    </xf>
    <xf numFmtId="0" fontId="9" fillId="0" borderId="0" xfId="0" applyFont="1"/>
    <xf numFmtId="6" fontId="0" fillId="0" borderId="0" xfId="0" applyNumberFormat="1"/>
    <xf numFmtId="6" fontId="10" fillId="0" borderId="0" xfId="0" applyNumberFormat="1" applyFont="1"/>
    <xf numFmtId="10" fontId="13" fillId="0" borderId="0" xfId="0" applyNumberFormat="1" applyFont="1"/>
    <xf numFmtId="0" fontId="11" fillId="0" borderId="0" xfId="0" applyFont="1"/>
    <xf numFmtId="0" fontId="12" fillId="0" borderId="0" xfId="0" applyFont="1"/>
    <xf numFmtId="10" fontId="0" fillId="0" borderId="0" xfId="0" applyNumberFormat="1"/>
    <xf numFmtId="0" fontId="14" fillId="0" borderId="0" xfId="0" applyFont="1"/>
    <xf numFmtId="41" fontId="14" fillId="0" borderId="0" xfId="0" applyNumberFormat="1" applyFont="1"/>
    <xf numFmtId="0" fontId="15" fillId="0" borderId="0" xfId="0" applyFont="1"/>
    <xf numFmtId="0" fontId="17" fillId="0" borderId="0" xfId="9" applyFont="1"/>
    <xf numFmtId="0" fontId="17" fillId="0" borderId="5" xfId="9" applyFont="1" applyBorder="1"/>
    <xf numFmtId="0" fontId="18" fillId="3" borderId="5" xfId="9" applyFont="1" applyFill="1" applyBorder="1" applyAlignment="1">
      <alignment horizontal="center" vertical="top" wrapText="1"/>
    </xf>
    <xf numFmtId="164" fontId="19" fillId="0" borderId="5" xfId="9" applyNumberFormat="1" applyFont="1" applyBorder="1" applyAlignment="1">
      <alignment horizontal="left" vertical="top"/>
    </xf>
    <xf numFmtId="164" fontId="19" fillId="0" borderId="5" xfId="9" applyNumberFormat="1" applyFont="1" applyBorder="1" applyAlignment="1">
      <alignment vertical="top" shrinkToFit="1"/>
    </xf>
    <xf numFmtId="164" fontId="17" fillId="0" borderId="5" xfId="9" applyNumberFormat="1" applyFont="1" applyBorder="1"/>
    <xf numFmtId="164" fontId="18" fillId="0" borderId="5" xfId="9" applyNumberFormat="1" applyFont="1" applyBorder="1" applyAlignment="1">
      <alignment vertical="top" wrapText="1"/>
    </xf>
    <xf numFmtId="164" fontId="19" fillId="0" borderId="2" xfId="9" applyNumberFormat="1" applyFont="1" applyBorder="1" applyAlignment="1">
      <alignment vertical="top" shrinkToFit="1"/>
    </xf>
    <xf numFmtId="0" fontId="16" fillId="0" borderId="0" xfId="9" applyFont="1" applyAlignment="1">
      <alignment horizontal="center"/>
    </xf>
    <xf numFmtId="0" fontId="20" fillId="0" borderId="7" xfId="9" applyFont="1" applyBorder="1" applyAlignment="1">
      <alignment vertical="top" wrapText="1"/>
    </xf>
    <xf numFmtId="165" fontId="19" fillId="0" borderId="5" xfId="9" applyNumberFormat="1" applyFont="1" applyBorder="1" applyAlignment="1">
      <alignment vertical="top" shrinkToFit="1"/>
    </xf>
    <xf numFmtId="165" fontId="19" fillId="0" borderId="5" xfId="9" applyNumberFormat="1" applyFont="1" applyBorder="1" applyAlignment="1">
      <alignment horizontal="right" vertical="top" shrinkToFit="1"/>
    </xf>
    <xf numFmtId="166" fontId="17" fillId="0" borderId="5" xfId="9" applyNumberFormat="1" applyFont="1" applyBorder="1"/>
    <xf numFmtId="0" fontId="17" fillId="0" borderId="5" xfId="9" applyFont="1" applyBorder="1" applyAlignment="1">
      <alignment horizontal="center"/>
    </xf>
    <xf numFmtId="166" fontId="17" fillId="0" borderId="0" xfId="9" applyNumberFormat="1" applyFont="1"/>
    <xf numFmtId="0" fontId="21" fillId="0" borderId="5" xfId="9" applyFont="1" applyBorder="1" applyAlignment="1">
      <alignment vertical="top" wrapText="1"/>
    </xf>
    <xf numFmtId="165" fontId="22" fillId="0" borderId="5" xfId="9" applyNumberFormat="1" applyFont="1" applyBorder="1" applyAlignment="1">
      <alignment vertical="top" shrinkToFit="1"/>
    </xf>
    <xf numFmtId="0" fontId="16" fillId="0" borderId="5" xfId="9" applyFont="1" applyBorder="1" applyAlignment="1">
      <alignment horizontal="center"/>
    </xf>
    <xf numFmtId="166" fontId="17" fillId="0" borderId="5" xfId="10" applyNumberFormat="1" applyFont="1" applyBorder="1"/>
    <xf numFmtId="166" fontId="16" fillId="0" borderId="5" xfId="10" applyNumberFormat="1" applyFont="1" applyBorder="1"/>
    <xf numFmtId="0" fontId="17" fillId="0" borderId="0" xfId="9" applyFont="1" applyAlignment="1">
      <alignment horizontal="center"/>
    </xf>
    <xf numFmtId="0" fontId="23" fillId="0" borderId="8" xfId="9" applyFont="1" applyBorder="1" applyAlignment="1">
      <alignment vertical="top" wrapText="1"/>
    </xf>
    <xf numFmtId="0" fontId="23" fillId="0" borderId="9" xfId="9" applyFont="1" applyBorder="1" applyAlignment="1">
      <alignment vertical="top" wrapText="1"/>
    </xf>
    <xf numFmtId="166" fontId="23" fillId="0" borderId="9" xfId="10" applyNumberFormat="1" applyFont="1" applyBorder="1" applyAlignment="1">
      <alignment vertical="top" wrapText="1"/>
    </xf>
    <xf numFmtId="0" fontId="23" fillId="0" borderId="0" xfId="9" applyFont="1" applyAlignment="1">
      <alignment horizontal="left" vertical="top"/>
    </xf>
    <xf numFmtId="0" fontId="23" fillId="0" borderId="10" xfId="9" applyFont="1" applyBorder="1" applyAlignment="1">
      <alignment vertical="top" wrapText="1"/>
    </xf>
    <xf numFmtId="0" fontId="23" fillId="0" borderId="11" xfId="9" applyFont="1" applyBorder="1" applyAlignment="1">
      <alignment vertical="top" wrapText="1"/>
    </xf>
    <xf numFmtId="0" fontId="25" fillId="0" borderId="0" xfId="9" applyFont="1" applyAlignment="1">
      <alignment vertical="top"/>
    </xf>
    <xf numFmtId="0" fontId="24" fillId="0" borderId="12" xfId="9" applyFont="1" applyBorder="1" applyAlignment="1">
      <alignment vertical="top" wrapText="1"/>
    </xf>
    <xf numFmtId="0" fontId="23" fillId="0" borderId="12" xfId="9" applyFont="1" applyBorder="1" applyAlignment="1">
      <alignment wrapText="1"/>
    </xf>
    <xf numFmtId="0" fontId="23" fillId="0" borderId="6" xfId="9" applyFont="1" applyBorder="1" applyAlignment="1">
      <alignment wrapText="1"/>
    </xf>
    <xf numFmtId="166" fontId="25" fillId="0" borderId="6" xfId="10" applyNumberFormat="1" applyFont="1" applyBorder="1" applyAlignment="1">
      <alignment wrapText="1"/>
    </xf>
    <xf numFmtId="166" fontId="23" fillId="0" borderId="6" xfId="10" applyNumberFormat="1" applyFont="1" applyBorder="1" applyAlignment="1">
      <alignment wrapText="1"/>
    </xf>
    <xf numFmtId="166" fontId="23" fillId="0" borderId="0" xfId="10" applyNumberFormat="1" applyFont="1" applyBorder="1" applyAlignment="1">
      <alignment wrapText="1"/>
    </xf>
    <xf numFmtId="166" fontId="23" fillId="0" borderId="0" xfId="9" applyNumberFormat="1" applyFont="1" applyAlignment="1">
      <alignment wrapText="1"/>
    </xf>
    <xf numFmtId="167" fontId="23" fillId="0" borderId="0" xfId="10" applyNumberFormat="1" applyFont="1" applyBorder="1" applyAlignment="1">
      <alignment wrapText="1"/>
    </xf>
    <xf numFmtId="0" fontId="20" fillId="3" borderId="7" xfId="9" applyFont="1" applyFill="1" applyBorder="1" applyAlignment="1">
      <alignment vertical="center" wrapText="1"/>
    </xf>
    <xf numFmtId="0" fontId="20" fillId="3" borderId="7" xfId="9" applyFont="1" applyFill="1" applyBorder="1" applyAlignment="1">
      <alignment vertical="top" wrapText="1"/>
    </xf>
    <xf numFmtId="0" fontId="20" fillId="3" borderId="13" xfId="9" applyFont="1" applyFill="1" applyBorder="1" applyAlignment="1">
      <alignment horizontal="left" vertical="top" wrapText="1" indent="1"/>
    </xf>
    <xf numFmtId="0" fontId="20" fillId="3" borderId="13" xfId="9" applyFont="1" applyFill="1" applyBorder="1" applyAlignment="1">
      <alignment horizontal="left" vertical="top" wrapText="1" indent="3"/>
    </xf>
    <xf numFmtId="0" fontId="20" fillId="3" borderId="7" xfId="9" applyFont="1" applyFill="1" applyBorder="1" applyAlignment="1">
      <alignment horizontal="left" vertical="top" wrapText="1" indent="3"/>
    </xf>
    <xf numFmtId="0" fontId="20" fillId="3" borderId="13" xfId="9" applyFont="1" applyFill="1" applyBorder="1" applyAlignment="1">
      <alignment horizontal="right" vertical="top" wrapText="1"/>
    </xf>
    <xf numFmtId="168" fontId="26" fillId="0" borderId="7" xfId="9" applyNumberFormat="1" applyFont="1" applyBorder="1" applyAlignment="1">
      <alignment vertical="top" shrinkToFit="1"/>
    </xf>
    <xf numFmtId="1" fontId="26" fillId="0" borderId="7" xfId="9" applyNumberFormat="1" applyFont="1" applyBorder="1" applyAlignment="1">
      <alignment vertical="top" shrinkToFit="1"/>
    </xf>
    <xf numFmtId="165" fontId="26" fillId="0" borderId="13" xfId="9" applyNumberFormat="1" applyFont="1" applyBorder="1" applyAlignment="1">
      <alignment horizontal="right" vertical="top" shrinkToFit="1"/>
    </xf>
    <xf numFmtId="1" fontId="26" fillId="0" borderId="13" xfId="9" applyNumberFormat="1" applyFont="1" applyBorder="1" applyAlignment="1">
      <alignment horizontal="right" vertical="top" shrinkToFit="1"/>
    </xf>
    <xf numFmtId="169" fontId="26" fillId="0" borderId="7" xfId="9" applyNumberFormat="1" applyFont="1" applyBorder="1" applyAlignment="1">
      <alignment horizontal="right" vertical="top" shrinkToFit="1"/>
    </xf>
    <xf numFmtId="165" fontId="26" fillId="0" borderId="7" xfId="9" applyNumberFormat="1" applyFont="1" applyBorder="1" applyAlignment="1">
      <alignment vertical="top" shrinkToFit="1"/>
    </xf>
    <xf numFmtId="166" fontId="23" fillId="0" borderId="0" xfId="9" applyNumberFormat="1" applyFont="1" applyAlignment="1">
      <alignment horizontal="left" vertical="top"/>
    </xf>
    <xf numFmtId="3" fontId="26" fillId="0" borderId="7" xfId="9" applyNumberFormat="1" applyFont="1" applyBorder="1" applyAlignment="1">
      <alignment vertical="top" shrinkToFit="1"/>
    </xf>
    <xf numFmtId="3" fontId="26" fillId="0" borderId="13" xfId="9" applyNumberFormat="1" applyFont="1" applyBorder="1" applyAlignment="1">
      <alignment horizontal="right" vertical="top" shrinkToFit="1"/>
    </xf>
    <xf numFmtId="0" fontId="24" fillId="0" borderId="7" xfId="9" applyFont="1" applyBorder="1" applyAlignment="1">
      <alignment vertical="top" wrapText="1"/>
    </xf>
    <xf numFmtId="170" fontId="25" fillId="0" borderId="7" xfId="9" applyNumberFormat="1" applyFont="1" applyBorder="1" applyAlignment="1">
      <alignment wrapText="1"/>
    </xf>
    <xf numFmtId="3" fontId="25" fillId="0" borderId="7" xfId="9" applyNumberFormat="1" applyFont="1" applyBorder="1" applyAlignment="1">
      <alignment wrapText="1"/>
    </xf>
    <xf numFmtId="165" fontId="23" fillId="0" borderId="9" xfId="9" applyNumberFormat="1" applyFont="1" applyBorder="1" applyAlignment="1">
      <alignment vertical="top" wrapText="1"/>
    </xf>
    <xf numFmtId="0" fontId="23" fillId="0" borderId="7" xfId="9" applyFont="1" applyBorder="1" applyAlignment="1">
      <alignment wrapText="1"/>
    </xf>
    <xf numFmtId="0" fontId="23" fillId="0" borderId="10" xfId="9" applyFont="1" applyBorder="1" applyAlignment="1">
      <alignment wrapText="1"/>
    </xf>
    <xf numFmtId="0" fontId="23" fillId="0" borderId="11" xfId="9" applyFont="1" applyBorder="1" applyAlignment="1">
      <alignment wrapText="1"/>
    </xf>
    <xf numFmtId="0" fontId="20" fillId="3" borderId="13" xfId="9" applyFont="1" applyFill="1" applyBorder="1" applyAlignment="1">
      <alignment vertical="top" wrapText="1"/>
    </xf>
    <xf numFmtId="165" fontId="26" fillId="0" borderId="13" xfId="9" applyNumberFormat="1" applyFont="1" applyBorder="1" applyAlignment="1">
      <alignment vertical="top" shrinkToFit="1"/>
    </xf>
    <xf numFmtId="0" fontId="23" fillId="0" borderId="0" xfId="9" applyFont="1" applyAlignment="1">
      <alignment horizontal="center" vertical="top"/>
    </xf>
    <xf numFmtId="165" fontId="23" fillId="0" borderId="0" xfId="9" applyNumberFormat="1" applyFont="1" applyAlignment="1">
      <alignment horizontal="left" vertical="top"/>
    </xf>
    <xf numFmtId="171" fontId="26" fillId="0" borderId="7" xfId="9" applyNumberFormat="1" applyFont="1" applyBorder="1" applyAlignment="1">
      <alignment vertical="top" shrinkToFit="1"/>
    </xf>
    <xf numFmtId="170" fontId="27" fillId="0" borderId="7" xfId="9" applyNumberFormat="1" applyFont="1" applyBorder="1" applyAlignment="1">
      <alignment wrapText="1"/>
    </xf>
    <xf numFmtId="3" fontId="27" fillId="0" borderId="7" xfId="9" applyNumberFormat="1" applyFont="1" applyBorder="1" applyAlignment="1">
      <alignment wrapText="1"/>
    </xf>
    <xf numFmtId="0" fontId="24" fillId="0" borderId="9" xfId="9" applyFont="1" applyBorder="1" applyAlignment="1">
      <alignment vertical="top" wrapText="1"/>
    </xf>
    <xf numFmtId="0" fontId="23" fillId="0" borderId="9" xfId="9" applyFont="1" applyBorder="1" applyAlignment="1">
      <alignment wrapText="1"/>
    </xf>
    <xf numFmtId="3" fontId="27" fillId="0" borderId="9" xfId="9" applyNumberFormat="1" applyFont="1" applyBorder="1" applyAlignment="1">
      <alignment vertical="top" shrinkToFit="1"/>
    </xf>
    <xf numFmtId="165" fontId="27" fillId="0" borderId="9" xfId="9" applyNumberFormat="1" applyFont="1" applyBorder="1" applyAlignment="1">
      <alignment vertical="top" shrinkToFit="1"/>
    </xf>
    <xf numFmtId="166" fontId="23" fillId="0" borderId="0" xfId="10" applyNumberFormat="1" applyFont="1" applyAlignment="1">
      <alignment horizontal="left" vertical="top"/>
    </xf>
    <xf numFmtId="165" fontId="23" fillId="0" borderId="0" xfId="9" applyNumberFormat="1" applyFont="1" applyAlignment="1">
      <alignment horizontal="right" vertical="top"/>
    </xf>
    <xf numFmtId="0" fontId="23" fillId="0" borderId="0" xfId="9" applyFont="1" applyAlignment="1">
      <alignment wrapText="1"/>
    </xf>
    <xf numFmtId="3" fontId="27" fillId="0" borderId="0" xfId="9" applyNumberFormat="1" applyFont="1" applyAlignment="1">
      <alignment vertical="top" shrinkToFit="1"/>
    </xf>
    <xf numFmtId="165" fontId="27" fillId="0" borderId="0" xfId="9" applyNumberFormat="1" applyFont="1" applyAlignment="1">
      <alignment vertical="top" shrinkToFit="1"/>
    </xf>
    <xf numFmtId="166" fontId="23" fillId="0" borderId="0" xfId="10" applyNumberFormat="1" applyFont="1" applyBorder="1" applyAlignment="1">
      <alignment horizontal="left" vertical="top"/>
    </xf>
    <xf numFmtId="0" fontId="24" fillId="0" borderId="0" xfId="9" applyFont="1" applyAlignment="1">
      <alignment vertical="top" wrapText="1"/>
    </xf>
    <xf numFmtId="0" fontId="20" fillId="4" borderId="14" xfId="9" applyFont="1" applyFill="1" applyBorder="1" applyAlignment="1">
      <alignment horizontal="left" vertical="top" wrapText="1"/>
    </xf>
    <xf numFmtId="0" fontId="20" fillId="4" borderId="0" xfId="9" applyFont="1" applyFill="1" applyAlignment="1">
      <alignment horizontal="left" vertical="top" wrapText="1"/>
    </xf>
    <xf numFmtId="0" fontId="20" fillId="0" borderId="0" xfId="9" applyFont="1" applyAlignment="1">
      <alignment vertical="top" wrapText="1"/>
    </xf>
    <xf numFmtId="0" fontId="20" fillId="0" borderId="0" xfId="9" applyFont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17" xfId="0" applyBorder="1" applyAlignment="1">
      <alignment horizontal="center"/>
    </xf>
    <xf numFmtId="9" fontId="0" fillId="5" borderId="5" xfId="0" applyNumberFormat="1" applyFill="1" applyBorder="1" applyAlignment="1">
      <alignment horizontal="center" vertical="top" wrapText="1"/>
    </xf>
    <xf numFmtId="0" fontId="0" fillId="5" borderId="5" xfId="0" applyFill="1" applyBorder="1" applyAlignment="1">
      <alignment horizontal="center" vertical="top" wrapText="1"/>
    </xf>
    <xf numFmtId="0" fontId="0" fillId="5" borderId="5" xfId="0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5" xfId="0" applyBorder="1" applyAlignment="1">
      <alignment horizontal="center" vertical="center"/>
    </xf>
    <xf numFmtId="164" fontId="0" fillId="0" borderId="5" xfId="0" applyNumberFormat="1" applyBorder="1" applyAlignment="1">
      <alignment horizontal="center"/>
    </xf>
    <xf numFmtId="0" fontId="0" fillId="0" borderId="17" xfId="0" applyBorder="1"/>
    <xf numFmtId="164" fontId="0" fillId="0" borderId="5" xfId="0" applyNumberFormat="1" applyBorder="1"/>
    <xf numFmtId="0" fontId="0" fillId="0" borderId="18" xfId="0" applyBorder="1"/>
    <xf numFmtId="2" fontId="0" fillId="0" borderId="0" xfId="0" applyNumberFormat="1"/>
    <xf numFmtId="2" fontId="0" fillId="0" borderId="18" xfId="0" applyNumberFormat="1" applyBorder="1"/>
    <xf numFmtId="39" fontId="0" fillId="6" borderId="5" xfId="0" applyNumberFormat="1" applyFill="1" applyBorder="1"/>
    <xf numFmtId="0" fontId="0" fillId="0" borderId="3" xfId="0" applyBorder="1"/>
    <xf numFmtId="0" fontId="0" fillId="0" borderId="20" xfId="0" applyBorder="1"/>
    <xf numFmtId="0" fontId="0" fillId="0" borderId="17" xfId="0" applyBorder="1" applyAlignment="1">
      <alignment wrapText="1"/>
    </xf>
    <xf numFmtId="6" fontId="14" fillId="0" borderId="0" xfId="0" applyNumberFormat="1" applyFont="1"/>
    <xf numFmtId="8" fontId="0" fillId="0" borderId="0" xfId="0" applyNumberFormat="1"/>
    <xf numFmtId="9" fontId="0" fillId="0" borderId="0" xfId="0" applyNumberFormat="1"/>
    <xf numFmtId="0" fontId="1" fillId="0" borderId="0" xfId="7" applyFont="1"/>
    <xf numFmtId="43" fontId="0" fillId="0" borderId="0" xfId="0" applyNumberFormat="1"/>
    <xf numFmtId="0" fontId="0" fillId="0" borderId="0" xfId="0" applyFont="1" applyAlignment="1">
      <alignment horizontal="left"/>
    </xf>
    <xf numFmtId="0" fontId="29" fillId="0" borderId="15" xfId="0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0" fillId="0" borderId="5" xfId="0" applyBorder="1" applyAlignment="1">
      <alignment horizontal="left" wrapText="1"/>
    </xf>
    <xf numFmtId="0" fontId="0" fillId="0" borderId="0" xfId="0" applyAlignment="1"/>
    <xf numFmtId="0" fontId="24" fillId="0" borderId="3" xfId="9" applyFont="1" applyBorder="1" applyAlignment="1">
      <alignment horizontal="center" vertical="top" wrapText="1"/>
    </xf>
    <xf numFmtId="0" fontId="23" fillId="0" borderId="3" xfId="9" applyFont="1" applyBorder="1" applyAlignment="1">
      <alignment horizontal="center" vertical="top" wrapText="1"/>
    </xf>
    <xf numFmtId="0" fontId="23" fillId="0" borderId="6" xfId="9" applyFont="1" applyBorder="1" applyAlignment="1">
      <alignment horizontal="center" vertical="top" wrapText="1"/>
    </xf>
    <xf numFmtId="0" fontId="20" fillId="4" borderId="7" xfId="9" applyFont="1" applyFill="1" applyBorder="1" applyAlignment="1">
      <alignment horizontal="left" vertical="top" wrapText="1"/>
    </xf>
    <xf numFmtId="0" fontId="20" fillId="4" borderId="10" xfId="9" applyFont="1" applyFill="1" applyBorder="1" applyAlignment="1">
      <alignment horizontal="left" vertical="top" wrapText="1"/>
    </xf>
    <xf numFmtId="0" fontId="16" fillId="0" borderId="0" xfId="9" applyFont="1" applyAlignment="1">
      <alignment horizontal="center"/>
    </xf>
    <xf numFmtId="0" fontId="16" fillId="0" borderId="6" xfId="9" applyFont="1" applyBorder="1" applyAlignment="1">
      <alignment horizontal="center"/>
    </xf>
  </cellXfs>
  <cellStyles count="11">
    <cellStyle name="Comma 2" xfId="10"/>
    <cellStyle name="Currency 2" xfId="8"/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  <cellStyle name="Normal 2" xfId="7"/>
    <cellStyle name="Normal 3" xfId="9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cPherson/Desktop/FM007%20Jiranna%20Master%20File%20Draf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cPherson/Desktop/FM007%20Complete%20Master%20Excel%200602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ze Organization Financial "/>
      <sheetName val="Capital Project"/>
      <sheetName val="Projections and Variances"/>
      <sheetName val="Balance Sheet"/>
      <sheetName val="Income Statement"/>
      <sheetName val="Cash Flows"/>
    </sheetNames>
    <sheetDataSet>
      <sheetData sheetId="0">
        <row r="3">
          <cell r="B3">
            <v>30000</v>
          </cell>
        </row>
        <row r="6">
          <cell r="B6">
            <v>168000</v>
          </cell>
        </row>
        <row r="7">
          <cell r="B7">
            <v>8582000</v>
          </cell>
        </row>
        <row r="9">
          <cell r="B9">
            <v>181000</v>
          </cell>
        </row>
        <row r="11">
          <cell r="B11">
            <v>600000</v>
          </cell>
        </row>
        <row r="12">
          <cell r="B12">
            <v>7350000</v>
          </cell>
        </row>
        <row r="16">
          <cell r="B16">
            <v>8609000</v>
          </cell>
        </row>
      </sheetData>
      <sheetData sheetId="1">
        <row r="21">
          <cell r="B21">
            <v>0.11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Sheet"/>
      <sheetName val="Income Statement"/>
      <sheetName val="Cash Flows"/>
      <sheetName val="Analyze Organization Financial "/>
      <sheetName val="Capital Project"/>
      <sheetName val="FM007.1 Budget"/>
      <sheetName val="FM007.1 Projection and Variance"/>
      <sheetName val="Variance Analysis Case Study"/>
      <sheetName val="FM007.2 Projection and Variance"/>
      <sheetName val="Projection and Vari (2)"/>
    </sheetNames>
    <sheetDataSet>
      <sheetData sheetId="0"/>
      <sheetData sheetId="1"/>
      <sheetData sheetId="2"/>
      <sheetData sheetId="3">
        <row r="3">
          <cell r="B3">
            <v>30000</v>
          </cell>
        </row>
        <row r="6">
          <cell r="B6">
            <v>168000</v>
          </cell>
        </row>
        <row r="7">
          <cell r="B7">
            <v>8582000</v>
          </cell>
        </row>
        <row r="9">
          <cell r="B9">
            <v>181000</v>
          </cell>
        </row>
        <row r="11">
          <cell r="B11">
            <v>600000</v>
          </cell>
        </row>
        <row r="12">
          <cell r="B12">
            <v>7350000</v>
          </cell>
        </row>
        <row r="16">
          <cell r="B16">
            <v>8609000</v>
          </cell>
        </row>
      </sheetData>
      <sheetData sheetId="4">
        <row r="21">
          <cell r="B21">
            <v>0.11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showRuler="0" workbookViewId="0">
      <selection activeCell="A8" sqref="A8:XFD8"/>
    </sheetView>
  </sheetViews>
  <sheetFormatPr defaultColWidth="11" defaultRowHeight="15.5" x14ac:dyDescent="0.35"/>
  <cols>
    <col min="1" max="1" width="37.83203125" customWidth="1"/>
  </cols>
  <sheetData>
    <row r="1" spans="1:6" x14ac:dyDescent="0.35">
      <c r="A1" t="s">
        <v>156</v>
      </c>
    </row>
    <row r="3" spans="1:6" x14ac:dyDescent="0.35">
      <c r="A3" s="2"/>
      <c r="B3" s="2">
        <v>2017</v>
      </c>
      <c r="C3" s="2">
        <v>2018</v>
      </c>
      <c r="D3" s="2">
        <v>2019</v>
      </c>
      <c r="E3" s="2">
        <v>2020</v>
      </c>
      <c r="F3" s="2">
        <v>2021</v>
      </c>
    </row>
    <row r="4" spans="1:6" x14ac:dyDescent="0.35">
      <c r="A4" t="s">
        <v>0</v>
      </c>
      <c r="B4" s="4">
        <v>8870</v>
      </c>
      <c r="C4" s="4">
        <v>9490</v>
      </c>
      <c r="D4" s="4">
        <v>10400</v>
      </c>
      <c r="E4" s="4">
        <v>11200</v>
      </c>
      <c r="F4" s="4">
        <v>12050</v>
      </c>
    </row>
    <row r="5" spans="1:6" x14ac:dyDescent="0.35">
      <c r="A5" t="s">
        <v>1</v>
      </c>
      <c r="B5" s="5">
        <v>-780</v>
      </c>
      <c r="C5" s="5">
        <v>-890</v>
      </c>
      <c r="D5" s="5">
        <v>-1000</v>
      </c>
      <c r="E5" s="5">
        <v>-1500</v>
      </c>
      <c r="F5" s="5">
        <v>-1600</v>
      </c>
    </row>
    <row r="6" spans="1:6" x14ac:dyDescent="0.35">
      <c r="A6" t="s">
        <v>2</v>
      </c>
      <c r="B6" s="6">
        <f>SUM(B4:B5)</f>
        <v>8090</v>
      </c>
      <c r="C6" s="6">
        <f t="shared" ref="C6:F6" si="0">SUM(C4:C5)</f>
        <v>8600</v>
      </c>
      <c r="D6" s="6">
        <f t="shared" si="0"/>
        <v>9400</v>
      </c>
      <c r="E6" s="6">
        <f t="shared" si="0"/>
        <v>9700</v>
      </c>
      <c r="F6" s="6">
        <f t="shared" si="0"/>
        <v>10450</v>
      </c>
    </row>
    <row r="7" spans="1:6" x14ac:dyDescent="0.35">
      <c r="A7" t="s">
        <v>3</v>
      </c>
      <c r="B7" s="4">
        <v>519</v>
      </c>
      <c r="C7" s="4">
        <v>633</v>
      </c>
      <c r="D7" s="4">
        <v>679</v>
      </c>
      <c r="E7" s="4">
        <v>717</v>
      </c>
      <c r="F7" s="4">
        <v>980</v>
      </c>
    </row>
    <row r="8" spans="1:6" ht="16" thickBot="1" x14ac:dyDescent="0.4">
      <c r="A8" s="11" t="s">
        <v>4</v>
      </c>
      <c r="B8" s="9">
        <f>SUM(B6:B7)</f>
        <v>8609</v>
      </c>
      <c r="C8" s="9">
        <f t="shared" ref="C8:F8" si="1">SUM(C6:C7)</f>
        <v>9233</v>
      </c>
      <c r="D8" s="9">
        <f t="shared" si="1"/>
        <v>10079</v>
      </c>
      <c r="E8" s="9">
        <f t="shared" si="1"/>
        <v>10417</v>
      </c>
      <c r="F8" s="9">
        <f t="shared" si="1"/>
        <v>11430</v>
      </c>
    </row>
    <row r="9" spans="1:6" ht="16" thickTop="1" x14ac:dyDescent="0.35">
      <c r="B9" s="4"/>
      <c r="C9" s="4"/>
      <c r="D9" s="4"/>
      <c r="E9" s="4"/>
      <c r="F9" s="4"/>
    </row>
    <row r="10" spans="1:6" x14ac:dyDescent="0.35">
      <c r="A10" t="s">
        <v>5</v>
      </c>
      <c r="B10" s="4"/>
      <c r="C10" s="4"/>
      <c r="D10" s="4"/>
      <c r="E10" s="4"/>
      <c r="F10" s="4"/>
    </row>
    <row r="11" spans="1:6" x14ac:dyDescent="0.35">
      <c r="A11" s="1" t="s">
        <v>6</v>
      </c>
      <c r="B11" s="4">
        <v>5497</v>
      </c>
      <c r="C11" s="4">
        <v>5678</v>
      </c>
      <c r="D11" s="4">
        <v>5890</v>
      </c>
      <c r="E11" s="4">
        <v>6170</v>
      </c>
      <c r="F11" s="4">
        <v>6800</v>
      </c>
    </row>
    <row r="12" spans="1:6" x14ac:dyDescent="0.35">
      <c r="A12" s="1" t="s">
        <v>7</v>
      </c>
      <c r="B12" s="4">
        <v>823</v>
      </c>
      <c r="C12" s="4">
        <v>850</v>
      </c>
      <c r="D12" s="4">
        <v>855</v>
      </c>
      <c r="E12" s="4">
        <v>890</v>
      </c>
      <c r="F12" s="4">
        <v>905</v>
      </c>
    </row>
    <row r="13" spans="1:6" x14ac:dyDescent="0.35">
      <c r="A13" s="1" t="s">
        <v>8</v>
      </c>
      <c r="B13" s="4">
        <v>558</v>
      </c>
      <c r="C13" s="4">
        <v>576</v>
      </c>
      <c r="D13" s="4">
        <v>590</v>
      </c>
      <c r="E13" s="4">
        <v>595</v>
      </c>
      <c r="F13" s="4">
        <v>620</v>
      </c>
    </row>
    <row r="14" spans="1:6" x14ac:dyDescent="0.35">
      <c r="A14" s="1" t="s">
        <v>9</v>
      </c>
      <c r="B14" s="4">
        <v>44</v>
      </c>
      <c r="C14" s="4">
        <v>46</v>
      </c>
      <c r="D14" s="4">
        <v>49</v>
      </c>
      <c r="E14" s="4">
        <v>54</v>
      </c>
      <c r="F14" s="4">
        <v>70</v>
      </c>
    </row>
    <row r="15" spans="1:6" x14ac:dyDescent="0.35">
      <c r="A15" s="1" t="s">
        <v>10</v>
      </c>
      <c r="B15" s="4">
        <v>168</v>
      </c>
      <c r="C15" s="4">
        <v>173</v>
      </c>
      <c r="D15" s="4">
        <v>175</v>
      </c>
      <c r="E15" s="4">
        <v>178</v>
      </c>
      <c r="F15" s="4">
        <v>188</v>
      </c>
    </row>
    <row r="16" spans="1:6" x14ac:dyDescent="0.35">
      <c r="A16" s="1" t="s">
        <v>11</v>
      </c>
      <c r="B16" s="4">
        <v>142</v>
      </c>
      <c r="C16" s="4">
        <v>146</v>
      </c>
      <c r="D16" s="4">
        <v>154</v>
      </c>
      <c r="E16" s="4">
        <v>179</v>
      </c>
      <c r="F16" s="4">
        <v>198</v>
      </c>
    </row>
    <row r="17" spans="1:6" x14ac:dyDescent="0.35">
      <c r="A17" s="1" t="s">
        <v>12</v>
      </c>
      <c r="B17" s="4">
        <v>363</v>
      </c>
      <c r="C17" s="4">
        <v>375</v>
      </c>
      <c r="D17" s="4">
        <v>400</v>
      </c>
      <c r="E17" s="4">
        <v>455</v>
      </c>
      <c r="F17" s="4">
        <v>500</v>
      </c>
    </row>
    <row r="18" spans="1:6" x14ac:dyDescent="0.35">
      <c r="A18" s="1" t="s">
        <v>13</v>
      </c>
      <c r="B18" s="4">
        <v>987</v>
      </c>
      <c r="C18" s="4">
        <v>1299</v>
      </c>
      <c r="D18" s="4">
        <v>1560</v>
      </c>
      <c r="E18" s="4">
        <v>1300</v>
      </c>
      <c r="F18" s="4">
        <v>1350</v>
      </c>
    </row>
    <row r="19" spans="1:6" x14ac:dyDescent="0.35">
      <c r="A19" s="11" t="s">
        <v>14</v>
      </c>
      <c r="B19" s="6">
        <f>SUM(B11:B18)</f>
        <v>8582</v>
      </c>
      <c r="C19" s="6">
        <f>SUM(C11:C18)</f>
        <v>9143</v>
      </c>
      <c r="D19" s="6">
        <f t="shared" ref="D19:F19" si="2">SUM(D11:D18)</f>
        <v>9673</v>
      </c>
      <c r="E19" s="6">
        <f t="shared" si="2"/>
        <v>9821</v>
      </c>
      <c r="F19" s="6">
        <f t="shared" si="2"/>
        <v>10631</v>
      </c>
    </row>
    <row r="20" spans="1:6" x14ac:dyDescent="0.35">
      <c r="B20" s="4"/>
      <c r="C20" s="4"/>
      <c r="D20" s="4"/>
      <c r="E20" s="4"/>
      <c r="F20" s="4"/>
    </row>
    <row r="21" spans="1:6" x14ac:dyDescent="0.35">
      <c r="A21" s="3" t="s">
        <v>15</v>
      </c>
      <c r="B21" s="4">
        <f>B8-B19</f>
        <v>27</v>
      </c>
      <c r="C21" s="4">
        <f>C8-C19</f>
        <v>90</v>
      </c>
      <c r="D21" s="4">
        <f t="shared" ref="D21:F21" si="3">D8-D19</f>
        <v>406</v>
      </c>
      <c r="E21" s="4">
        <f t="shared" si="3"/>
        <v>596</v>
      </c>
      <c r="F21" s="4">
        <f t="shared" si="3"/>
        <v>799</v>
      </c>
    </row>
    <row r="22" spans="1:6" x14ac:dyDescent="0.35">
      <c r="A22" s="3" t="s">
        <v>16</v>
      </c>
      <c r="B22" s="4">
        <v>154</v>
      </c>
      <c r="C22" s="4">
        <v>195</v>
      </c>
      <c r="D22" s="4">
        <v>245</v>
      </c>
      <c r="E22" s="4">
        <v>220</v>
      </c>
      <c r="F22" s="4">
        <v>290</v>
      </c>
    </row>
    <row r="23" spans="1:6" x14ac:dyDescent="0.35">
      <c r="A23" s="3" t="s">
        <v>17</v>
      </c>
      <c r="B23" s="8">
        <f>B21+B22</f>
        <v>181</v>
      </c>
      <c r="C23" s="8">
        <f t="shared" ref="C23:F23" si="4">C21+C22</f>
        <v>285</v>
      </c>
      <c r="D23" s="8">
        <f t="shared" si="4"/>
        <v>651</v>
      </c>
      <c r="E23" s="8">
        <f t="shared" si="4"/>
        <v>816</v>
      </c>
      <c r="F23" s="8">
        <f t="shared" si="4"/>
        <v>1089</v>
      </c>
    </row>
    <row r="24" spans="1:6" x14ac:dyDescent="0.35">
      <c r="B24" s="4"/>
      <c r="C24" s="4"/>
      <c r="D24" s="4"/>
      <c r="E24" s="4"/>
      <c r="F24" s="4"/>
    </row>
    <row r="25" spans="1:6" x14ac:dyDescent="0.35">
      <c r="A25" s="3" t="s">
        <v>18</v>
      </c>
      <c r="B25" s="4"/>
      <c r="C25" s="4"/>
      <c r="D25" s="4"/>
      <c r="E25" s="4"/>
      <c r="F25" s="4"/>
    </row>
    <row r="26" spans="1:6" x14ac:dyDescent="0.35">
      <c r="A26" s="1" t="s">
        <v>19</v>
      </c>
      <c r="B26" s="7">
        <f>B23</f>
        <v>181</v>
      </c>
      <c r="C26" s="7">
        <f t="shared" ref="C26:F26" si="5">C23</f>
        <v>285</v>
      </c>
      <c r="D26" s="7">
        <f t="shared" si="5"/>
        <v>651</v>
      </c>
      <c r="E26" s="7">
        <f t="shared" si="5"/>
        <v>816</v>
      </c>
      <c r="F26" s="7">
        <f t="shared" si="5"/>
        <v>1089</v>
      </c>
    </row>
    <row r="27" spans="1:6" x14ac:dyDescent="0.35">
      <c r="A27" s="1" t="s">
        <v>20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</row>
    <row r="28" spans="1:6" x14ac:dyDescent="0.35">
      <c r="A28" s="1" t="s">
        <v>21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</row>
    <row r="29" spans="1:6" x14ac:dyDescent="0.35">
      <c r="A29" s="11" t="s">
        <v>22</v>
      </c>
      <c r="B29" s="6">
        <f>B26</f>
        <v>181</v>
      </c>
      <c r="C29" s="6">
        <f t="shared" ref="C29:F29" si="6">C26</f>
        <v>285</v>
      </c>
      <c r="D29" s="6">
        <f t="shared" si="6"/>
        <v>651</v>
      </c>
      <c r="E29" s="6">
        <f t="shared" si="6"/>
        <v>816</v>
      </c>
      <c r="F29" s="6">
        <f t="shared" si="6"/>
        <v>1089</v>
      </c>
    </row>
    <row r="31" spans="1:6" x14ac:dyDescent="0.35">
      <c r="A31" s="25"/>
      <c r="B31" s="26"/>
      <c r="C31" s="26"/>
      <c r="D31" s="26"/>
      <c r="E31" s="26"/>
      <c r="F31" s="26"/>
    </row>
    <row r="32" spans="1:6" x14ac:dyDescent="0.35">
      <c r="B32" s="17"/>
      <c r="C32" s="17"/>
      <c r="D32" s="27"/>
      <c r="E32" s="27"/>
      <c r="F32" s="28"/>
    </row>
    <row r="33" spans="2:11" x14ac:dyDescent="0.35">
      <c r="B33" s="17"/>
      <c r="C33" s="17"/>
      <c r="D33" s="27"/>
      <c r="E33" s="27"/>
      <c r="F33" s="28"/>
    </row>
    <row r="34" spans="2:11" x14ac:dyDescent="0.35">
      <c r="B34" s="17"/>
      <c r="C34" s="17"/>
      <c r="D34" s="27"/>
      <c r="E34" s="27"/>
      <c r="F34" s="28"/>
    </row>
    <row r="35" spans="2:11" x14ac:dyDescent="0.35">
      <c r="B35" s="17"/>
      <c r="C35" s="17"/>
      <c r="D35" s="27"/>
      <c r="E35" s="27"/>
      <c r="F35" s="28"/>
    </row>
    <row r="37" spans="2:11" x14ac:dyDescent="0.35">
      <c r="B37" s="29"/>
      <c r="C37" s="29"/>
      <c r="D37" s="29"/>
      <c r="E37" s="29"/>
      <c r="F37" s="29"/>
      <c r="G37" s="30"/>
      <c r="K37" s="31"/>
    </row>
    <row r="38" spans="2:11" x14ac:dyDescent="0.35">
      <c r="G38" s="30"/>
      <c r="K38" s="31"/>
    </row>
    <row r="39" spans="2:11" x14ac:dyDescent="0.35">
      <c r="B39" s="32"/>
      <c r="C39" s="32"/>
      <c r="D39" s="32"/>
      <c r="E39" s="32"/>
      <c r="F39" s="32"/>
      <c r="G39" s="30"/>
      <c r="K39" s="31"/>
    </row>
    <row r="40" spans="2:11" x14ac:dyDescent="0.35">
      <c r="B40" s="32"/>
      <c r="C40" s="32"/>
      <c r="D40" s="32"/>
      <c r="E40" s="32"/>
      <c r="F40" s="32"/>
      <c r="G40" s="30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showRuler="0" workbookViewId="0">
      <selection activeCell="A23" sqref="A23:XFD23"/>
    </sheetView>
  </sheetViews>
  <sheetFormatPr defaultColWidth="11" defaultRowHeight="15.5" x14ac:dyDescent="0.35"/>
  <cols>
    <col min="1" max="1" width="30.58203125" customWidth="1"/>
    <col min="2" max="6" width="11.33203125" bestFit="1" customWidth="1"/>
  </cols>
  <sheetData>
    <row r="1" spans="1:6" x14ac:dyDescent="0.35">
      <c r="A1" t="s">
        <v>155</v>
      </c>
    </row>
    <row r="3" spans="1:6" x14ac:dyDescent="0.35">
      <c r="A3" s="2"/>
      <c r="B3" s="2">
        <v>2017</v>
      </c>
      <c r="C3" s="2">
        <v>2018</v>
      </c>
      <c r="D3" s="2">
        <v>2019</v>
      </c>
      <c r="E3" s="2">
        <v>2020</v>
      </c>
      <c r="F3" s="2">
        <v>2021</v>
      </c>
    </row>
    <row r="4" spans="1:6" x14ac:dyDescent="0.35">
      <c r="A4" t="s">
        <v>23</v>
      </c>
      <c r="B4" s="7">
        <v>280</v>
      </c>
      <c r="C4" s="7">
        <v>124</v>
      </c>
      <c r="D4" s="7">
        <v>136</v>
      </c>
      <c r="E4" s="7">
        <v>295</v>
      </c>
      <c r="F4" s="7">
        <v>355</v>
      </c>
    </row>
    <row r="5" spans="1:6" x14ac:dyDescent="0.35">
      <c r="A5" s="1" t="s">
        <v>24</v>
      </c>
      <c r="B5" s="4">
        <v>30</v>
      </c>
      <c r="C5" s="4">
        <v>45</v>
      </c>
      <c r="D5" s="4">
        <v>50</v>
      </c>
      <c r="E5" s="4">
        <v>75</v>
      </c>
      <c r="F5" s="4">
        <v>88</v>
      </c>
    </row>
    <row r="6" spans="1:6" x14ac:dyDescent="0.35">
      <c r="A6" s="1" t="s">
        <v>25</v>
      </c>
      <c r="B6" s="4">
        <v>1340</v>
      </c>
      <c r="C6" s="4">
        <v>1536</v>
      </c>
      <c r="D6" s="4">
        <v>1700</v>
      </c>
      <c r="E6" s="4">
        <v>1896</v>
      </c>
      <c r="F6" s="4">
        <v>2400</v>
      </c>
    </row>
    <row r="7" spans="1:6" x14ac:dyDescent="0.35">
      <c r="A7" s="1" t="s">
        <v>26</v>
      </c>
      <c r="B7" s="4">
        <v>140</v>
      </c>
      <c r="C7" s="4">
        <v>175</v>
      </c>
      <c r="D7" s="4">
        <v>250</v>
      </c>
      <c r="E7" s="4">
        <v>276</v>
      </c>
      <c r="F7" s="4">
        <v>266</v>
      </c>
    </row>
    <row r="8" spans="1:6" x14ac:dyDescent="0.35">
      <c r="A8" s="1" t="s">
        <v>27</v>
      </c>
      <c r="B8" s="4">
        <v>40</v>
      </c>
      <c r="C8" s="4">
        <v>32</v>
      </c>
      <c r="D8" s="4">
        <v>40</v>
      </c>
      <c r="E8" s="4">
        <v>53</v>
      </c>
      <c r="F8" s="4">
        <v>78</v>
      </c>
    </row>
    <row r="9" spans="1:6" ht="16" thickBot="1" x14ac:dyDescent="0.4">
      <c r="A9" s="11" t="s">
        <v>28</v>
      </c>
      <c r="B9" s="9">
        <f>SUM(B4:B8)</f>
        <v>1830</v>
      </c>
      <c r="C9" s="9">
        <f t="shared" ref="C9:F9" si="0">SUM(C4:C8)</f>
        <v>1912</v>
      </c>
      <c r="D9" s="9">
        <f t="shared" si="0"/>
        <v>2176</v>
      </c>
      <c r="E9" s="9">
        <f t="shared" si="0"/>
        <v>2595</v>
      </c>
      <c r="F9" s="9">
        <f t="shared" si="0"/>
        <v>3187</v>
      </c>
    </row>
    <row r="10" spans="1:6" ht="16" thickTop="1" x14ac:dyDescent="0.35">
      <c r="B10" s="4"/>
      <c r="C10" s="4"/>
      <c r="D10" s="4"/>
      <c r="E10" s="4"/>
      <c r="F10" s="4"/>
    </row>
    <row r="11" spans="1:6" x14ac:dyDescent="0.35">
      <c r="A11" s="3" t="s">
        <v>92</v>
      </c>
      <c r="B11" s="4">
        <v>600</v>
      </c>
      <c r="C11" s="4">
        <v>1010</v>
      </c>
      <c r="D11" s="4">
        <v>1200</v>
      </c>
      <c r="E11" s="4">
        <v>1300</v>
      </c>
      <c r="F11" s="4">
        <v>1510</v>
      </c>
    </row>
    <row r="12" spans="1:6" x14ac:dyDescent="0.35">
      <c r="A12" s="1" t="s">
        <v>29</v>
      </c>
      <c r="B12" s="10">
        <v>6580</v>
      </c>
      <c r="C12" s="10">
        <v>6780</v>
      </c>
      <c r="D12" s="10">
        <v>6900</v>
      </c>
      <c r="E12" s="10">
        <v>7200</v>
      </c>
      <c r="F12" s="10">
        <v>7500</v>
      </c>
    </row>
    <row r="13" spans="1:6" x14ac:dyDescent="0.35">
      <c r="A13" s="1" t="s">
        <v>30</v>
      </c>
      <c r="B13" s="10">
        <v>-1660</v>
      </c>
      <c r="C13" s="3">
        <v>-1750</v>
      </c>
      <c r="D13" s="10">
        <v>-1800</v>
      </c>
      <c r="E13" s="10">
        <v>-1950</v>
      </c>
      <c r="F13" s="10">
        <v>-2350</v>
      </c>
    </row>
    <row r="14" spans="1:6" x14ac:dyDescent="0.35">
      <c r="A14" t="s">
        <v>31</v>
      </c>
      <c r="B14" s="4">
        <f>B12+B13</f>
        <v>4920</v>
      </c>
      <c r="C14" s="4">
        <f t="shared" ref="C14:F14" si="1">C12+C13</f>
        <v>5030</v>
      </c>
      <c r="D14" s="4">
        <f t="shared" si="1"/>
        <v>5100</v>
      </c>
      <c r="E14" s="4">
        <f t="shared" si="1"/>
        <v>5250</v>
      </c>
      <c r="F14" s="4">
        <f t="shared" si="1"/>
        <v>5150</v>
      </c>
    </row>
    <row r="15" spans="1:6" ht="16" thickBot="1" x14ac:dyDescent="0.4">
      <c r="A15" s="11" t="s">
        <v>32</v>
      </c>
      <c r="B15" s="14">
        <f>SUM(B9+B11+B14)</f>
        <v>7350</v>
      </c>
      <c r="C15" s="14">
        <f t="shared" ref="C15:F15" si="2">SUM(C9+C11+C14)</f>
        <v>7952</v>
      </c>
      <c r="D15" s="14">
        <f t="shared" si="2"/>
        <v>8476</v>
      </c>
      <c r="E15" s="14">
        <f t="shared" si="2"/>
        <v>9145</v>
      </c>
      <c r="F15" s="14">
        <f t="shared" si="2"/>
        <v>9847</v>
      </c>
    </row>
    <row r="16" spans="1:6" ht="16" thickTop="1" x14ac:dyDescent="0.35">
      <c r="B16" s="4"/>
      <c r="C16" s="4"/>
      <c r="D16" s="4"/>
      <c r="E16" s="4"/>
      <c r="F16" s="4"/>
    </row>
    <row r="17" spans="1:6" x14ac:dyDescent="0.35">
      <c r="A17" t="s">
        <v>58</v>
      </c>
      <c r="B17" s="4"/>
      <c r="C17" s="4"/>
      <c r="D17" s="4"/>
      <c r="E17" s="4"/>
      <c r="F17" s="4"/>
    </row>
    <row r="18" spans="1:6" x14ac:dyDescent="0.35">
      <c r="A18" s="1" t="s">
        <v>33</v>
      </c>
      <c r="B18" s="4">
        <v>370</v>
      </c>
      <c r="C18" s="4">
        <v>302</v>
      </c>
      <c r="D18" s="4">
        <v>356</v>
      </c>
      <c r="E18" s="4">
        <v>370</v>
      </c>
      <c r="F18" s="4">
        <v>375</v>
      </c>
    </row>
    <row r="19" spans="1:6" x14ac:dyDescent="0.35">
      <c r="A19" s="1" t="s">
        <v>34</v>
      </c>
      <c r="B19" s="4">
        <v>220</v>
      </c>
      <c r="C19" s="4">
        <v>208</v>
      </c>
      <c r="D19" s="4">
        <v>212</v>
      </c>
      <c r="E19" s="4">
        <v>210</v>
      </c>
      <c r="F19" s="4">
        <v>215</v>
      </c>
    </row>
    <row r="20" spans="1:6" x14ac:dyDescent="0.35">
      <c r="A20" s="1" t="s">
        <v>35</v>
      </c>
      <c r="B20" s="12">
        <v>60</v>
      </c>
      <c r="C20" s="12">
        <v>77</v>
      </c>
      <c r="D20" s="12">
        <v>87</v>
      </c>
      <c r="E20" s="12">
        <v>87</v>
      </c>
      <c r="F20" s="12">
        <v>94</v>
      </c>
    </row>
    <row r="21" spans="1:6" x14ac:dyDescent="0.35">
      <c r="A21" s="11" t="s">
        <v>36</v>
      </c>
      <c r="B21" s="4">
        <f>SUM(B18:B20)</f>
        <v>650</v>
      </c>
      <c r="C21" s="4">
        <f t="shared" ref="C21:F21" si="3">SUM(C18:C20)</f>
        <v>587</v>
      </c>
      <c r="D21" s="4">
        <f t="shared" si="3"/>
        <v>655</v>
      </c>
      <c r="E21" s="4">
        <f t="shared" si="3"/>
        <v>667</v>
      </c>
      <c r="F21" s="4">
        <f t="shared" si="3"/>
        <v>684</v>
      </c>
    </row>
    <row r="22" spans="1:6" x14ac:dyDescent="0.35">
      <c r="A22" s="1" t="s">
        <v>37</v>
      </c>
      <c r="B22" s="4">
        <v>2400</v>
      </c>
      <c r="C22" s="4">
        <v>3000</v>
      </c>
      <c r="D22" s="4">
        <v>3300</v>
      </c>
      <c r="E22" s="4">
        <v>3500</v>
      </c>
      <c r="F22" s="4">
        <v>3750</v>
      </c>
    </row>
    <row r="23" spans="1:6" x14ac:dyDescent="0.35">
      <c r="A23" s="11" t="s">
        <v>59</v>
      </c>
      <c r="B23" s="13">
        <f>SUM(B21:B22)</f>
        <v>3050</v>
      </c>
      <c r="C23" s="13">
        <f t="shared" ref="C23:F23" si="4">SUM(C21:C22)</f>
        <v>3587</v>
      </c>
      <c r="D23" s="13">
        <f t="shared" si="4"/>
        <v>3955</v>
      </c>
      <c r="E23" s="13">
        <f t="shared" si="4"/>
        <v>4167</v>
      </c>
      <c r="F23" s="13">
        <f t="shared" si="4"/>
        <v>4434</v>
      </c>
    </row>
    <row r="24" spans="1:6" x14ac:dyDescent="0.35">
      <c r="B24" s="4"/>
      <c r="C24" s="4"/>
      <c r="D24" s="4"/>
      <c r="E24" s="4"/>
      <c r="F24" s="4"/>
    </row>
    <row r="25" spans="1:6" x14ac:dyDescent="0.35">
      <c r="A25" t="s">
        <v>38</v>
      </c>
      <c r="B25" s="4"/>
      <c r="C25" s="4"/>
      <c r="D25" s="4"/>
      <c r="E25" s="4"/>
      <c r="F25" s="4"/>
    </row>
    <row r="26" spans="1:6" x14ac:dyDescent="0.35">
      <c r="A26" s="1" t="s">
        <v>19</v>
      </c>
      <c r="B26" s="4">
        <v>3000</v>
      </c>
      <c r="C26" s="4">
        <v>3285</v>
      </c>
      <c r="D26" s="4">
        <v>3221</v>
      </c>
      <c r="E26" s="4">
        <v>3678</v>
      </c>
      <c r="F26" s="4">
        <v>4113</v>
      </c>
    </row>
    <row r="27" spans="1:6" x14ac:dyDescent="0.35">
      <c r="A27" s="1" t="s">
        <v>20</v>
      </c>
      <c r="B27" s="4">
        <v>700</v>
      </c>
      <c r="C27" s="4">
        <v>700</v>
      </c>
      <c r="D27" s="4">
        <v>700</v>
      </c>
      <c r="E27" s="4">
        <v>700</v>
      </c>
      <c r="F27" s="4">
        <v>700</v>
      </c>
    </row>
    <row r="28" spans="1:6" x14ac:dyDescent="0.35">
      <c r="A28" s="1" t="s">
        <v>21</v>
      </c>
      <c r="B28" s="12">
        <v>600</v>
      </c>
      <c r="C28" s="12">
        <v>600</v>
      </c>
      <c r="D28" s="12">
        <v>600</v>
      </c>
      <c r="E28" s="12">
        <v>600</v>
      </c>
      <c r="F28" s="12">
        <v>600</v>
      </c>
    </row>
    <row r="29" spans="1:6" x14ac:dyDescent="0.35">
      <c r="A29" s="11" t="s">
        <v>61</v>
      </c>
      <c r="B29" s="4">
        <f>SUM(B26:B28)</f>
        <v>4300</v>
      </c>
      <c r="C29" s="4">
        <f>SUM(C26:C28)</f>
        <v>4585</v>
      </c>
      <c r="D29" s="4">
        <v>4521</v>
      </c>
      <c r="E29" s="4">
        <v>4978</v>
      </c>
      <c r="F29" s="4">
        <v>5413</v>
      </c>
    </row>
    <row r="30" spans="1:6" ht="16" thickBot="1" x14ac:dyDescent="0.4">
      <c r="A30" s="11" t="s">
        <v>60</v>
      </c>
      <c r="B30" s="9">
        <f>SUM(B23+B29)</f>
        <v>7350</v>
      </c>
      <c r="C30" s="9">
        <f>SUM(C29+C23)</f>
        <v>8172</v>
      </c>
      <c r="D30" s="9">
        <f t="shared" ref="D30:F30" si="5">SUM(D29+D23)</f>
        <v>8476</v>
      </c>
      <c r="E30" s="9">
        <f t="shared" si="5"/>
        <v>9145</v>
      </c>
      <c r="F30" s="9">
        <f t="shared" si="5"/>
        <v>9847</v>
      </c>
    </row>
    <row r="31" spans="1:6" ht="16" thickTop="1" x14ac:dyDescent="0.3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showRuler="0" workbookViewId="0">
      <selection activeCell="B12" sqref="B12"/>
    </sheetView>
  </sheetViews>
  <sheetFormatPr defaultColWidth="11" defaultRowHeight="15.5" x14ac:dyDescent="0.35"/>
  <cols>
    <col min="1" max="1" width="46.83203125" customWidth="1"/>
  </cols>
  <sheetData>
    <row r="1" spans="1:3" x14ac:dyDescent="0.35">
      <c r="A1" t="s">
        <v>157</v>
      </c>
    </row>
    <row r="3" spans="1:3" x14ac:dyDescent="0.35">
      <c r="A3" s="15" t="s">
        <v>39</v>
      </c>
    </row>
    <row r="4" spans="1:3" x14ac:dyDescent="0.35">
      <c r="A4" s="1" t="s">
        <v>40</v>
      </c>
      <c r="B4" s="7">
        <v>10671</v>
      </c>
    </row>
    <row r="5" spans="1:3" x14ac:dyDescent="0.35">
      <c r="A5" s="1" t="s">
        <v>43</v>
      </c>
      <c r="B5" s="4">
        <v>800</v>
      </c>
    </row>
    <row r="6" spans="1:3" x14ac:dyDescent="0.35">
      <c r="A6" s="1" t="s">
        <v>41</v>
      </c>
      <c r="B6" s="4">
        <v>270</v>
      </c>
    </row>
    <row r="7" spans="1:3" x14ac:dyDescent="0.35">
      <c r="A7" s="1" t="s">
        <v>42</v>
      </c>
      <c r="B7" s="4">
        <v>-5600</v>
      </c>
    </row>
    <row r="8" spans="1:3" x14ac:dyDescent="0.35">
      <c r="A8" s="1" t="s">
        <v>44</v>
      </c>
      <c r="B8" s="4">
        <v>-4800</v>
      </c>
    </row>
    <row r="9" spans="1:3" x14ac:dyDescent="0.35">
      <c r="A9" s="11" t="s">
        <v>45</v>
      </c>
      <c r="B9" s="4"/>
      <c r="C9" s="7">
        <f>SUM(B4:B8)</f>
        <v>1341</v>
      </c>
    </row>
    <row r="10" spans="1:3" x14ac:dyDescent="0.35">
      <c r="B10" s="4"/>
    </row>
    <row r="11" spans="1:3" x14ac:dyDescent="0.35">
      <c r="A11" s="16" t="s">
        <v>46</v>
      </c>
      <c r="B11" s="4"/>
    </row>
    <row r="12" spans="1:3" x14ac:dyDescent="0.35">
      <c r="A12" s="1" t="s">
        <v>47</v>
      </c>
      <c r="B12" s="4">
        <v>-1200</v>
      </c>
    </row>
    <row r="13" spans="1:3" x14ac:dyDescent="0.35">
      <c r="A13" s="1" t="s">
        <v>48</v>
      </c>
      <c r="B13" s="4">
        <v>-670</v>
      </c>
    </row>
    <row r="14" spans="1:3" x14ac:dyDescent="0.35">
      <c r="A14" s="1" t="s">
        <v>49</v>
      </c>
      <c r="B14" s="4">
        <v>80</v>
      </c>
    </row>
    <row r="15" spans="1:3" x14ac:dyDescent="0.35">
      <c r="A15" s="1" t="s">
        <v>50</v>
      </c>
      <c r="B15" s="4">
        <v>60</v>
      </c>
    </row>
    <row r="16" spans="1:3" x14ac:dyDescent="0.35">
      <c r="A16" s="11" t="s">
        <v>51</v>
      </c>
      <c r="B16" s="4"/>
      <c r="C16" s="4">
        <f>SUM(B12:B15)</f>
        <v>-1730</v>
      </c>
    </row>
    <row r="17" spans="1:3" x14ac:dyDescent="0.35">
      <c r="B17" s="4"/>
    </row>
    <row r="18" spans="1:3" x14ac:dyDescent="0.35">
      <c r="A18" s="16" t="s">
        <v>52</v>
      </c>
      <c r="B18" s="4"/>
    </row>
    <row r="19" spans="1:3" x14ac:dyDescent="0.35">
      <c r="A19" s="1" t="s">
        <v>53</v>
      </c>
      <c r="B19" s="4">
        <v>4000</v>
      </c>
    </row>
    <row r="20" spans="1:3" x14ac:dyDescent="0.35">
      <c r="A20" s="1" t="s">
        <v>54</v>
      </c>
      <c r="B20" s="4">
        <v>-300</v>
      </c>
    </row>
    <row r="21" spans="1:3" x14ac:dyDescent="0.35">
      <c r="A21" s="1" t="s">
        <v>55</v>
      </c>
      <c r="B21" s="4">
        <v>-3200</v>
      </c>
    </row>
    <row r="22" spans="1:3" x14ac:dyDescent="0.35">
      <c r="A22" s="11" t="s">
        <v>56</v>
      </c>
      <c r="B22" s="4"/>
      <c r="C22" s="4">
        <f>SUM(B19:B21)</f>
        <v>500</v>
      </c>
    </row>
    <row r="23" spans="1:3" x14ac:dyDescent="0.35">
      <c r="A23" s="11" t="s">
        <v>57</v>
      </c>
      <c r="B23" s="4"/>
      <c r="C23" s="7">
        <f>SUM(C9:C22)</f>
        <v>111</v>
      </c>
    </row>
    <row r="24" spans="1:3" x14ac:dyDescent="0.35">
      <c r="B24" s="4"/>
    </row>
    <row r="25" spans="1:3" x14ac:dyDescent="0.35">
      <c r="B25" s="4"/>
    </row>
  </sheetData>
  <pageMargins left="0.75" right="0.75" top="1" bottom="1" header="0.5" footer="0.5"/>
  <pageSetup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4"/>
  <sheetViews>
    <sheetView topLeftCell="A40" workbookViewId="0">
      <selection activeCell="H4" sqref="H4"/>
    </sheetView>
  </sheetViews>
  <sheetFormatPr defaultRowHeight="15.5" x14ac:dyDescent="0.35"/>
  <cols>
    <col min="1" max="1" width="37.33203125" bestFit="1" customWidth="1"/>
    <col min="2" max="6" width="9.5" bestFit="1" customWidth="1"/>
  </cols>
  <sheetData>
    <row r="2" spans="1:8" x14ac:dyDescent="0.35">
      <c r="A2" s="117" t="s">
        <v>144</v>
      </c>
      <c r="B2" s="33">
        <v>2017</v>
      </c>
      <c r="C2" s="33">
        <v>2018</v>
      </c>
      <c r="D2" s="33">
        <v>2019</v>
      </c>
      <c r="E2" s="33">
        <v>2020</v>
      </c>
      <c r="F2" s="33">
        <v>2021</v>
      </c>
    </row>
    <row r="3" spans="1:8" x14ac:dyDescent="0.35">
      <c r="A3" s="3" t="s">
        <v>179</v>
      </c>
      <c r="B3" s="34">
        <f>'Income Statement'!B8</f>
        <v>8609</v>
      </c>
      <c r="C3" s="34">
        <f>'Income Statement'!C8</f>
        <v>9233</v>
      </c>
      <c r="D3" s="34">
        <f>'Income Statement'!D8</f>
        <v>10079</v>
      </c>
      <c r="E3" s="34">
        <f>'Income Statement'!E8</f>
        <v>10417</v>
      </c>
      <c r="F3" s="34">
        <f>'Income Statement'!F8</f>
        <v>11430</v>
      </c>
      <c r="H3" s="35"/>
    </row>
    <row r="4" spans="1:8" x14ac:dyDescent="0.35">
      <c r="A4" s="3" t="s">
        <v>62</v>
      </c>
      <c r="B4" s="34">
        <v>8582</v>
      </c>
      <c r="C4" s="34">
        <v>9143</v>
      </c>
      <c r="D4" s="34">
        <v>9673</v>
      </c>
      <c r="E4" s="34">
        <v>9821</v>
      </c>
      <c r="F4" s="34">
        <v>10631</v>
      </c>
    </row>
    <row r="5" spans="1:8" x14ac:dyDescent="0.35">
      <c r="A5" s="3" t="s">
        <v>63</v>
      </c>
      <c r="B5" s="34">
        <v>27</v>
      </c>
      <c r="C5" s="34">
        <v>90</v>
      </c>
      <c r="D5" s="34">
        <v>406</v>
      </c>
      <c r="E5" s="34">
        <v>596</v>
      </c>
      <c r="F5" s="34">
        <v>799</v>
      </c>
    </row>
    <row r="6" spans="1:8" x14ac:dyDescent="0.35">
      <c r="A6" s="3" t="s">
        <v>64</v>
      </c>
      <c r="B6" s="137">
        <v>181</v>
      </c>
      <c r="C6" s="137">
        <v>285</v>
      </c>
      <c r="D6" s="137">
        <v>651</v>
      </c>
      <c r="E6" s="137">
        <v>816</v>
      </c>
      <c r="F6" s="137">
        <v>1089</v>
      </c>
    </row>
    <row r="8" spans="1:8" x14ac:dyDescent="0.35">
      <c r="A8" s="116" t="s">
        <v>145</v>
      </c>
      <c r="B8" s="33">
        <v>2017</v>
      </c>
      <c r="C8" s="33">
        <v>2018</v>
      </c>
      <c r="D8" s="33">
        <v>2019</v>
      </c>
      <c r="E8" s="33">
        <v>2020</v>
      </c>
      <c r="F8" s="33">
        <v>2021</v>
      </c>
    </row>
    <row r="9" spans="1:8" x14ac:dyDescent="0.35">
      <c r="A9" t="s">
        <v>83</v>
      </c>
      <c r="B9">
        <f>B6/B3</f>
        <v>2.1024509234522013E-2</v>
      </c>
      <c r="C9">
        <f t="shared" ref="C9:E9" si="0">C6/C3</f>
        <v>3.0867540344416765E-2</v>
      </c>
      <c r="D9">
        <f t="shared" si="0"/>
        <v>6.4589741045738669E-2</v>
      </c>
      <c r="E9">
        <f t="shared" si="0"/>
        <v>7.8333493328213502E-2</v>
      </c>
      <c r="F9">
        <f>F6/F3</f>
        <v>9.5275590551181108E-2</v>
      </c>
    </row>
    <row r="10" spans="1:8" x14ac:dyDescent="0.35">
      <c r="A10" t="s">
        <v>32</v>
      </c>
      <c r="B10">
        <v>7350</v>
      </c>
      <c r="C10">
        <v>7952</v>
      </c>
      <c r="D10">
        <v>8476</v>
      </c>
      <c r="E10">
        <v>9145</v>
      </c>
      <c r="F10">
        <v>9847</v>
      </c>
    </row>
    <row r="11" spans="1:8" x14ac:dyDescent="0.35">
      <c r="A11" t="s">
        <v>84</v>
      </c>
      <c r="B11" s="138">
        <f>B3/B10</f>
        <v>1.1712925170068027</v>
      </c>
      <c r="C11" s="138">
        <f t="shared" ref="C11:F11" si="1">C3/C10</f>
        <v>1.1610915492957747</v>
      </c>
      <c r="D11" s="138">
        <f t="shared" si="1"/>
        <v>1.1891222274657858</v>
      </c>
      <c r="E11" s="138">
        <f t="shared" si="1"/>
        <v>1.1390924002186988</v>
      </c>
      <c r="F11" s="138">
        <f t="shared" si="1"/>
        <v>1.1607596222199654</v>
      </c>
    </row>
    <row r="12" spans="1:8" x14ac:dyDescent="0.35">
      <c r="A12" t="s">
        <v>196</v>
      </c>
      <c r="B12" s="138">
        <v>4300</v>
      </c>
      <c r="C12" s="138">
        <v>4585</v>
      </c>
      <c r="D12" s="138">
        <v>4521</v>
      </c>
      <c r="E12" s="138">
        <v>4978</v>
      </c>
      <c r="F12" s="138">
        <v>5413</v>
      </c>
    </row>
    <row r="13" spans="1:8" x14ac:dyDescent="0.35">
      <c r="A13" t="s">
        <v>85</v>
      </c>
      <c r="B13" s="138">
        <f>B6/B10</f>
        <v>2.4625850340136056E-2</v>
      </c>
      <c r="C13" s="138">
        <f t="shared" ref="C13:F13" si="2">C6/C10</f>
        <v>3.5840040241448691E-2</v>
      </c>
      <c r="D13" s="138">
        <f t="shared" si="2"/>
        <v>7.6805096743747053E-2</v>
      </c>
      <c r="E13" s="138">
        <f t="shared" si="2"/>
        <v>8.922908693275014E-2</v>
      </c>
      <c r="F13" s="138">
        <f t="shared" si="2"/>
        <v>0.11059205849497308</v>
      </c>
    </row>
    <row r="14" spans="1:8" x14ac:dyDescent="0.35">
      <c r="A14" t="s">
        <v>86</v>
      </c>
      <c r="B14">
        <f>B6/B12</f>
        <v>4.2093023255813954E-2</v>
      </c>
      <c r="C14">
        <f t="shared" ref="C14:F14" si="3">C6/C12</f>
        <v>6.2159214830970554E-2</v>
      </c>
      <c r="D14">
        <f t="shared" si="3"/>
        <v>0.14399469143994692</v>
      </c>
      <c r="E14">
        <f t="shared" si="3"/>
        <v>0.16392125351546805</v>
      </c>
      <c r="F14">
        <f t="shared" si="3"/>
        <v>0.20118233881396638</v>
      </c>
    </row>
    <row r="16" spans="1:8" x14ac:dyDescent="0.35">
      <c r="A16" s="118" t="s">
        <v>146</v>
      </c>
      <c r="B16" s="33">
        <v>2017</v>
      </c>
      <c r="C16" s="33">
        <v>2018</v>
      </c>
      <c r="D16" s="33">
        <v>2019</v>
      </c>
      <c r="E16" s="33">
        <v>2020</v>
      </c>
      <c r="F16" s="33">
        <v>2021</v>
      </c>
    </row>
    <row r="17" spans="1:6" x14ac:dyDescent="0.35">
      <c r="A17" t="s">
        <v>197</v>
      </c>
      <c r="B17">
        <v>1830</v>
      </c>
      <c r="C17">
        <v>1912</v>
      </c>
      <c r="D17">
        <v>2176</v>
      </c>
      <c r="E17">
        <v>2595</v>
      </c>
      <c r="F17">
        <v>3187</v>
      </c>
    </row>
    <row r="18" spans="1:6" x14ac:dyDescent="0.35">
      <c r="A18" t="s">
        <v>198</v>
      </c>
      <c r="B18">
        <v>650</v>
      </c>
      <c r="C18">
        <v>587</v>
      </c>
      <c r="D18">
        <v>655</v>
      </c>
      <c r="E18">
        <v>667</v>
      </c>
      <c r="F18">
        <v>684</v>
      </c>
    </row>
    <row r="19" spans="1:6" x14ac:dyDescent="0.35">
      <c r="A19" t="s">
        <v>87</v>
      </c>
      <c r="B19">
        <f>B17/B18</f>
        <v>2.8153846153846156</v>
      </c>
      <c r="C19">
        <f t="shared" ref="C19:F19" si="4">C17/C18</f>
        <v>3.2572402044293014</v>
      </c>
      <c r="D19">
        <f t="shared" si="4"/>
        <v>3.3221374045801526</v>
      </c>
      <c r="E19">
        <f t="shared" si="4"/>
        <v>3.8905547226386807</v>
      </c>
      <c r="F19">
        <f t="shared" si="4"/>
        <v>4.6593567251461989</v>
      </c>
    </row>
    <row r="20" spans="1:6" x14ac:dyDescent="0.35">
      <c r="A20" t="s">
        <v>88</v>
      </c>
      <c r="B20">
        <v>71.577133349179945</v>
      </c>
      <c r="C20">
        <v>69.378483835005568</v>
      </c>
      <c r="D20">
        <v>72.477363655506423</v>
      </c>
      <c r="E20">
        <v>85.771025614435345</v>
      </c>
      <c r="F20">
        <v>99.367518912189993</v>
      </c>
    </row>
    <row r="21" spans="1:6" x14ac:dyDescent="0.35">
      <c r="A21" t="s">
        <v>89</v>
      </c>
      <c r="B21">
        <f>B17-B18</f>
        <v>1180</v>
      </c>
      <c r="C21">
        <f t="shared" ref="C21:F21" si="5">C17-C18</f>
        <v>1325</v>
      </c>
      <c r="D21">
        <f t="shared" si="5"/>
        <v>1521</v>
      </c>
      <c r="E21">
        <f t="shared" si="5"/>
        <v>1928</v>
      </c>
      <c r="F21">
        <f t="shared" si="5"/>
        <v>2503</v>
      </c>
    </row>
    <row r="23" spans="1:6" x14ac:dyDescent="0.35">
      <c r="A23" s="118" t="s">
        <v>147</v>
      </c>
      <c r="B23" s="33">
        <v>2017</v>
      </c>
      <c r="C23" s="33">
        <v>2018</v>
      </c>
      <c r="D23" s="33">
        <v>2019</v>
      </c>
      <c r="E23" s="33">
        <v>2020</v>
      </c>
      <c r="F23" s="33">
        <v>2021</v>
      </c>
    </row>
    <row r="24" spans="1:6" x14ac:dyDescent="0.35">
      <c r="A24" s="142" t="s">
        <v>208</v>
      </c>
      <c r="B24" s="33">
        <v>3050</v>
      </c>
      <c r="C24" s="33">
        <v>3587</v>
      </c>
      <c r="D24" s="33">
        <v>3955</v>
      </c>
      <c r="E24" s="33">
        <v>4167</v>
      </c>
      <c r="F24" s="33">
        <v>4434</v>
      </c>
    </row>
    <row r="25" spans="1:6" x14ac:dyDescent="0.35">
      <c r="A25" t="s">
        <v>90</v>
      </c>
      <c r="B25">
        <f>B24/B10</f>
        <v>0.41496598639455784</v>
      </c>
      <c r="C25">
        <f t="shared" ref="C25:F25" si="6">C24/C10</f>
        <v>0.45108148893360162</v>
      </c>
      <c r="D25">
        <f t="shared" si="6"/>
        <v>0.46661160924964606</v>
      </c>
      <c r="E25">
        <f t="shared" si="6"/>
        <v>0.45565882996172774</v>
      </c>
      <c r="F25">
        <f t="shared" si="6"/>
        <v>0.45028942825225959</v>
      </c>
    </row>
    <row r="26" spans="1:6" x14ac:dyDescent="0.35">
      <c r="A26" t="s">
        <v>91</v>
      </c>
      <c r="B26">
        <v>1.19</v>
      </c>
      <c r="C26">
        <v>1.62</v>
      </c>
      <c r="D26">
        <v>3.64</v>
      </c>
      <c r="E26">
        <v>4.33</v>
      </c>
      <c r="F26">
        <v>5.04</v>
      </c>
    </row>
    <row r="28" spans="1:6" x14ac:dyDescent="0.35">
      <c r="A28" s="118" t="s">
        <v>141</v>
      </c>
      <c r="B28">
        <v>2017</v>
      </c>
      <c r="C28">
        <v>2018</v>
      </c>
      <c r="D28">
        <v>2019</v>
      </c>
      <c r="E28">
        <v>2020</v>
      </c>
      <c r="F28">
        <v>2021</v>
      </c>
    </row>
    <row r="29" spans="1:6" x14ac:dyDescent="0.35">
      <c r="A29" s="142" t="s">
        <v>211</v>
      </c>
      <c r="B29">
        <v>181</v>
      </c>
      <c r="C29">
        <v>285</v>
      </c>
      <c r="D29">
        <v>651</v>
      </c>
      <c r="E29">
        <v>816</v>
      </c>
      <c r="F29">
        <v>1089</v>
      </c>
    </row>
    <row r="30" spans="1:6" x14ac:dyDescent="0.35">
      <c r="A30" s="142" t="s">
        <v>212</v>
      </c>
      <c r="B30">
        <v>8609</v>
      </c>
      <c r="C30">
        <v>9233</v>
      </c>
      <c r="D30">
        <v>10079</v>
      </c>
      <c r="E30">
        <v>10417</v>
      </c>
      <c r="F30">
        <v>11430</v>
      </c>
    </row>
    <row r="31" spans="1:6" x14ac:dyDescent="0.35">
      <c r="A31" t="s">
        <v>142</v>
      </c>
      <c r="B31">
        <f>B29/B30</f>
        <v>2.1024509234522013E-2</v>
      </c>
      <c r="C31">
        <f t="shared" ref="C31:F31" si="7">C29/C30</f>
        <v>3.0867540344416765E-2</v>
      </c>
      <c r="D31">
        <f t="shared" si="7"/>
        <v>6.4589741045738669E-2</v>
      </c>
      <c r="E31">
        <f t="shared" si="7"/>
        <v>7.8333493328213502E-2</v>
      </c>
      <c r="F31">
        <f t="shared" si="7"/>
        <v>9.5275590551181108E-2</v>
      </c>
    </row>
    <row r="32" spans="1:6" x14ac:dyDescent="0.35">
      <c r="A32" t="s">
        <v>84</v>
      </c>
      <c r="B32">
        <f>'Income Statement'!B8/'Balance Sheet'!B15</f>
        <v>1.1712925170068027</v>
      </c>
      <c r="C32">
        <f>'Income Statement'!C8/'Balance Sheet'!C15</f>
        <v>1.1610915492957747</v>
      </c>
      <c r="D32">
        <f>'Income Statement'!D8/'Balance Sheet'!D15</f>
        <v>1.1891222274657858</v>
      </c>
      <c r="E32">
        <f>'Income Statement'!E8/'Balance Sheet'!E15</f>
        <v>1.1390924002186988</v>
      </c>
      <c r="F32">
        <f>'Income Statement'!F8/'Balance Sheet'!F15</f>
        <v>1.1607596222199654</v>
      </c>
    </row>
    <row r="33" spans="1:6" x14ac:dyDescent="0.35">
      <c r="A33" t="s">
        <v>143</v>
      </c>
      <c r="B33">
        <f>'Balance Sheet'!B15/'Balance Sheet'!B29</f>
        <v>1.7093023255813953</v>
      </c>
      <c r="C33">
        <f>'Balance Sheet'!C15/'Balance Sheet'!C29</f>
        <v>1.7343511450381679</v>
      </c>
      <c r="D33">
        <f>'Balance Sheet'!D15/'Balance Sheet'!D29</f>
        <v>1.8748064587480646</v>
      </c>
      <c r="E33">
        <f>'Balance Sheet'!E15/'Balance Sheet'!E29</f>
        <v>1.8370831659300924</v>
      </c>
      <c r="F33">
        <f>'Balance Sheet'!F15/'Balance Sheet'!F29</f>
        <v>1.8191391095510807</v>
      </c>
    </row>
    <row r="34" spans="1:6" x14ac:dyDescent="0.35">
      <c r="A34" t="s">
        <v>140</v>
      </c>
      <c r="B34">
        <f>B31*B32*B33</f>
        <v>4.2093023255813954E-2</v>
      </c>
      <c r="C34">
        <f t="shared" ref="C34:F34" si="8">C31*C32*C33</f>
        <v>6.2159214830970554E-2</v>
      </c>
      <c r="D34">
        <f t="shared" si="8"/>
        <v>0.14399469143994692</v>
      </c>
      <c r="E34">
        <f t="shared" si="8"/>
        <v>0.16392125351546807</v>
      </c>
      <c r="F34">
        <f t="shared" si="8"/>
        <v>0.20118233881396638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B13" sqref="B13:F13"/>
    </sheetView>
  </sheetViews>
  <sheetFormatPr defaultRowHeight="15.5" x14ac:dyDescent="0.35"/>
  <cols>
    <col min="1" max="1" width="30.08203125" customWidth="1"/>
  </cols>
  <sheetData>
    <row r="1" spans="1:6" x14ac:dyDescent="0.35">
      <c r="B1">
        <v>2017</v>
      </c>
      <c r="C1">
        <v>2018</v>
      </c>
      <c r="D1">
        <v>2019</v>
      </c>
      <c r="E1">
        <v>2020</v>
      </c>
      <c r="F1">
        <v>2021</v>
      </c>
    </row>
    <row r="2" spans="1:6" x14ac:dyDescent="0.35">
      <c r="A2" t="s">
        <v>199</v>
      </c>
      <c r="B2" s="4">
        <f>'Balance Sheet'!B9-('Balance Sheet'!B7+'Balance Sheet'!B8+'Balance Sheet'!B11)</f>
        <v>1050</v>
      </c>
      <c r="C2" s="4">
        <f>'Balance Sheet'!C9-('Balance Sheet'!C7+'Balance Sheet'!C8+'Balance Sheet'!C11)</f>
        <v>695</v>
      </c>
      <c r="D2" s="4">
        <f>'Balance Sheet'!D9-('Balance Sheet'!D7+'Balance Sheet'!D8+'Balance Sheet'!D11)</f>
        <v>686</v>
      </c>
      <c r="E2" s="4">
        <f>'Balance Sheet'!E9-('Balance Sheet'!E7+'Balance Sheet'!E8+'Balance Sheet'!E11)</f>
        <v>966</v>
      </c>
      <c r="F2" s="4">
        <f>'Balance Sheet'!F9-('Balance Sheet'!F7+'Balance Sheet'!F8+'Balance Sheet'!F11)</f>
        <v>1333</v>
      </c>
    </row>
    <row r="3" spans="1:6" x14ac:dyDescent="0.35">
      <c r="A3" t="s">
        <v>200</v>
      </c>
      <c r="B3">
        <v>600</v>
      </c>
      <c r="C3">
        <v>1010</v>
      </c>
      <c r="D3">
        <v>1200</v>
      </c>
      <c r="E3">
        <v>1300</v>
      </c>
      <c r="F3">
        <v>1510</v>
      </c>
    </row>
    <row r="4" spans="1:6" x14ac:dyDescent="0.35">
      <c r="A4" t="s">
        <v>202</v>
      </c>
      <c r="B4">
        <v>8582</v>
      </c>
      <c r="C4">
        <v>9143</v>
      </c>
      <c r="D4">
        <v>9673</v>
      </c>
      <c r="E4">
        <v>9821</v>
      </c>
      <c r="F4">
        <v>10631</v>
      </c>
    </row>
    <row r="5" spans="1:6" x14ac:dyDescent="0.35">
      <c r="A5" t="s">
        <v>201</v>
      </c>
      <c r="B5">
        <v>168</v>
      </c>
      <c r="C5">
        <v>173</v>
      </c>
      <c r="D5">
        <v>175</v>
      </c>
      <c r="E5">
        <v>178</v>
      </c>
      <c r="F5">
        <v>188</v>
      </c>
    </row>
    <row r="6" spans="1:6" x14ac:dyDescent="0.35">
      <c r="A6" t="s">
        <v>203</v>
      </c>
      <c r="B6" s="4">
        <f>B2+B3</f>
        <v>1650</v>
      </c>
      <c r="C6" s="4">
        <f t="shared" ref="C6:F6" si="0">C2+C3</f>
        <v>1705</v>
      </c>
      <c r="D6" s="4">
        <f t="shared" si="0"/>
        <v>1886</v>
      </c>
      <c r="E6" s="4">
        <f t="shared" si="0"/>
        <v>2266</v>
      </c>
      <c r="F6" s="4">
        <f t="shared" si="0"/>
        <v>2843</v>
      </c>
    </row>
    <row r="7" spans="1:6" x14ac:dyDescent="0.35">
      <c r="A7" t="s">
        <v>206</v>
      </c>
      <c r="B7">
        <f>B4-B5</f>
        <v>8414</v>
      </c>
      <c r="C7">
        <f t="shared" ref="C7:F7" si="1">C4-C5</f>
        <v>8970</v>
      </c>
      <c r="D7">
        <f t="shared" si="1"/>
        <v>9498</v>
      </c>
      <c r="E7">
        <f t="shared" si="1"/>
        <v>9643</v>
      </c>
      <c r="F7">
        <f t="shared" si="1"/>
        <v>10443</v>
      </c>
    </row>
    <row r="8" spans="1:6" x14ac:dyDescent="0.35">
      <c r="A8" t="s">
        <v>205</v>
      </c>
      <c r="B8">
        <v>365</v>
      </c>
      <c r="C8">
        <v>365</v>
      </c>
      <c r="D8">
        <v>365</v>
      </c>
      <c r="E8">
        <v>365</v>
      </c>
      <c r="F8">
        <v>365</v>
      </c>
    </row>
    <row r="9" spans="1:6" x14ac:dyDescent="0.35">
      <c r="A9" t="s">
        <v>204</v>
      </c>
      <c r="B9">
        <f>B7/B8</f>
        <v>23.052054794520547</v>
      </c>
      <c r="C9">
        <f t="shared" ref="C9:F9" si="2">C7/C8</f>
        <v>24.575342465753426</v>
      </c>
      <c r="D9">
        <f t="shared" si="2"/>
        <v>26.021917808219179</v>
      </c>
      <c r="E9">
        <f t="shared" si="2"/>
        <v>26.419178082191781</v>
      </c>
      <c r="F9">
        <f t="shared" si="2"/>
        <v>28.610958904109587</v>
      </c>
    </row>
    <row r="10" spans="1:6" x14ac:dyDescent="0.35">
      <c r="A10" t="s">
        <v>207</v>
      </c>
      <c r="B10" s="141">
        <f>B6/B9</f>
        <v>71.577133349179945</v>
      </c>
      <c r="C10" s="141">
        <f t="shared" ref="C10:F10" si="3">C6/C9</f>
        <v>69.378483835005568</v>
      </c>
      <c r="D10" s="141">
        <f t="shared" si="3"/>
        <v>72.477363655506423</v>
      </c>
      <c r="E10" s="141">
        <f t="shared" si="3"/>
        <v>85.771025614435345</v>
      </c>
      <c r="F10" s="141">
        <f t="shared" si="3"/>
        <v>99.367518912189993</v>
      </c>
    </row>
    <row r="11" spans="1:6" x14ac:dyDescent="0.35">
      <c r="A11" t="s">
        <v>209</v>
      </c>
      <c r="B11" s="4">
        <f>'Income Statement'!B21+'Income Statement'!B16</f>
        <v>169</v>
      </c>
      <c r="C11" s="4">
        <f>'Income Statement'!C21+'Income Statement'!C16</f>
        <v>236</v>
      </c>
      <c r="D11" s="4">
        <f>'Income Statement'!D21+'Income Statement'!D16</f>
        <v>560</v>
      </c>
      <c r="E11" s="4">
        <f>'Income Statement'!E21+'Income Statement'!E16</f>
        <v>775</v>
      </c>
      <c r="F11" s="4">
        <f>'Income Statement'!F21+'Income Statement'!F16</f>
        <v>997</v>
      </c>
    </row>
    <row r="12" spans="1:6" x14ac:dyDescent="0.35">
      <c r="A12" t="s">
        <v>210</v>
      </c>
      <c r="B12">
        <v>142</v>
      </c>
      <c r="C12">
        <v>146</v>
      </c>
      <c r="D12">
        <v>154</v>
      </c>
      <c r="E12">
        <v>179</v>
      </c>
      <c r="F12">
        <v>198</v>
      </c>
    </row>
    <row r="13" spans="1:6" x14ac:dyDescent="0.35">
      <c r="A13" t="s">
        <v>91</v>
      </c>
      <c r="B13" s="141">
        <f>B11/B12</f>
        <v>1.1901408450704225</v>
      </c>
      <c r="C13" s="141">
        <f t="shared" ref="C13:F13" si="4">C11/C12</f>
        <v>1.6164383561643836</v>
      </c>
      <c r="D13" s="141">
        <f t="shared" si="4"/>
        <v>3.6363636363636362</v>
      </c>
      <c r="E13" s="141">
        <f t="shared" si="4"/>
        <v>4.3296089385474863</v>
      </c>
      <c r="F13" s="141">
        <f t="shared" si="4"/>
        <v>5.0353535353535355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topLeftCell="A15" workbookViewId="0">
      <selection activeCell="D26" sqref="D26"/>
    </sheetView>
  </sheetViews>
  <sheetFormatPr defaultColWidth="7.58203125" defaultRowHeight="14.5" x14ac:dyDescent="0.35"/>
  <cols>
    <col min="1" max="1" width="32.08203125" style="19" bestFit="1" customWidth="1"/>
    <col min="2" max="2" width="10" style="19" bestFit="1" customWidth="1"/>
    <col min="3" max="3" width="10.25" style="19" bestFit="1" customWidth="1"/>
    <col min="4" max="4" width="13.08203125" style="19" customWidth="1"/>
    <col min="5" max="6" width="10" style="19" bestFit="1" customWidth="1"/>
    <col min="7" max="7" width="11.08203125" style="19" bestFit="1" customWidth="1"/>
    <col min="8" max="16384" width="7.58203125" style="19"/>
  </cols>
  <sheetData>
    <row r="1" spans="1:7" s="18" customFormat="1" x14ac:dyDescent="0.35">
      <c r="B1" s="18" t="s">
        <v>65</v>
      </c>
      <c r="C1" s="18" t="s">
        <v>66</v>
      </c>
      <c r="D1" s="18" t="s">
        <v>67</v>
      </c>
      <c r="E1" s="18" t="s">
        <v>68</v>
      </c>
      <c r="F1" s="18" t="s">
        <v>69</v>
      </c>
      <c r="G1" s="18" t="s">
        <v>70</v>
      </c>
    </row>
    <row r="2" spans="1:7" ht="15.5" x14ac:dyDescent="0.35">
      <c r="A2" s="19" t="s">
        <v>71</v>
      </c>
      <c r="B2" s="20">
        <v>523800</v>
      </c>
      <c r="C2" s="20">
        <v>549990</v>
      </c>
      <c r="D2" s="20">
        <v>577490</v>
      </c>
      <c r="E2" s="20">
        <v>606364</v>
      </c>
      <c r="F2" s="20">
        <v>636682</v>
      </c>
      <c r="G2" s="20">
        <v>668516</v>
      </c>
    </row>
    <row r="3" spans="1:7" ht="15.5" x14ac:dyDescent="0.35">
      <c r="A3" s="19" t="s">
        <v>72</v>
      </c>
      <c r="B3" s="20">
        <v>400000</v>
      </c>
      <c r="C3" s="20">
        <v>800000</v>
      </c>
      <c r="D3" s="20">
        <v>848000</v>
      </c>
      <c r="E3" s="20">
        <v>900577</v>
      </c>
      <c r="F3" s="20">
        <v>955512</v>
      </c>
      <c r="G3" s="20">
        <v>1013798</v>
      </c>
    </row>
    <row r="4" spans="1:7" ht="15.5" x14ac:dyDescent="0.35">
      <c r="A4" s="19" t="s">
        <v>73</v>
      </c>
      <c r="B4" s="20">
        <v>150000</v>
      </c>
      <c r="C4" s="20">
        <v>154500</v>
      </c>
      <c r="D4" s="20">
        <v>159135</v>
      </c>
      <c r="E4" s="20">
        <v>163909</v>
      </c>
      <c r="F4" s="20">
        <v>168826</v>
      </c>
      <c r="G4" s="20">
        <v>173891</v>
      </c>
    </row>
    <row r="5" spans="1:7" ht="15.5" x14ac:dyDescent="0.35">
      <c r="A5" s="19" t="s">
        <v>74</v>
      </c>
      <c r="B5" s="20">
        <v>30000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</row>
    <row r="6" spans="1:7" ht="15.5" x14ac:dyDescent="0.35">
      <c r="A6" s="21" t="s">
        <v>75</v>
      </c>
      <c r="B6" s="22">
        <v>117000</v>
      </c>
      <c r="C6" s="22">
        <v>3510</v>
      </c>
      <c r="D6" s="22">
        <v>3510</v>
      </c>
      <c r="E6" s="22">
        <v>3510</v>
      </c>
      <c r="F6" s="22">
        <v>3510</v>
      </c>
      <c r="G6" s="22">
        <v>3510</v>
      </c>
    </row>
    <row r="7" spans="1:7" x14ac:dyDescent="0.35">
      <c r="A7" s="23" t="s">
        <v>76</v>
      </c>
      <c r="B7" s="24">
        <v>-420800</v>
      </c>
      <c r="C7" s="24">
        <v>92000</v>
      </c>
      <c r="D7" s="24">
        <v>107865</v>
      </c>
      <c r="E7" s="24">
        <v>126794</v>
      </c>
      <c r="F7" s="24">
        <v>146494</v>
      </c>
      <c r="G7" s="24">
        <v>167881</v>
      </c>
    </row>
    <row r="8" spans="1:7" x14ac:dyDescent="0.35">
      <c r="A8" s="23" t="s">
        <v>77</v>
      </c>
      <c r="B8" s="24">
        <v>-420800</v>
      </c>
      <c r="C8" s="24">
        <v>82882.88288288287</v>
      </c>
      <c r="D8" s="24">
        <v>87545.653761869966</v>
      </c>
      <c r="E8" s="24">
        <v>92710.680000672684</v>
      </c>
      <c r="F8" s="24">
        <v>96500.135326397649</v>
      </c>
      <c r="G8" s="24">
        <v>99629.202405798875</v>
      </c>
    </row>
    <row r="9" spans="1:7" x14ac:dyDescent="0.35">
      <c r="A9" s="23" t="s">
        <v>78</v>
      </c>
      <c r="B9" s="24">
        <v>38468.554377622029</v>
      </c>
      <c r="C9" s="140" t="s">
        <v>194</v>
      </c>
    </row>
    <row r="10" spans="1:7" x14ac:dyDescent="0.35">
      <c r="A10" s="23" t="s">
        <v>79</v>
      </c>
      <c r="B10" s="24">
        <v>0.14214618097039478</v>
      </c>
      <c r="C10" s="140" t="s">
        <v>194</v>
      </c>
    </row>
    <row r="11" spans="1:7" x14ac:dyDescent="0.35">
      <c r="A11" s="23" t="s">
        <v>80</v>
      </c>
      <c r="B11" s="24">
        <v>0.1295908731327744</v>
      </c>
    </row>
    <row r="12" spans="1:7" x14ac:dyDescent="0.35">
      <c r="A12" s="23" t="s">
        <v>81</v>
      </c>
      <c r="B12" s="24">
        <v>3.642627001788469</v>
      </c>
      <c r="C12" s="140" t="s">
        <v>193</v>
      </c>
    </row>
    <row r="13" spans="1:7" x14ac:dyDescent="0.35">
      <c r="A13" s="23" t="s">
        <v>82</v>
      </c>
      <c r="B13" s="24">
        <v>4.6138827427230016</v>
      </c>
      <c r="C13" s="140" t="s">
        <v>193</v>
      </c>
    </row>
    <row r="18" spans="1:7" ht="18.5" x14ac:dyDescent="0.45">
      <c r="A18" s="143" t="s">
        <v>148</v>
      </c>
      <c r="B18" s="144"/>
      <c r="C18" s="144"/>
      <c r="D18" s="144"/>
      <c r="E18" s="144"/>
      <c r="F18" s="144"/>
      <c r="G18" s="145"/>
    </row>
    <row r="19" spans="1:7" ht="108.5" x14ac:dyDescent="0.35">
      <c r="A19" s="119"/>
      <c r="B19" s="120" t="s">
        <v>149</v>
      </c>
      <c r="C19" s="121" t="s">
        <v>150</v>
      </c>
      <c r="D19" s="122" t="s">
        <v>151</v>
      </c>
      <c r="E19" s="123"/>
      <c r="F19" s="123"/>
      <c r="G19" s="124"/>
    </row>
    <row r="20" spans="1:7" ht="15.5" x14ac:dyDescent="0.35">
      <c r="A20" s="125"/>
      <c r="B20" s="126">
        <v>0</v>
      </c>
      <c r="C20" s="127">
        <v>-420800</v>
      </c>
      <c r="D20" s="127">
        <v>-420800</v>
      </c>
      <c r="E20" s="123"/>
      <c r="F20" s="123"/>
      <c r="G20" s="124"/>
    </row>
    <row r="21" spans="1:7" ht="15.5" x14ac:dyDescent="0.35">
      <c r="A21" s="128" t="s">
        <v>76</v>
      </c>
      <c r="B21" s="126">
        <v>1</v>
      </c>
      <c r="C21" s="127">
        <v>-337917</v>
      </c>
      <c r="D21" s="129">
        <v>-328800</v>
      </c>
      <c r="E21"/>
      <c r="F21"/>
      <c r="G21" s="130"/>
    </row>
    <row r="22" spans="1:7" ht="15.5" x14ac:dyDescent="0.35">
      <c r="A22" s="128" t="s">
        <v>152</v>
      </c>
      <c r="B22" s="126">
        <v>2</v>
      </c>
      <c r="C22" s="127">
        <v>-250371</v>
      </c>
      <c r="D22" s="127">
        <v>-220935</v>
      </c>
      <c r="E22" s="131"/>
      <c r="F22" s="131"/>
      <c r="G22" s="132"/>
    </row>
    <row r="23" spans="1:7" ht="15.5" x14ac:dyDescent="0.35">
      <c r="A23" s="128" t="s">
        <v>153</v>
      </c>
      <c r="B23" s="126">
        <v>3</v>
      </c>
      <c r="C23" s="127">
        <v>-157661</v>
      </c>
      <c r="D23" s="129">
        <v>-94141</v>
      </c>
      <c r="E23" s="131"/>
      <c r="F23" s="131"/>
      <c r="G23" s="132"/>
    </row>
    <row r="24" spans="1:7" ht="15.5" x14ac:dyDescent="0.35">
      <c r="A24" s="128"/>
      <c r="B24" s="126">
        <v>4</v>
      </c>
      <c r="C24" s="127">
        <v>-61160</v>
      </c>
      <c r="D24" s="127">
        <v>52353</v>
      </c>
      <c r="E24"/>
      <c r="F24"/>
      <c r="G24" s="132"/>
    </row>
    <row r="25" spans="1:7" ht="15.5" x14ac:dyDescent="0.35">
      <c r="A25" s="128"/>
      <c r="B25" s="126">
        <v>5</v>
      </c>
      <c r="C25" s="127">
        <v>38468.550000000003</v>
      </c>
      <c r="D25" s="133">
        <v>220234</v>
      </c>
      <c r="E25"/>
      <c r="F25"/>
      <c r="G25" s="130"/>
    </row>
    <row r="26" spans="1:7" ht="15.5" x14ac:dyDescent="0.35">
      <c r="A26" s="136"/>
      <c r="B26" s="146" t="s">
        <v>154</v>
      </c>
      <c r="C26" s="146"/>
      <c r="D26" s="19">
        <v>4.6100000000000003</v>
      </c>
      <c r="E26"/>
      <c r="F26"/>
      <c r="G26" s="130"/>
    </row>
    <row r="27" spans="1:7" ht="15.5" x14ac:dyDescent="0.35">
      <c r="A27" s="125"/>
      <c r="B27" s="134"/>
      <c r="C27" s="134"/>
      <c r="D27" s="134"/>
      <c r="E27" s="134"/>
      <c r="F27" s="134"/>
      <c r="G27" s="135"/>
    </row>
  </sheetData>
  <mergeCells count="2">
    <mergeCell ref="A18:G18"/>
    <mergeCell ref="B26:C26"/>
  </mergeCells>
  <pageMargins left="0.7" right="0.7" top="0.75" bottom="0.75" header="0.3" footer="0.3"/>
  <pageSetup scale="7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F10" sqref="F10"/>
    </sheetView>
  </sheetViews>
  <sheetFormatPr defaultRowHeight="15.5" x14ac:dyDescent="0.35"/>
  <cols>
    <col min="1" max="1" width="32.75" customWidth="1"/>
    <col min="2" max="2" width="10.5" bestFit="1" customWidth="1"/>
  </cols>
  <sheetData>
    <row r="1" spans="1:7" x14ac:dyDescent="0.35">
      <c r="B1" s="147" t="s">
        <v>195</v>
      </c>
      <c r="C1" s="147"/>
      <c r="D1" s="147"/>
      <c r="E1" s="147"/>
      <c r="F1" s="147"/>
      <c r="G1" s="147"/>
    </row>
    <row r="2" spans="1:7" x14ac:dyDescent="0.35">
      <c r="B2">
        <v>0</v>
      </c>
      <c r="C2">
        <v>1</v>
      </c>
      <c r="D2">
        <v>2</v>
      </c>
      <c r="E2">
        <v>3</v>
      </c>
      <c r="F2">
        <v>4</v>
      </c>
      <c r="G2">
        <v>5</v>
      </c>
    </row>
    <row r="3" spans="1:7" x14ac:dyDescent="0.35">
      <c r="A3" t="str">
        <f>'Part Two'!A3</f>
        <v>Forecasted ER Cost Reductions</v>
      </c>
      <c r="B3">
        <f>'Part Two'!B3</f>
        <v>400000</v>
      </c>
      <c r="C3">
        <f>'Part Two'!C3</f>
        <v>800000</v>
      </c>
      <c r="D3">
        <f>'Part Two'!D3</f>
        <v>848000</v>
      </c>
      <c r="E3">
        <f>'Part Two'!E3</f>
        <v>900577</v>
      </c>
      <c r="F3">
        <f>'Part Two'!F3</f>
        <v>955512</v>
      </c>
      <c r="G3">
        <f>'Part Two'!G3</f>
        <v>1013798</v>
      </c>
    </row>
    <row r="4" spans="1:7" x14ac:dyDescent="0.35">
      <c r="A4" t="str">
        <f>'Part Two'!A2</f>
        <v>Nurse Triage Salaries</v>
      </c>
      <c r="B4">
        <f>'Part Two'!B2</f>
        <v>523800</v>
      </c>
      <c r="C4">
        <f>'Part Two'!C2</f>
        <v>549990</v>
      </c>
      <c r="D4">
        <f>'Part Two'!D2</f>
        <v>577490</v>
      </c>
      <c r="E4">
        <f>'Part Two'!E2</f>
        <v>606364</v>
      </c>
      <c r="F4">
        <f>'Part Two'!F2</f>
        <v>636682</v>
      </c>
      <c r="G4">
        <f>'Part Two'!G2</f>
        <v>668516</v>
      </c>
    </row>
    <row r="5" spans="1:7" x14ac:dyDescent="0.35">
      <c r="A5" t="str">
        <f>'Part Two'!A4</f>
        <v>New IT Specialist's Salary</v>
      </c>
      <c r="B5">
        <f>'Part Two'!B4</f>
        <v>150000</v>
      </c>
      <c r="C5">
        <f>'Part Two'!C4</f>
        <v>154500</v>
      </c>
      <c r="D5">
        <f>'Part Two'!D4</f>
        <v>159135</v>
      </c>
      <c r="E5">
        <f>'Part Two'!E4</f>
        <v>163909</v>
      </c>
      <c r="F5">
        <f>'Part Two'!F4</f>
        <v>168826</v>
      </c>
      <c r="G5">
        <f>'Part Two'!G4</f>
        <v>173891</v>
      </c>
    </row>
    <row r="6" spans="1:7" x14ac:dyDescent="0.35">
      <c r="A6" t="str">
        <f>'Part Two'!A5</f>
        <v>Costs of Facility Renovations</v>
      </c>
      <c r="B6">
        <f>'Part Two'!B5</f>
        <v>30000</v>
      </c>
      <c r="C6">
        <f>'Part Two'!C5</f>
        <v>0</v>
      </c>
      <c r="D6">
        <f>'Part Two'!D5</f>
        <v>0</v>
      </c>
      <c r="E6">
        <f>'Part Two'!E5</f>
        <v>0</v>
      </c>
      <c r="F6">
        <f>'Part Two'!F5</f>
        <v>0</v>
      </c>
      <c r="G6">
        <f>'Part Two'!G5</f>
        <v>0</v>
      </c>
    </row>
    <row r="7" spans="1:7" x14ac:dyDescent="0.35">
      <c r="A7" t="str">
        <f>'Part Two'!A6</f>
        <v>Necessary Capital Equipment Purchases</v>
      </c>
      <c r="B7">
        <f>'Part Two'!B6</f>
        <v>117000</v>
      </c>
      <c r="C7">
        <f>'Part Two'!C6</f>
        <v>3510</v>
      </c>
      <c r="D7">
        <f>'Part Two'!D6</f>
        <v>3510</v>
      </c>
      <c r="E7">
        <f>'Part Two'!E6</f>
        <v>3510</v>
      </c>
      <c r="F7">
        <f>'Part Two'!F6</f>
        <v>3510</v>
      </c>
      <c r="G7">
        <f>'Part Two'!G6</f>
        <v>3510</v>
      </c>
    </row>
    <row r="8" spans="1:7" x14ac:dyDescent="0.35">
      <c r="A8" t="s">
        <v>183</v>
      </c>
      <c r="B8">
        <f>SUM(B4:B7)</f>
        <v>820800</v>
      </c>
      <c r="C8">
        <f t="shared" ref="C8:G8" si="0">SUM(C4:C7)</f>
        <v>708000</v>
      </c>
      <c r="D8">
        <f t="shared" si="0"/>
        <v>740135</v>
      </c>
      <c r="E8">
        <f t="shared" si="0"/>
        <v>773783</v>
      </c>
      <c r="F8">
        <f t="shared" si="0"/>
        <v>809018</v>
      </c>
      <c r="G8">
        <f t="shared" si="0"/>
        <v>845917</v>
      </c>
    </row>
    <row r="9" spans="1:7" x14ac:dyDescent="0.35">
      <c r="A9" t="s">
        <v>184</v>
      </c>
      <c r="B9">
        <f>B3-B8</f>
        <v>-420800</v>
      </c>
      <c r="C9">
        <f t="shared" ref="C9:G9" si="1">C3-C8</f>
        <v>92000</v>
      </c>
      <c r="D9">
        <f t="shared" si="1"/>
        <v>107865</v>
      </c>
      <c r="E9">
        <f t="shared" si="1"/>
        <v>126794</v>
      </c>
      <c r="F9">
        <f t="shared" si="1"/>
        <v>146494</v>
      </c>
      <c r="G9">
        <f t="shared" si="1"/>
        <v>167881</v>
      </c>
    </row>
    <row r="10" spans="1:7" x14ac:dyDescent="0.35">
      <c r="A10" t="s">
        <v>188</v>
      </c>
      <c r="B10">
        <f>B9</f>
        <v>-420800</v>
      </c>
      <c r="C10">
        <f>B10+C9</f>
        <v>-328800</v>
      </c>
      <c r="D10">
        <f t="shared" ref="D10:G10" si="2">C10+D9</f>
        <v>-220935</v>
      </c>
      <c r="E10">
        <f t="shared" si="2"/>
        <v>-94141</v>
      </c>
      <c r="F10">
        <f t="shared" si="2"/>
        <v>52353</v>
      </c>
      <c r="G10">
        <f t="shared" si="2"/>
        <v>220234</v>
      </c>
    </row>
    <row r="11" spans="1:7" x14ac:dyDescent="0.35">
      <c r="A11" t="s">
        <v>191</v>
      </c>
      <c r="B11">
        <f>3+ABS(E10)/F9</f>
        <v>3.642627001788469</v>
      </c>
    </row>
    <row r="12" spans="1:7" x14ac:dyDescent="0.35">
      <c r="A12" t="s">
        <v>185</v>
      </c>
      <c r="B12" s="138">
        <f>NPV(0.11,C9:G9)+B9</f>
        <v>38468.554377622029</v>
      </c>
    </row>
    <row r="13" spans="1:7" x14ac:dyDescent="0.35">
      <c r="A13" t="s">
        <v>186</v>
      </c>
      <c r="B13" s="139">
        <f>IRR(B9:G9)</f>
        <v>0.14214618097039478</v>
      </c>
    </row>
    <row r="14" spans="1:7" x14ac:dyDescent="0.35">
      <c r="A14" t="s">
        <v>187</v>
      </c>
      <c r="B14" s="139">
        <f>MIRR(B9:G9,0.11,0.11)</f>
        <v>0.1295908731327744</v>
      </c>
    </row>
    <row r="15" spans="1:7" x14ac:dyDescent="0.35">
      <c r="A15" t="s">
        <v>189</v>
      </c>
      <c r="B15">
        <f>B9/(1.11^B2)</f>
        <v>-420800</v>
      </c>
      <c r="C15">
        <f>C9/(1.11^C2)</f>
        <v>82882.88288288287</v>
      </c>
      <c r="D15">
        <f t="shared" ref="D15:G15" si="3">D9/(1.11^D2)</f>
        <v>87545.653761869966</v>
      </c>
      <c r="E15">
        <f t="shared" si="3"/>
        <v>92710.680000672684</v>
      </c>
      <c r="F15">
        <f t="shared" si="3"/>
        <v>96500.135326397649</v>
      </c>
      <c r="G15">
        <f t="shared" si="3"/>
        <v>99629.202405798875</v>
      </c>
    </row>
    <row r="16" spans="1:7" x14ac:dyDescent="0.35">
      <c r="A16" t="s">
        <v>190</v>
      </c>
      <c r="B16">
        <f>B15</f>
        <v>-420800</v>
      </c>
      <c r="C16">
        <f>B16+C15</f>
        <v>-337917.11711711716</v>
      </c>
      <c r="D16">
        <f t="shared" ref="D16:G16" si="4">C16+D15</f>
        <v>-250371.46335524719</v>
      </c>
      <c r="E16">
        <f t="shared" si="4"/>
        <v>-157660.78335457452</v>
      </c>
      <c r="F16">
        <f t="shared" si="4"/>
        <v>-61160.648028176875</v>
      </c>
      <c r="G16">
        <f t="shared" si="4"/>
        <v>38468.554377622</v>
      </c>
    </row>
    <row r="17" spans="1:2" x14ac:dyDescent="0.35">
      <c r="A17" t="s">
        <v>192</v>
      </c>
      <c r="B17">
        <f>4+ABS(F16)/G15</f>
        <v>4.6138827427230016</v>
      </c>
    </row>
  </sheetData>
  <mergeCells count="1">
    <mergeCell ref="B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8"/>
  <sheetViews>
    <sheetView topLeftCell="A12" zoomScaleNormal="100" workbookViewId="0">
      <selection activeCell="I21" sqref="I21:I31"/>
    </sheetView>
  </sheetViews>
  <sheetFormatPr defaultColWidth="7.83203125" defaultRowHeight="13" x14ac:dyDescent="0.35"/>
  <cols>
    <col min="1" max="1" width="22.58203125" style="60" customWidth="1"/>
    <col min="2" max="2" width="24.83203125" style="60" customWidth="1"/>
    <col min="3" max="3" width="11.08203125" style="60" customWidth="1"/>
    <col min="4" max="6" width="14.33203125" style="60" customWidth="1"/>
    <col min="7" max="7" width="25.83203125" style="60" customWidth="1"/>
    <col min="8" max="8" width="10" style="60" customWidth="1"/>
    <col min="9" max="9" width="18.83203125" style="60" customWidth="1"/>
    <col min="10" max="10" width="14.58203125" style="60" customWidth="1"/>
    <col min="11" max="11" width="16.75" style="60" customWidth="1"/>
    <col min="12" max="12" width="11.75" style="60" customWidth="1"/>
    <col min="13" max="13" width="10.58203125" style="60" customWidth="1"/>
    <col min="14" max="14" width="12.83203125" style="60" customWidth="1"/>
    <col min="15" max="15" width="14" style="60" customWidth="1"/>
    <col min="16" max="16" width="14.75" style="60" customWidth="1"/>
    <col min="17" max="17" width="20.25" style="60" customWidth="1"/>
    <col min="18" max="18" width="13.58203125" style="60" customWidth="1"/>
    <col min="19" max="19" width="27.33203125" style="60" customWidth="1"/>
    <col min="20" max="16384" width="7.83203125" style="60"/>
  </cols>
  <sheetData>
    <row r="1" spans="1:17" x14ac:dyDescent="0.35">
      <c r="A1" s="57"/>
      <c r="B1" s="58"/>
      <c r="C1" s="58"/>
      <c r="D1" s="58"/>
      <c r="E1" s="58"/>
      <c r="F1" s="58"/>
      <c r="G1" s="58"/>
      <c r="H1" s="58"/>
      <c r="I1" s="59"/>
      <c r="J1" s="59"/>
      <c r="K1" s="58"/>
      <c r="L1" s="58"/>
      <c r="P1" s="61"/>
      <c r="Q1" s="62"/>
    </row>
    <row r="2" spans="1:17" ht="24.75" customHeight="1" x14ac:dyDescent="0.35">
      <c r="A2" s="148" t="s">
        <v>213</v>
      </c>
      <c r="B2" s="149"/>
      <c r="C2" s="149"/>
      <c r="D2" s="149"/>
      <c r="E2" s="149"/>
      <c r="F2" s="149"/>
      <c r="G2" s="149"/>
      <c r="H2" s="149"/>
      <c r="I2" s="149"/>
      <c r="J2" s="63"/>
      <c r="K2" s="63"/>
      <c r="L2" s="63"/>
      <c r="P2" s="61"/>
    </row>
    <row r="3" spans="1:17" x14ac:dyDescent="0.3">
      <c r="A3" s="64" t="s">
        <v>123</v>
      </c>
      <c r="B3" s="65"/>
      <c r="C3" s="66"/>
      <c r="D3" s="67"/>
      <c r="E3" s="66"/>
      <c r="F3" s="66"/>
      <c r="G3" s="67"/>
      <c r="H3" s="68"/>
      <c r="I3" s="68"/>
      <c r="J3" s="69"/>
      <c r="K3" s="70"/>
      <c r="L3" s="71"/>
    </row>
    <row r="4" spans="1:17" ht="37.5" x14ac:dyDescent="0.35">
      <c r="A4" s="72" t="s">
        <v>104</v>
      </c>
      <c r="B4" s="73" t="s">
        <v>158</v>
      </c>
      <c r="C4" s="73" t="s">
        <v>159</v>
      </c>
      <c r="D4" s="74" t="s">
        <v>160</v>
      </c>
      <c r="E4" s="75" t="s">
        <v>162</v>
      </c>
      <c r="F4" s="76" t="s">
        <v>163</v>
      </c>
      <c r="G4" s="73" t="s">
        <v>164</v>
      </c>
      <c r="H4" s="72" t="s">
        <v>165</v>
      </c>
      <c r="I4" s="77" t="s">
        <v>166</v>
      </c>
    </row>
    <row r="5" spans="1:17" ht="12" customHeight="1" x14ac:dyDescent="0.35">
      <c r="A5" s="45" t="s">
        <v>106</v>
      </c>
      <c r="B5" s="78">
        <f>D5/C5</f>
        <v>5478.8093023255815</v>
      </c>
      <c r="C5" s="79">
        <v>645</v>
      </c>
      <c r="D5" s="80">
        <v>3533832</v>
      </c>
      <c r="E5" s="81">
        <v>677</v>
      </c>
      <c r="F5" s="82">
        <f>G5/E5</f>
        <v>5807.539143279173</v>
      </c>
      <c r="G5" s="83">
        <v>3931704</v>
      </c>
      <c r="H5" s="79">
        <v>197</v>
      </c>
      <c r="I5" s="80">
        <f>F5*H5</f>
        <v>1144085.2112259972</v>
      </c>
      <c r="J5" s="84"/>
    </row>
    <row r="6" spans="1:17" ht="12" customHeight="1" x14ac:dyDescent="0.35">
      <c r="A6" s="45" t="s">
        <v>107</v>
      </c>
      <c r="B6" s="78">
        <f t="shared" ref="B6:B15" si="0">D6/C6</f>
        <v>5478.8110599078345</v>
      </c>
      <c r="C6" s="79">
        <v>217</v>
      </c>
      <c r="D6" s="80">
        <v>1188902</v>
      </c>
      <c r="E6" s="81">
        <v>228</v>
      </c>
      <c r="F6" s="82">
        <f t="shared" ref="F6:F15" si="1">G6/E6</f>
        <v>5807.5394736842109</v>
      </c>
      <c r="G6" s="83">
        <v>1324119</v>
      </c>
      <c r="H6" s="79">
        <v>112</v>
      </c>
      <c r="I6" s="80">
        <f t="shared" ref="I6:I15" si="2">F6*H6</f>
        <v>650444.42105263157</v>
      </c>
      <c r="J6" s="84"/>
    </row>
    <row r="7" spans="1:17" ht="12" customHeight="1" x14ac:dyDescent="0.35">
      <c r="A7" s="45" t="s">
        <v>108</v>
      </c>
      <c r="B7" s="78">
        <f t="shared" si="0"/>
        <v>5476.809954751131</v>
      </c>
      <c r="C7" s="85">
        <v>1105</v>
      </c>
      <c r="D7" s="80">
        <v>6051875</v>
      </c>
      <c r="E7" s="86">
        <v>1161</v>
      </c>
      <c r="F7" s="82">
        <f t="shared" si="1"/>
        <v>5802.9181739879414</v>
      </c>
      <c r="G7" s="83">
        <v>6737188</v>
      </c>
      <c r="H7" s="79">
        <v>636</v>
      </c>
      <c r="I7" s="80">
        <f t="shared" si="2"/>
        <v>3690655.9586563306</v>
      </c>
      <c r="J7" s="84"/>
    </row>
    <row r="8" spans="1:17" ht="12" customHeight="1" x14ac:dyDescent="0.35">
      <c r="A8" s="45" t="s">
        <v>109</v>
      </c>
      <c r="B8" s="78">
        <f t="shared" si="0"/>
        <v>5478.8076923076924</v>
      </c>
      <c r="C8" s="79">
        <v>208</v>
      </c>
      <c r="D8" s="80">
        <v>1139592</v>
      </c>
      <c r="E8" s="81">
        <v>219</v>
      </c>
      <c r="F8" s="82">
        <f t="shared" si="1"/>
        <v>5794.278538812785</v>
      </c>
      <c r="G8" s="83">
        <v>1268947</v>
      </c>
      <c r="H8" s="79">
        <v>116</v>
      </c>
      <c r="I8" s="80">
        <f t="shared" si="2"/>
        <v>672136.31050228304</v>
      </c>
      <c r="J8" s="84"/>
    </row>
    <row r="9" spans="1:17" ht="12" customHeight="1" x14ac:dyDescent="0.35">
      <c r="A9" s="45" t="s">
        <v>110</v>
      </c>
      <c r="B9" s="78">
        <f t="shared" si="0"/>
        <v>5475.8101449275364</v>
      </c>
      <c r="C9" s="79">
        <v>690</v>
      </c>
      <c r="D9" s="80">
        <v>3778309</v>
      </c>
      <c r="E9" s="81">
        <v>724</v>
      </c>
      <c r="F9" s="82">
        <f t="shared" si="1"/>
        <v>5804.3591160220994</v>
      </c>
      <c r="G9" s="83">
        <v>4202356</v>
      </c>
      <c r="H9" s="79">
        <v>421</v>
      </c>
      <c r="I9" s="80">
        <f t="shared" si="2"/>
        <v>2443635.1878453037</v>
      </c>
      <c r="J9" s="84"/>
    </row>
    <row r="10" spans="1:17" ht="12" customHeight="1" x14ac:dyDescent="0.35">
      <c r="A10" s="45" t="s">
        <v>111</v>
      </c>
      <c r="B10" s="78">
        <f t="shared" si="0"/>
        <v>498.78010878010878</v>
      </c>
      <c r="C10" s="85">
        <v>1287</v>
      </c>
      <c r="D10" s="80">
        <v>641930</v>
      </c>
      <c r="E10" s="86">
        <v>1351</v>
      </c>
      <c r="F10" s="82">
        <f t="shared" si="1"/>
        <v>528.70688378978537</v>
      </c>
      <c r="G10" s="83">
        <v>714283</v>
      </c>
      <c r="H10" s="79">
        <v>736</v>
      </c>
      <c r="I10" s="80">
        <f t="shared" si="2"/>
        <v>389128.26646928204</v>
      </c>
      <c r="J10" s="84"/>
    </row>
    <row r="11" spans="1:17" ht="12" customHeight="1" x14ac:dyDescent="0.35">
      <c r="A11" s="45" t="s">
        <v>112</v>
      </c>
      <c r="B11" s="78">
        <f t="shared" si="0"/>
        <v>5478.8094555873922</v>
      </c>
      <c r="C11" s="79">
        <v>698</v>
      </c>
      <c r="D11" s="80">
        <v>3824209</v>
      </c>
      <c r="E11" s="81">
        <v>733</v>
      </c>
      <c r="F11" s="82">
        <f t="shared" si="1"/>
        <v>5807.5388813096861</v>
      </c>
      <c r="G11" s="83">
        <v>4256926</v>
      </c>
      <c r="H11" s="79">
        <v>433</v>
      </c>
      <c r="I11" s="80">
        <f t="shared" si="2"/>
        <v>2514664.3356070942</v>
      </c>
      <c r="J11" s="84"/>
    </row>
    <row r="12" spans="1:17" ht="12" customHeight="1" x14ac:dyDescent="0.35">
      <c r="A12" s="45" t="s">
        <v>113</v>
      </c>
      <c r="B12" s="78">
        <f t="shared" si="0"/>
        <v>5478.8097902097907</v>
      </c>
      <c r="C12" s="85">
        <v>1430</v>
      </c>
      <c r="D12" s="80">
        <v>7834698</v>
      </c>
      <c r="E12" s="86">
        <v>1501</v>
      </c>
      <c r="F12" s="82">
        <f t="shared" si="1"/>
        <v>5807.5383077948036</v>
      </c>
      <c r="G12" s="83">
        <v>8717115</v>
      </c>
      <c r="H12" s="79">
        <v>868</v>
      </c>
      <c r="I12" s="80">
        <f t="shared" si="2"/>
        <v>5040943.2511658892</v>
      </c>
      <c r="J12" s="84"/>
    </row>
    <row r="13" spans="1:17" ht="12" customHeight="1" x14ac:dyDescent="0.35">
      <c r="A13" s="45" t="s">
        <v>114</v>
      </c>
      <c r="B13" s="78">
        <f t="shared" si="0"/>
        <v>5478.8103161397667</v>
      </c>
      <c r="C13" s="79">
        <v>601</v>
      </c>
      <c r="D13" s="80">
        <v>3292765</v>
      </c>
      <c r="E13" s="81">
        <v>631</v>
      </c>
      <c r="F13" s="82">
        <f t="shared" si="1"/>
        <v>5807.5388272583205</v>
      </c>
      <c r="G13" s="83">
        <v>3664557</v>
      </c>
      <c r="H13" s="79">
        <v>274</v>
      </c>
      <c r="I13" s="80">
        <f t="shared" si="2"/>
        <v>1591265.6386687797</v>
      </c>
      <c r="J13" s="84"/>
    </row>
    <row r="14" spans="1:17" ht="12" customHeight="1" x14ac:dyDescent="0.35">
      <c r="A14" s="45" t="s">
        <v>115</v>
      </c>
      <c r="B14" s="78">
        <f t="shared" si="0"/>
        <v>5477.8064516129034</v>
      </c>
      <c r="C14" s="79">
        <v>124</v>
      </c>
      <c r="D14" s="80">
        <v>679248</v>
      </c>
      <c r="E14" s="81">
        <v>130</v>
      </c>
      <c r="F14" s="82">
        <f t="shared" si="1"/>
        <v>5806.4769230769234</v>
      </c>
      <c r="G14" s="83">
        <v>754842</v>
      </c>
      <c r="H14" s="79">
        <v>72</v>
      </c>
      <c r="I14" s="80">
        <f t="shared" si="2"/>
        <v>418066.33846153849</v>
      </c>
      <c r="J14" s="84"/>
    </row>
    <row r="15" spans="1:17" ht="12" customHeight="1" x14ac:dyDescent="0.35">
      <c r="A15" s="45" t="s">
        <v>116</v>
      </c>
      <c r="B15" s="78">
        <f t="shared" si="0"/>
        <v>5478.8102439024387</v>
      </c>
      <c r="C15" s="85">
        <v>2050</v>
      </c>
      <c r="D15" s="80">
        <v>11231561</v>
      </c>
      <c r="E15" s="86">
        <v>2152</v>
      </c>
      <c r="F15" s="82">
        <f t="shared" si="1"/>
        <v>5807.5385687732341</v>
      </c>
      <c r="G15" s="83">
        <v>12497823</v>
      </c>
      <c r="H15" s="79">
        <v>800</v>
      </c>
      <c r="I15" s="80">
        <f t="shared" si="2"/>
        <v>4646030.8550185878</v>
      </c>
      <c r="J15" s="84"/>
    </row>
    <row r="16" spans="1:17" ht="12" customHeight="1" x14ac:dyDescent="0.3">
      <c r="A16" s="87" t="s">
        <v>124</v>
      </c>
      <c r="B16" s="88">
        <f>SUM(B5:B15)</f>
        <v>55280.874520452169</v>
      </c>
      <c r="C16" s="89">
        <f t="shared" ref="C16:I16" si="3">SUM(C5:C15)</f>
        <v>9055</v>
      </c>
      <c r="D16" s="88">
        <f t="shared" si="3"/>
        <v>43196921</v>
      </c>
      <c r="E16" s="89">
        <f t="shared" si="3"/>
        <v>9507</v>
      </c>
      <c r="F16" s="88">
        <f t="shared" si="3"/>
        <v>58581.97283778897</v>
      </c>
      <c r="G16" s="88">
        <f t="shared" si="3"/>
        <v>48069860</v>
      </c>
      <c r="H16" s="89">
        <f t="shared" si="3"/>
        <v>4665</v>
      </c>
      <c r="I16" s="88">
        <f t="shared" si="3"/>
        <v>23201055.774673715</v>
      </c>
    </row>
    <row r="17" spans="1:12" x14ac:dyDescent="0.35">
      <c r="A17" s="57"/>
      <c r="B17" s="58"/>
      <c r="C17" s="58"/>
      <c r="D17" s="58"/>
      <c r="E17" s="58"/>
      <c r="F17" s="58"/>
      <c r="G17" s="58"/>
      <c r="H17" s="58"/>
      <c r="I17" s="90"/>
    </row>
    <row r="18" spans="1:12" ht="26.65" customHeight="1" x14ac:dyDescent="0.35">
      <c r="A18" s="150" t="s">
        <v>125</v>
      </c>
      <c r="B18" s="150"/>
      <c r="C18" s="150"/>
      <c r="D18" s="150"/>
      <c r="E18" s="150"/>
      <c r="F18" s="150"/>
      <c r="G18" s="150"/>
      <c r="H18" s="150"/>
      <c r="I18" s="150"/>
      <c r="J18" s="63"/>
    </row>
    <row r="19" spans="1:12" ht="14.25" customHeight="1" x14ac:dyDescent="0.3">
      <c r="A19" s="87" t="s">
        <v>123</v>
      </c>
      <c r="B19" s="91"/>
      <c r="C19" s="91"/>
      <c r="D19" s="91"/>
      <c r="E19" s="91"/>
      <c r="F19" s="92"/>
      <c r="G19" s="92"/>
      <c r="H19" s="92"/>
      <c r="I19" s="93"/>
    </row>
    <row r="20" spans="1:12" ht="25" x14ac:dyDescent="0.35">
      <c r="A20" s="72" t="s">
        <v>104</v>
      </c>
      <c r="B20" s="72" t="s">
        <v>161</v>
      </c>
      <c r="C20" s="72" t="s">
        <v>159</v>
      </c>
      <c r="D20" s="72" t="s">
        <v>171</v>
      </c>
      <c r="E20" s="73" t="s">
        <v>167</v>
      </c>
      <c r="F20" s="73" t="s">
        <v>168</v>
      </c>
      <c r="G20" s="73" t="s">
        <v>169</v>
      </c>
      <c r="H20" s="73" t="s">
        <v>172</v>
      </c>
      <c r="I20" s="94" t="s">
        <v>170</v>
      </c>
    </row>
    <row r="21" spans="1:12" ht="14.25" customHeight="1" x14ac:dyDescent="0.35">
      <c r="A21" s="45" t="s">
        <v>106</v>
      </c>
      <c r="B21" s="78">
        <v>6118.73</v>
      </c>
      <c r="C21" s="79">
        <v>645</v>
      </c>
      <c r="D21" s="78">
        <f>SUM(B21*C21)</f>
        <v>3946580.8499999996</v>
      </c>
      <c r="E21" s="81">
        <v>677</v>
      </c>
      <c r="F21" s="82">
        <f>G21/E21</f>
        <v>6118.7296898079767</v>
      </c>
      <c r="G21" s="83">
        <v>4142380</v>
      </c>
      <c r="H21" s="79">
        <v>197</v>
      </c>
      <c r="I21" s="95">
        <f>F21*H21</f>
        <v>1205389.7488921713</v>
      </c>
      <c r="J21" s="96"/>
    </row>
    <row r="22" spans="1:12" ht="14.25" customHeight="1" x14ac:dyDescent="0.35">
      <c r="A22" s="45" t="s">
        <v>107</v>
      </c>
      <c r="B22" s="78">
        <v>6103.65</v>
      </c>
      <c r="C22" s="79">
        <v>217</v>
      </c>
      <c r="D22" s="78">
        <f t="shared" ref="D22:D31" si="4">SUM(B22*C22)</f>
        <v>1324492.0499999998</v>
      </c>
      <c r="E22" s="81">
        <v>228</v>
      </c>
      <c r="F22" s="82">
        <f t="shared" ref="F22:F31" si="5">G22/E22</f>
        <v>6103.6491228070172</v>
      </c>
      <c r="G22" s="83">
        <v>1391632</v>
      </c>
      <c r="H22" s="79">
        <v>112</v>
      </c>
      <c r="I22" s="95">
        <f t="shared" ref="I22:I31" si="6">F22*H22</f>
        <v>683608.70175438595</v>
      </c>
      <c r="J22" s="96"/>
    </row>
    <row r="23" spans="1:12" ht="14.25" customHeight="1" x14ac:dyDescent="0.35">
      <c r="A23" s="45" t="s">
        <v>108</v>
      </c>
      <c r="B23" s="78">
        <v>6021.65</v>
      </c>
      <c r="C23" s="85">
        <v>1105</v>
      </c>
      <c r="D23" s="78">
        <f t="shared" si="4"/>
        <v>6653923.25</v>
      </c>
      <c r="E23" s="86">
        <v>1161</v>
      </c>
      <c r="F23" s="82">
        <f t="shared" si="5"/>
        <v>6019.0568475452201</v>
      </c>
      <c r="G23" s="83">
        <v>6988125</v>
      </c>
      <c r="H23" s="79">
        <v>636</v>
      </c>
      <c r="I23" s="95">
        <f t="shared" si="6"/>
        <v>3828120.15503876</v>
      </c>
      <c r="J23" s="96"/>
    </row>
    <row r="24" spans="1:12" ht="14.25" customHeight="1" x14ac:dyDescent="0.35">
      <c r="A24" s="45" t="s">
        <v>109</v>
      </c>
      <c r="B24" s="78">
        <v>6013.65</v>
      </c>
      <c r="C24" s="79">
        <v>208</v>
      </c>
      <c r="D24" s="78">
        <f t="shared" si="4"/>
        <v>1250839.2</v>
      </c>
      <c r="E24" s="81">
        <v>219</v>
      </c>
      <c r="F24" s="82">
        <f t="shared" si="5"/>
        <v>5999.922374429224</v>
      </c>
      <c r="G24" s="83">
        <v>1313983</v>
      </c>
      <c r="H24" s="79">
        <v>116</v>
      </c>
      <c r="I24" s="95">
        <f t="shared" si="6"/>
        <v>695990.99543379003</v>
      </c>
      <c r="J24" s="96"/>
    </row>
    <row r="25" spans="1:12" ht="14.25" customHeight="1" x14ac:dyDescent="0.35">
      <c r="A25" s="45" t="s">
        <v>110</v>
      </c>
      <c r="B25" s="78">
        <v>6010.65</v>
      </c>
      <c r="C25" s="79">
        <v>690</v>
      </c>
      <c r="D25" s="78">
        <f t="shared" si="4"/>
        <v>4147348.4999999995</v>
      </c>
      <c r="E25" s="81">
        <v>724</v>
      </c>
      <c r="F25" s="82">
        <f t="shared" si="5"/>
        <v>6010.6505524861877</v>
      </c>
      <c r="G25" s="83">
        <v>4351711</v>
      </c>
      <c r="H25" s="79">
        <v>421</v>
      </c>
      <c r="I25" s="95">
        <f t="shared" si="6"/>
        <v>2530483.8825966851</v>
      </c>
      <c r="J25" s="96"/>
      <c r="L25" s="97"/>
    </row>
    <row r="26" spans="1:12" ht="14.25" customHeight="1" x14ac:dyDescent="0.35">
      <c r="A26" s="45" t="s">
        <v>111</v>
      </c>
      <c r="B26" s="98">
        <v>502.99</v>
      </c>
      <c r="C26" s="85">
        <v>1287</v>
      </c>
      <c r="D26" s="78">
        <f t="shared" si="4"/>
        <v>647348.13</v>
      </c>
      <c r="E26" s="86">
        <v>1351</v>
      </c>
      <c r="F26" s="82">
        <f t="shared" si="5"/>
        <v>502.98963730569949</v>
      </c>
      <c r="G26" s="83">
        <v>679539</v>
      </c>
      <c r="H26" s="79">
        <v>736</v>
      </c>
      <c r="I26" s="95">
        <f t="shared" si="6"/>
        <v>370200.37305699481</v>
      </c>
      <c r="J26" s="96"/>
    </row>
    <row r="27" spans="1:12" ht="14.25" customHeight="1" x14ac:dyDescent="0.35">
      <c r="A27" s="45" t="s">
        <v>112</v>
      </c>
      <c r="B27" s="78">
        <v>7014.71</v>
      </c>
      <c r="C27" s="79">
        <v>698</v>
      </c>
      <c r="D27" s="78">
        <f t="shared" si="4"/>
        <v>4896267.58</v>
      </c>
      <c r="E27" s="81">
        <v>733</v>
      </c>
      <c r="F27" s="82">
        <f t="shared" si="5"/>
        <v>7014.7094133697137</v>
      </c>
      <c r="G27" s="83">
        <v>5141782</v>
      </c>
      <c r="H27" s="79">
        <v>433</v>
      </c>
      <c r="I27" s="95">
        <f t="shared" si="6"/>
        <v>3037369.1759890863</v>
      </c>
      <c r="J27" s="96"/>
    </row>
    <row r="28" spans="1:12" ht="14.25" customHeight="1" x14ac:dyDescent="0.35">
      <c r="A28" s="45" t="s">
        <v>113</v>
      </c>
      <c r="B28" s="78">
        <v>5713.65</v>
      </c>
      <c r="C28" s="85">
        <v>1430</v>
      </c>
      <c r="D28" s="78">
        <f t="shared" si="4"/>
        <v>8170519.4999999991</v>
      </c>
      <c r="E28" s="86">
        <v>1501</v>
      </c>
      <c r="F28" s="82">
        <f t="shared" si="5"/>
        <v>5713.6502331778811</v>
      </c>
      <c r="G28" s="83">
        <v>8576189</v>
      </c>
      <c r="H28" s="79">
        <v>868</v>
      </c>
      <c r="I28" s="95">
        <f t="shared" si="6"/>
        <v>4959448.4023984009</v>
      </c>
      <c r="J28" s="96"/>
    </row>
    <row r="29" spans="1:12" ht="14.25" customHeight="1" x14ac:dyDescent="0.35">
      <c r="A29" s="45" t="s">
        <v>114</v>
      </c>
      <c r="B29" s="78">
        <v>6084.18</v>
      </c>
      <c r="C29" s="79">
        <v>601</v>
      </c>
      <c r="D29" s="78">
        <f t="shared" si="4"/>
        <v>3656592.18</v>
      </c>
      <c r="E29" s="81">
        <v>631</v>
      </c>
      <c r="F29" s="82">
        <f t="shared" si="5"/>
        <v>6084.1806656101426</v>
      </c>
      <c r="G29" s="83">
        <v>3839118</v>
      </c>
      <c r="H29" s="79">
        <v>274</v>
      </c>
      <c r="I29" s="95">
        <f t="shared" si="6"/>
        <v>1667065.502377179</v>
      </c>
      <c r="J29" s="96"/>
    </row>
    <row r="30" spans="1:12" ht="14.25" customHeight="1" x14ac:dyDescent="0.35">
      <c r="A30" s="45" t="s">
        <v>115</v>
      </c>
      <c r="B30" s="78">
        <v>6001.65</v>
      </c>
      <c r="C30" s="79">
        <v>124</v>
      </c>
      <c r="D30" s="78">
        <f t="shared" si="4"/>
        <v>744204.6</v>
      </c>
      <c r="E30" s="81">
        <v>130</v>
      </c>
      <c r="F30" s="82">
        <f t="shared" si="5"/>
        <v>6001.6538461538457</v>
      </c>
      <c r="G30" s="83">
        <v>780215</v>
      </c>
      <c r="H30" s="79">
        <v>72</v>
      </c>
      <c r="I30" s="95">
        <f t="shared" si="6"/>
        <v>432119.07692307688</v>
      </c>
      <c r="J30" s="96"/>
    </row>
    <row r="31" spans="1:12" ht="14.25" customHeight="1" x14ac:dyDescent="0.35">
      <c r="A31" s="45" t="s">
        <v>116</v>
      </c>
      <c r="B31" s="78">
        <v>6018.14</v>
      </c>
      <c r="C31" s="85">
        <v>2050</v>
      </c>
      <c r="D31" s="78">
        <f t="shared" si="4"/>
        <v>12337187</v>
      </c>
      <c r="E31" s="86">
        <v>2152</v>
      </c>
      <c r="F31" s="82">
        <f t="shared" si="5"/>
        <v>6018.1398698884759</v>
      </c>
      <c r="G31" s="83">
        <v>12951037</v>
      </c>
      <c r="H31" s="79">
        <v>800</v>
      </c>
      <c r="I31" s="95">
        <f t="shared" si="6"/>
        <v>4814511.8959107809</v>
      </c>
      <c r="J31" s="96"/>
    </row>
    <row r="32" spans="1:12" ht="14.25" customHeight="1" x14ac:dyDescent="0.3">
      <c r="A32" s="87" t="s">
        <v>126</v>
      </c>
      <c r="B32" s="99">
        <f>SUM(B21:B31)</f>
        <v>61603.650000000009</v>
      </c>
      <c r="C32" s="100">
        <f t="shared" ref="C32:I32" si="7">SUM(C21:C31)</f>
        <v>9055</v>
      </c>
      <c r="D32" s="99">
        <f t="shared" si="7"/>
        <v>47775302.839999996</v>
      </c>
      <c r="E32" s="100">
        <f t="shared" si="7"/>
        <v>9507</v>
      </c>
      <c r="F32" s="99">
        <f t="shared" si="7"/>
        <v>61587.332252581378</v>
      </c>
      <c r="G32" s="99">
        <f t="shared" si="7"/>
        <v>50155711</v>
      </c>
      <c r="H32" s="100">
        <f t="shared" si="7"/>
        <v>4665</v>
      </c>
      <c r="I32" s="99">
        <f t="shared" si="7"/>
        <v>24224307.910371311</v>
      </c>
      <c r="J32" s="96"/>
    </row>
    <row r="33" spans="1:11" ht="14.25" customHeight="1" x14ac:dyDescent="0.3">
      <c r="A33" s="101"/>
      <c r="B33" s="102"/>
      <c r="C33" s="103"/>
      <c r="D33" s="104"/>
      <c r="E33" s="103"/>
      <c r="F33" s="103"/>
      <c r="G33" s="103"/>
      <c r="H33" s="105"/>
      <c r="I33" s="106"/>
      <c r="J33" s="84"/>
      <c r="K33" s="96"/>
    </row>
    <row r="34" spans="1:11" ht="14.25" customHeight="1" x14ac:dyDescent="0.3">
      <c r="A34" s="64"/>
      <c r="B34" s="107"/>
      <c r="C34" s="108"/>
      <c r="D34" s="109"/>
      <c r="E34" s="108"/>
      <c r="F34" s="108"/>
      <c r="G34" s="108"/>
      <c r="H34" s="110"/>
      <c r="I34" s="106"/>
      <c r="J34" s="84"/>
      <c r="K34" s="96"/>
    </row>
    <row r="35" spans="1:11" ht="14.25" customHeight="1" x14ac:dyDescent="0.35">
      <c r="A35" s="111"/>
    </row>
    <row r="36" spans="1:11" ht="14.25" customHeight="1" x14ac:dyDescent="0.35">
      <c r="A36" s="112" t="s">
        <v>127</v>
      </c>
      <c r="B36" s="151" t="s">
        <v>128</v>
      </c>
      <c r="C36" s="152"/>
      <c r="D36" s="152"/>
      <c r="E36" s="152"/>
      <c r="F36" s="113"/>
    </row>
    <row r="37" spans="1:11" ht="14.25" customHeight="1" x14ac:dyDescent="0.35">
      <c r="A37" s="114" t="s">
        <v>106</v>
      </c>
      <c r="B37" s="60" t="s">
        <v>129</v>
      </c>
      <c r="C37" s="115"/>
      <c r="D37" s="115"/>
      <c r="E37" s="115"/>
      <c r="F37" s="115"/>
    </row>
    <row r="38" spans="1:11" ht="14.25" customHeight="1" x14ac:dyDescent="0.35">
      <c r="A38" s="114" t="s">
        <v>107</v>
      </c>
      <c r="B38" s="60" t="s">
        <v>130</v>
      </c>
    </row>
    <row r="39" spans="1:11" ht="14.25" customHeight="1" x14ac:dyDescent="0.35">
      <c r="A39" s="114" t="s">
        <v>108</v>
      </c>
      <c r="B39" s="60" t="s">
        <v>131</v>
      </c>
      <c r="I39" s="97"/>
    </row>
    <row r="40" spans="1:11" ht="14.25" customHeight="1" x14ac:dyDescent="0.35">
      <c r="A40" s="114" t="s">
        <v>109</v>
      </c>
      <c r="B40" s="60" t="s">
        <v>132</v>
      </c>
    </row>
    <row r="41" spans="1:11" ht="14.25" customHeight="1" x14ac:dyDescent="0.35">
      <c r="A41" s="114" t="s">
        <v>110</v>
      </c>
      <c r="B41" s="60" t="s">
        <v>133</v>
      </c>
    </row>
    <row r="42" spans="1:11" ht="14.25" customHeight="1" x14ac:dyDescent="0.35">
      <c r="A42" s="114" t="s">
        <v>111</v>
      </c>
      <c r="B42" s="60" t="s">
        <v>134</v>
      </c>
    </row>
    <row r="43" spans="1:11" ht="14.25" customHeight="1" x14ac:dyDescent="0.35">
      <c r="A43" s="114" t="s">
        <v>112</v>
      </c>
      <c r="B43" s="60" t="s">
        <v>135</v>
      </c>
    </row>
    <row r="44" spans="1:11" ht="14.25" customHeight="1" x14ac:dyDescent="0.35">
      <c r="A44" s="114" t="s">
        <v>113</v>
      </c>
      <c r="B44" s="60" t="s">
        <v>136</v>
      </c>
    </row>
    <row r="45" spans="1:11" ht="14.25" customHeight="1" x14ac:dyDescent="0.35">
      <c r="A45" s="114" t="s">
        <v>114</v>
      </c>
      <c r="B45" s="60" t="s">
        <v>137</v>
      </c>
    </row>
    <row r="46" spans="1:11" ht="14.25" customHeight="1" x14ac:dyDescent="0.35">
      <c r="A46" s="114" t="s">
        <v>115</v>
      </c>
      <c r="B46" s="60" t="s">
        <v>138</v>
      </c>
    </row>
    <row r="47" spans="1:11" ht="14.25" customHeight="1" x14ac:dyDescent="0.35">
      <c r="A47" s="114" t="s">
        <v>116</v>
      </c>
      <c r="B47" s="60" t="s">
        <v>139</v>
      </c>
      <c r="H47" s="105"/>
      <c r="I47" s="106"/>
      <c r="J47" s="84"/>
      <c r="K47" s="96"/>
    </row>
    <row r="48" spans="1:11" ht="14.25" customHeight="1" x14ac:dyDescent="0.35">
      <c r="H48" s="105"/>
      <c r="I48" s="106"/>
      <c r="J48" s="84"/>
      <c r="K48" s="96"/>
    </row>
    <row r="49" spans="8:11" ht="14.25" customHeight="1" x14ac:dyDescent="0.35">
      <c r="H49" s="105"/>
      <c r="I49" s="106"/>
      <c r="J49" s="84"/>
      <c r="K49" s="96"/>
    </row>
    <row r="50" spans="8:11" ht="14.25" customHeight="1" x14ac:dyDescent="0.35">
      <c r="H50" s="105"/>
      <c r="I50" s="106"/>
      <c r="J50" s="84"/>
      <c r="K50" s="96"/>
    </row>
    <row r="51" spans="8:11" ht="14.25" customHeight="1" x14ac:dyDescent="0.35"/>
    <row r="52" spans="8:11" ht="27" customHeight="1" x14ac:dyDescent="0.35"/>
    <row r="53" spans="8:11" ht="14.25" customHeight="1" x14ac:dyDescent="0.35"/>
    <row r="54" spans="8:11" ht="14.25" customHeight="1" x14ac:dyDescent="0.35"/>
    <row r="55" spans="8:11" ht="14.25" customHeight="1" x14ac:dyDescent="0.35"/>
    <row r="56" spans="8:11" ht="14.25" customHeight="1" x14ac:dyDescent="0.35"/>
    <row r="57" spans="8:11" ht="14.25" customHeight="1" x14ac:dyDescent="0.35"/>
    <row r="58" spans="8:11" ht="14.25" customHeight="1" x14ac:dyDescent="0.35"/>
    <row r="59" spans="8:11" ht="14.25" customHeight="1" x14ac:dyDescent="0.35"/>
    <row r="60" spans="8:11" ht="14.25" customHeight="1" x14ac:dyDescent="0.35"/>
    <row r="61" spans="8:11" ht="14.25" customHeight="1" x14ac:dyDescent="0.35"/>
    <row r="62" spans="8:11" ht="14.25" customHeight="1" x14ac:dyDescent="0.35"/>
    <row r="63" spans="8:11" ht="14.25" customHeight="1" x14ac:dyDescent="0.35"/>
    <row r="64" spans="8:11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</sheetData>
  <mergeCells count="3">
    <mergeCell ref="A2:I2"/>
    <mergeCell ref="A18:I18"/>
    <mergeCell ref="B36:E36"/>
  </mergeCells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tabSelected="1" topLeftCell="A58" zoomScale="80" zoomScaleNormal="80" workbookViewId="0">
      <selection activeCell="A45" sqref="A45:E60"/>
    </sheetView>
  </sheetViews>
  <sheetFormatPr defaultColWidth="7.83203125" defaultRowHeight="15.5" x14ac:dyDescent="0.35"/>
  <cols>
    <col min="1" max="1" width="26.08203125" style="36" customWidth="1"/>
    <col min="2" max="2" width="17.75" style="36" customWidth="1"/>
    <col min="3" max="3" width="16.25" style="36" customWidth="1"/>
    <col min="4" max="4" width="15" style="36" customWidth="1"/>
    <col min="5" max="5" width="12.83203125" style="36" bestFit="1" customWidth="1"/>
    <col min="6" max="7" width="10.5" style="36" bestFit="1" customWidth="1"/>
    <col min="8" max="16384" width="7.83203125" style="36"/>
  </cols>
  <sheetData>
    <row r="1" spans="1:5" x14ac:dyDescent="0.35">
      <c r="A1" s="153" t="s">
        <v>93</v>
      </c>
      <c r="B1" s="153"/>
      <c r="C1" s="153"/>
      <c r="D1" s="153"/>
      <c r="E1" s="153"/>
    </row>
    <row r="2" spans="1:5" x14ac:dyDescent="0.35">
      <c r="A2" s="153" t="s">
        <v>94</v>
      </c>
      <c r="B2" s="153"/>
      <c r="C2" s="153"/>
      <c r="D2" s="153"/>
      <c r="E2" s="153"/>
    </row>
    <row r="3" spans="1:5" ht="31" x14ac:dyDescent="0.35">
      <c r="A3" s="37"/>
      <c r="B3" s="38" t="s">
        <v>173</v>
      </c>
      <c r="C3" s="38" t="s">
        <v>95</v>
      </c>
      <c r="D3" s="38" t="s">
        <v>96</v>
      </c>
      <c r="E3" s="38" t="s">
        <v>174</v>
      </c>
    </row>
    <row r="4" spans="1:5" x14ac:dyDescent="0.35">
      <c r="A4" s="37" t="s">
        <v>97</v>
      </c>
      <c r="B4" s="39">
        <v>50155711</v>
      </c>
      <c r="C4" s="40">
        <f>B4/2</f>
        <v>25077855.5</v>
      </c>
      <c r="D4" s="40">
        <v>24224307.910371311</v>
      </c>
      <c r="E4" s="41">
        <f>D4*2</f>
        <v>48448615.820742622</v>
      </c>
    </row>
    <row r="5" spans="1:5" x14ac:dyDescent="0.35">
      <c r="A5" s="37" t="s">
        <v>98</v>
      </c>
      <c r="B5" s="39">
        <v>48069860</v>
      </c>
      <c r="C5" s="40">
        <f>B5/2</f>
        <v>24034930</v>
      </c>
      <c r="D5" s="40">
        <v>23201055.774673715</v>
      </c>
      <c r="E5" s="41">
        <f>D5*2</f>
        <v>46402111.54934743</v>
      </c>
    </row>
    <row r="6" spans="1:5" x14ac:dyDescent="0.35">
      <c r="A6" s="37" t="s">
        <v>99</v>
      </c>
      <c r="B6" s="42">
        <f>B4-B5</f>
        <v>2085851</v>
      </c>
      <c r="C6" s="42">
        <f>B6/2</f>
        <v>1042925.5</v>
      </c>
      <c r="D6" s="42">
        <f>D4-D5</f>
        <v>1023252.1356975958</v>
      </c>
      <c r="E6" s="41">
        <f>D6*2</f>
        <v>2046504.2713951916</v>
      </c>
    </row>
    <row r="7" spans="1:5" x14ac:dyDescent="0.35">
      <c r="D7" s="43"/>
    </row>
    <row r="9" spans="1:5" x14ac:dyDescent="0.35">
      <c r="A9" s="153" t="s">
        <v>93</v>
      </c>
      <c r="B9" s="153"/>
      <c r="C9" s="153"/>
      <c r="D9" s="153"/>
      <c r="E9" s="153"/>
    </row>
    <row r="10" spans="1:5" x14ac:dyDescent="0.35">
      <c r="A10" s="154" t="s">
        <v>175</v>
      </c>
      <c r="B10" s="154"/>
      <c r="C10" s="154"/>
      <c r="D10" s="154"/>
      <c r="E10" s="154"/>
    </row>
    <row r="11" spans="1:5" x14ac:dyDescent="0.35">
      <c r="A11" s="44"/>
      <c r="B11" s="44" t="s">
        <v>100</v>
      </c>
      <c r="C11" s="44" t="s">
        <v>101</v>
      </c>
      <c r="D11" s="44" t="s">
        <v>102</v>
      </c>
      <c r="E11" s="44" t="s">
        <v>103</v>
      </c>
    </row>
    <row r="12" spans="1:5" ht="46.5" x14ac:dyDescent="0.35">
      <c r="A12" s="38" t="s">
        <v>104</v>
      </c>
      <c r="B12" s="38" t="s">
        <v>176</v>
      </c>
      <c r="C12" s="38" t="s">
        <v>166</v>
      </c>
      <c r="D12" s="38" t="s">
        <v>180</v>
      </c>
      <c r="E12" s="38" t="s">
        <v>105</v>
      </c>
    </row>
    <row r="13" spans="1:5" x14ac:dyDescent="0.35">
      <c r="A13" s="45" t="s">
        <v>106</v>
      </c>
      <c r="B13" s="46">
        <f>'Variance Analysis Case Study'!G5/2</f>
        <v>1965852</v>
      </c>
      <c r="C13" s="47">
        <v>1144085.2112259972</v>
      </c>
      <c r="D13" s="48">
        <f>C13-B13</f>
        <v>-821766.78877400281</v>
      </c>
      <c r="E13" s="49" t="str">
        <f>IF(D13&gt;0,"Unfavorable","Favorable")</f>
        <v>Favorable</v>
      </c>
    </row>
    <row r="14" spans="1:5" x14ac:dyDescent="0.35">
      <c r="A14" s="45" t="s">
        <v>107</v>
      </c>
      <c r="B14" s="46">
        <f>'Variance Analysis Case Study'!G6/2</f>
        <v>662059.5</v>
      </c>
      <c r="C14" s="47">
        <v>650444.42105263157</v>
      </c>
      <c r="D14" s="48">
        <f t="shared" ref="D14:D23" si="0">C14-B14</f>
        <v>-11615.078947368427</v>
      </c>
      <c r="E14" s="49" t="str">
        <f t="shared" ref="E14:E24" si="1">IF(D14&gt;0,"Unfavorable","Favorable")</f>
        <v>Favorable</v>
      </c>
    </row>
    <row r="15" spans="1:5" x14ac:dyDescent="0.35">
      <c r="A15" s="45" t="s">
        <v>108</v>
      </c>
      <c r="B15" s="46">
        <f>'Variance Analysis Case Study'!G7/2</f>
        <v>3368594</v>
      </c>
      <c r="C15" s="47">
        <v>3690655.9586563306</v>
      </c>
      <c r="D15" s="48">
        <f t="shared" si="0"/>
        <v>322061.95865633059</v>
      </c>
      <c r="E15" s="49" t="str">
        <f t="shared" si="1"/>
        <v>Unfavorable</v>
      </c>
    </row>
    <row r="16" spans="1:5" x14ac:dyDescent="0.35">
      <c r="A16" s="45" t="s">
        <v>109</v>
      </c>
      <c r="B16" s="46">
        <f>'Variance Analysis Case Study'!G8/2</f>
        <v>634473.5</v>
      </c>
      <c r="C16" s="47">
        <v>672136.31050228304</v>
      </c>
      <c r="D16" s="48">
        <f t="shared" si="0"/>
        <v>37662.810502283042</v>
      </c>
      <c r="E16" s="49" t="str">
        <f t="shared" si="1"/>
        <v>Unfavorable</v>
      </c>
    </row>
    <row r="17" spans="1:7" x14ac:dyDescent="0.35">
      <c r="A17" s="45" t="s">
        <v>110</v>
      </c>
      <c r="B17" s="46">
        <f>'Variance Analysis Case Study'!G9/2</f>
        <v>2101178</v>
      </c>
      <c r="C17" s="47">
        <v>2443635.1878453037</v>
      </c>
      <c r="D17" s="48">
        <f t="shared" si="0"/>
        <v>342457.18784530368</v>
      </c>
      <c r="E17" s="49" t="str">
        <f t="shared" si="1"/>
        <v>Unfavorable</v>
      </c>
    </row>
    <row r="18" spans="1:7" x14ac:dyDescent="0.35">
      <c r="A18" s="45" t="s">
        <v>111</v>
      </c>
      <c r="B18" s="46">
        <f>'Variance Analysis Case Study'!G10/2</f>
        <v>357141.5</v>
      </c>
      <c r="C18" s="47">
        <v>389128.26646928204</v>
      </c>
      <c r="D18" s="48">
        <f t="shared" si="0"/>
        <v>31986.76646928204</v>
      </c>
      <c r="E18" s="49" t="str">
        <f t="shared" si="1"/>
        <v>Unfavorable</v>
      </c>
    </row>
    <row r="19" spans="1:7" x14ac:dyDescent="0.35">
      <c r="A19" s="45" t="s">
        <v>112</v>
      </c>
      <c r="B19" s="46">
        <f>'Variance Analysis Case Study'!G11/2</f>
        <v>2128463</v>
      </c>
      <c r="C19" s="47">
        <v>2514664.3356070942</v>
      </c>
      <c r="D19" s="48">
        <f t="shared" si="0"/>
        <v>386201.33560709422</v>
      </c>
      <c r="E19" s="49" t="str">
        <f t="shared" si="1"/>
        <v>Unfavorable</v>
      </c>
    </row>
    <row r="20" spans="1:7" x14ac:dyDescent="0.35">
      <c r="A20" s="45" t="s">
        <v>113</v>
      </c>
      <c r="B20" s="46">
        <f>'Variance Analysis Case Study'!G12/2</f>
        <v>4358557.5</v>
      </c>
      <c r="C20" s="47">
        <v>5040943.2511658892</v>
      </c>
      <c r="D20" s="48">
        <f t="shared" si="0"/>
        <v>682385.7511658892</v>
      </c>
      <c r="E20" s="49" t="str">
        <f t="shared" si="1"/>
        <v>Unfavorable</v>
      </c>
      <c r="F20" s="50"/>
    </row>
    <row r="21" spans="1:7" x14ac:dyDescent="0.35">
      <c r="A21" s="45" t="s">
        <v>114</v>
      </c>
      <c r="B21" s="46">
        <f>'Variance Analysis Case Study'!G13/2</f>
        <v>1832278.5</v>
      </c>
      <c r="C21" s="47">
        <v>1591265.6386687797</v>
      </c>
      <c r="D21" s="48">
        <f t="shared" si="0"/>
        <v>-241012.86133122025</v>
      </c>
      <c r="E21" s="49" t="str">
        <f t="shared" si="1"/>
        <v>Favorable</v>
      </c>
    </row>
    <row r="22" spans="1:7" x14ac:dyDescent="0.35">
      <c r="A22" s="45" t="s">
        <v>115</v>
      </c>
      <c r="B22" s="46">
        <f>'Variance Analysis Case Study'!G14/2</f>
        <v>377421</v>
      </c>
      <c r="C22" s="47">
        <v>418066.33846153849</v>
      </c>
      <c r="D22" s="48">
        <f t="shared" si="0"/>
        <v>40645.338461538486</v>
      </c>
      <c r="E22" s="49" t="str">
        <f t="shared" si="1"/>
        <v>Unfavorable</v>
      </c>
      <c r="F22" s="50"/>
      <c r="G22" s="50"/>
    </row>
    <row r="23" spans="1:7" x14ac:dyDescent="0.35">
      <c r="A23" s="45" t="s">
        <v>116</v>
      </c>
      <c r="B23" s="46">
        <f>'Variance Analysis Case Study'!G15/2</f>
        <v>6248911.5</v>
      </c>
      <c r="C23" s="47">
        <v>4646030.8550185878</v>
      </c>
      <c r="D23" s="48">
        <f t="shared" si="0"/>
        <v>-1602880.6449814122</v>
      </c>
      <c r="E23" s="49" t="str">
        <f t="shared" si="1"/>
        <v>Favorable</v>
      </c>
    </row>
    <row r="24" spans="1:7" x14ac:dyDescent="0.35">
      <c r="A24" s="51" t="s">
        <v>117</v>
      </c>
      <c r="B24" s="52">
        <f>SUM(B13:B23)</f>
        <v>24034930</v>
      </c>
      <c r="C24" s="52">
        <f>SUM(C13:C23)</f>
        <v>23201055.774673715</v>
      </c>
      <c r="D24" s="52">
        <f>SUM(D13:D23)</f>
        <v>-833874.22532628244</v>
      </c>
      <c r="E24" s="49" t="str">
        <f t="shared" si="1"/>
        <v>Favorable</v>
      </c>
    </row>
    <row r="27" spans="1:7" x14ac:dyDescent="0.35">
      <c r="A27" s="153" t="s">
        <v>93</v>
      </c>
      <c r="B27" s="153"/>
      <c r="C27" s="153"/>
      <c r="D27" s="153"/>
      <c r="E27" s="153"/>
    </row>
    <row r="28" spans="1:7" x14ac:dyDescent="0.35">
      <c r="A28" s="153" t="s">
        <v>118</v>
      </c>
      <c r="B28" s="153"/>
      <c r="C28" s="153"/>
      <c r="D28" s="153"/>
      <c r="E28" s="153"/>
    </row>
    <row r="29" spans="1:7" x14ac:dyDescent="0.35">
      <c r="A29" s="53"/>
      <c r="B29" s="53" t="s">
        <v>100</v>
      </c>
      <c r="C29" s="53" t="s">
        <v>101</v>
      </c>
      <c r="D29" s="53" t="s">
        <v>102</v>
      </c>
      <c r="E29" s="53" t="s">
        <v>103</v>
      </c>
    </row>
    <row r="30" spans="1:7" ht="46.5" x14ac:dyDescent="0.35">
      <c r="A30" s="38" t="s">
        <v>104</v>
      </c>
      <c r="B30" s="38" t="s">
        <v>176</v>
      </c>
      <c r="C30" s="38" t="s">
        <v>170</v>
      </c>
      <c r="D30" s="38" t="s">
        <v>181</v>
      </c>
      <c r="E30" s="38" t="s">
        <v>105</v>
      </c>
    </row>
    <row r="31" spans="1:7" x14ac:dyDescent="0.35">
      <c r="A31" s="45" t="s">
        <v>106</v>
      </c>
      <c r="B31" s="46">
        <f>'Variance Analysis Case Study'!G21/2</f>
        <v>2071190</v>
      </c>
      <c r="C31" s="47">
        <v>1205389.7488921713</v>
      </c>
      <c r="D31" s="48">
        <f>C31-B31</f>
        <v>-865800.25110782869</v>
      </c>
      <c r="E31" s="49" t="str">
        <f>IF(D31&gt;0,"Favorable","Unfavorable")</f>
        <v>Unfavorable</v>
      </c>
    </row>
    <row r="32" spans="1:7" x14ac:dyDescent="0.35">
      <c r="A32" s="45" t="s">
        <v>107</v>
      </c>
      <c r="B32" s="46">
        <f>'Variance Analysis Case Study'!G22/2</f>
        <v>695816</v>
      </c>
      <c r="C32" s="47">
        <v>683608.70175438595</v>
      </c>
      <c r="D32" s="48">
        <f t="shared" ref="D32:D41" si="2">C32-B32</f>
        <v>-12207.298245614045</v>
      </c>
      <c r="E32" s="49" t="str">
        <f t="shared" ref="E32:E42" si="3">IF(D32&gt;0,"Favorable","Unfavorable")</f>
        <v>Unfavorable</v>
      </c>
    </row>
    <row r="33" spans="1:5" x14ac:dyDescent="0.35">
      <c r="A33" s="45" t="s">
        <v>108</v>
      </c>
      <c r="B33" s="46">
        <f>'Variance Analysis Case Study'!G23/2</f>
        <v>3494062.5</v>
      </c>
      <c r="C33" s="47">
        <v>3828120.15503876</v>
      </c>
      <c r="D33" s="48">
        <f t="shared" si="2"/>
        <v>334057.65503876004</v>
      </c>
      <c r="E33" s="49" t="str">
        <f t="shared" si="3"/>
        <v>Favorable</v>
      </c>
    </row>
    <row r="34" spans="1:5" x14ac:dyDescent="0.35">
      <c r="A34" s="45" t="s">
        <v>109</v>
      </c>
      <c r="B34" s="46">
        <f>'Variance Analysis Case Study'!G24/2</f>
        <v>656991.5</v>
      </c>
      <c r="C34" s="47">
        <v>695990.99543379003</v>
      </c>
      <c r="D34" s="48">
        <f t="shared" si="2"/>
        <v>38999.495433790027</v>
      </c>
      <c r="E34" s="49" t="str">
        <f t="shared" si="3"/>
        <v>Favorable</v>
      </c>
    </row>
    <row r="35" spans="1:5" x14ac:dyDescent="0.35">
      <c r="A35" s="45" t="s">
        <v>110</v>
      </c>
      <c r="B35" s="46">
        <f>'Variance Analysis Case Study'!G25/2</f>
        <v>2175855.5</v>
      </c>
      <c r="C35" s="47">
        <v>2530483.8825966851</v>
      </c>
      <c r="D35" s="48">
        <f t="shared" si="2"/>
        <v>354628.38259668509</v>
      </c>
      <c r="E35" s="49" t="str">
        <f t="shared" si="3"/>
        <v>Favorable</v>
      </c>
    </row>
    <row r="36" spans="1:5" x14ac:dyDescent="0.35">
      <c r="A36" s="45" t="s">
        <v>111</v>
      </c>
      <c r="B36" s="46">
        <f>'Variance Analysis Case Study'!G26/2</f>
        <v>339769.5</v>
      </c>
      <c r="C36" s="47">
        <v>370200.37305699481</v>
      </c>
      <c r="D36" s="48">
        <f t="shared" si="2"/>
        <v>30430.873056994809</v>
      </c>
      <c r="E36" s="49" t="str">
        <f t="shared" si="3"/>
        <v>Favorable</v>
      </c>
    </row>
    <row r="37" spans="1:5" x14ac:dyDescent="0.35">
      <c r="A37" s="45" t="s">
        <v>112</v>
      </c>
      <c r="B37" s="46">
        <f>'Variance Analysis Case Study'!G27/2</f>
        <v>2570891</v>
      </c>
      <c r="C37" s="47">
        <v>3037369.1759890863</v>
      </c>
      <c r="D37" s="48">
        <f t="shared" si="2"/>
        <v>466478.17598908627</v>
      </c>
      <c r="E37" s="49" t="str">
        <f t="shared" si="3"/>
        <v>Favorable</v>
      </c>
    </row>
    <row r="38" spans="1:5" x14ac:dyDescent="0.35">
      <c r="A38" s="45" t="s">
        <v>113</v>
      </c>
      <c r="B38" s="46">
        <f>'Variance Analysis Case Study'!G28/2</f>
        <v>4288094.5</v>
      </c>
      <c r="C38" s="47">
        <v>4959448.4023984009</v>
      </c>
      <c r="D38" s="48">
        <f t="shared" si="2"/>
        <v>671353.90239840094</v>
      </c>
      <c r="E38" s="49" t="str">
        <f t="shared" si="3"/>
        <v>Favorable</v>
      </c>
    </row>
    <row r="39" spans="1:5" x14ac:dyDescent="0.35">
      <c r="A39" s="45" t="s">
        <v>114</v>
      </c>
      <c r="B39" s="46">
        <f>'Variance Analysis Case Study'!G29/2</f>
        <v>1919559</v>
      </c>
      <c r="C39" s="47">
        <v>1667065.502377179</v>
      </c>
      <c r="D39" s="48">
        <f t="shared" si="2"/>
        <v>-252493.49762282101</v>
      </c>
      <c r="E39" s="49" t="str">
        <f t="shared" si="3"/>
        <v>Unfavorable</v>
      </c>
    </row>
    <row r="40" spans="1:5" x14ac:dyDescent="0.35">
      <c r="A40" s="45" t="s">
        <v>115</v>
      </c>
      <c r="B40" s="46">
        <f>'Variance Analysis Case Study'!G30/2</f>
        <v>390107.5</v>
      </c>
      <c r="C40" s="47">
        <v>432119.07692307688</v>
      </c>
      <c r="D40" s="48">
        <f t="shared" si="2"/>
        <v>42011.576923076878</v>
      </c>
      <c r="E40" s="49" t="str">
        <f t="shared" si="3"/>
        <v>Favorable</v>
      </c>
    </row>
    <row r="41" spans="1:5" x14ac:dyDescent="0.35">
      <c r="A41" s="45" t="s">
        <v>116</v>
      </c>
      <c r="B41" s="46">
        <f>'Variance Analysis Case Study'!G31/2</f>
        <v>6475518.5</v>
      </c>
      <c r="C41" s="47">
        <v>4814511.8959107809</v>
      </c>
      <c r="D41" s="48">
        <f t="shared" si="2"/>
        <v>-1661006.6040892191</v>
      </c>
      <c r="E41" s="49" t="str">
        <f t="shared" si="3"/>
        <v>Unfavorable</v>
      </c>
    </row>
    <row r="42" spans="1:5" x14ac:dyDescent="0.35">
      <c r="A42" s="51" t="s">
        <v>119</v>
      </c>
      <c r="B42" s="52">
        <f>SUM(B31:B41)</f>
        <v>25077855.5</v>
      </c>
      <c r="C42" s="52">
        <f>SUM(C31:C41)</f>
        <v>24224307.910371311</v>
      </c>
      <c r="D42" s="52">
        <f>SUM(D31:D41)</f>
        <v>-853547.58962868887</v>
      </c>
      <c r="E42" s="49" t="str">
        <f t="shared" si="3"/>
        <v>Unfavorable</v>
      </c>
    </row>
    <row r="45" spans="1:5" x14ac:dyDescent="0.35">
      <c r="A45" s="153" t="s">
        <v>93</v>
      </c>
      <c r="B45" s="153"/>
      <c r="C45" s="153"/>
      <c r="D45" s="153"/>
      <c r="E45" s="153"/>
    </row>
    <row r="46" spans="1:5" x14ac:dyDescent="0.35">
      <c r="A46" s="153" t="s">
        <v>120</v>
      </c>
      <c r="B46" s="153"/>
      <c r="C46" s="153"/>
      <c r="D46" s="153"/>
      <c r="E46" s="153"/>
    </row>
    <row r="47" spans="1:5" x14ac:dyDescent="0.35">
      <c r="A47" s="53"/>
      <c r="B47" s="53" t="s">
        <v>100</v>
      </c>
      <c r="C47" s="53" t="s">
        <v>101</v>
      </c>
      <c r="D47" s="53" t="s">
        <v>102</v>
      </c>
      <c r="E47" s="53" t="s">
        <v>103</v>
      </c>
    </row>
    <row r="48" spans="1:5" ht="31" x14ac:dyDescent="0.35">
      <c r="A48" s="38" t="s">
        <v>104</v>
      </c>
      <c r="B48" s="38" t="s">
        <v>177</v>
      </c>
      <c r="C48" s="38" t="s">
        <v>178</v>
      </c>
      <c r="D48" s="38" t="s">
        <v>182</v>
      </c>
      <c r="E48" s="38" t="s">
        <v>121</v>
      </c>
    </row>
    <row r="49" spans="1:6" x14ac:dyDescent="0.35">
      <c r="A49" s="45" t="s">
        <v>106</v>
      </c>
      <c r="B49" s="54">
        <f>B31-B13</f>
        <v>105338</v>
      </c>
      <c r="C49" s="54">
        <f>C31-C13</f>
        <v>61304.537666174117</v>
      </c>
      <c r="D49" s="54">
        <f>D31-D13</f>
        <v>-44033.462333825883</v>
      </c>
      <c r="E49" s="49" t="str">
        <f>IF(D49&gt;0,"F","U")</f>
        <v>U</v>
      </c>
    </row>
    <row r="50" spans="1:6" x14ac:dyDescent="0.35">
      <c r="A50" s="45" t="s">
        <v>107</v>
      </c>
      <c r="B50" s="54">
        <f t="shared" ref="B50:D59" si="4">B32-B14</f>
        <v>33756.5</v>
      </c>
      <c r="C50" s="54">
        <f t="shared" si="4"/>
        <v>33164.280701754382</v>
      </c>
      <c r="D50" s="54">
        <f t="shared" si="4"/>
        <v>-592.21929824561812</v>
      </c>
      <c r="E50" s="49" t="str">
        <f t="shared" ref="E50:E60" si="5">IF(D50&gt;0,"F","U")</f>
        <v>U</v>
      </c>
    </row>
    <row r="51" spans="1:6" x14ac:dyDescent="0.35">
      <c r="A51" s="45" t="s">
        <v>108</v>
      </c>
      <c r="B51" s="54">
        <f t="shared" si="4"/>
        <v>125468.5</v>
      </c>
      <c r="C51" s="54">
        <f t="shared" si="4"/>
        <v>137464.19638242945</v>
      </c>
      <c r="D51" s="54">
        <f t="shared" si="4"/>
        <v>11995.696382429451</v>
      </c>
      <c r="E51" s="49" t="str">
        <f t="shared" si="5"/>
        <v>F</v>
      </c>
    </row>
    <row r="52" spans="1:6" x14ac:dyDescent="0.35">
      <c r="A52" s="45" t="s">
        <v>109</v>
      </c>
      <c r="B52" s="54">
        <f t="shared" si="4"/>
        <v>22518</v>
      </c>
      <c r="C52" s="54">
        <f t="shared" si="4"/>
        <v>23854.684931506985</v>
      </c>
      <c r="D52" s="54">
        <f t="shared" si="4"/>
        <v>1336.6849315069849</v>
      </c>
      <c r="E52" s="49" t="str">
        <f t="shared" si="5"/>
        <v>F</v>
      </c>
    </row>
    <row r="53" spans="1:6" x14ac:dyDescent="0.35">
      <c r="A53" s="45" t="s">
        <v>110</v>
      </c>
      <c r="B53" s="54">
        <f t="shared" si="4"/>
        <v>74677.5</v>
      </c>
      <c r="C53" s="54">
        <f t="shared" si="4"/>
        <v>86848.694751381408</v>
      </c>
      <c r="D53" s="54">
        <f t="shared" si="4"/>
        <v>12171.194751381408</v>
      </c>
      <c r="E53" s="49" t="str">
        <f t="shared" si="5"/>
        <v>F</v>
      </c>
    </row>
    <row r="54" spans="1:6" x14ac:dyDescent="0.35">
      <c r="A54" s="45" t="s">
        <v>111</v>
      </c>
      <c r="B54" s="54">
        <f t="shared" si="4"/>
        <v>-17372</v>
      </c>
      <c r="C54" s="54">
        <f t="shared" si="4"/>
        <v>-18927.893412287231</v>
      </c>
      <c r="D54" s="54">
        <f t="shared" si="4"/>
        <v>-1555.8934122872306</v>
      </c>
      <c r="E54" s="49" t="str">
        <f t="shared" si="5"/>
        <v>U</v>
      </c>
    </row>
    <row r="55" spans="1:6" x14ac:dyDescent="0.35">
      <c r="A55" s="45" t="s">
        <v>112</v>
      </c>
      <c r="B55" s="54">
        <f t="shared" si="4"/>
        <v>442428</v>
      </c>
      <c r="C55" s="54">
        <f t="shared" si="4"/>
        <v>522704.84038199205</v>
      </c>
      <c r="D55" s="54">
        <f t="shared" si="4"/>
        <v>80276.84038199205</v>
      </c>
      <c r="E55" s="49" t="str">
        <f t="shared" si="5"/>
        <v>F</v>
      </c>
    </row>
    <row r="56" spans="1:6" x14ac:dyDescent="0.35">
      <c r="A56" s="45" t="s">
        <v>113</v>
      </c>
      <c r="B56" s="54">
        <f t="shared" si="4"/>
        <v>-70463</v>
      </c>
      <c r="C56" s="54">
        <f t="shared" si="4"/>
        <v>-81494.848767488264</v>
      </c>
      <c r="D56" s="54">
        <f t="shared" si="4"/>
        <v>-11031.848767488264</v>
      </c>
      <c r="E56" s="49" t="str">
        <f t="shared" si="5"/>
        <v>U</v>
      </c>
    </row>
    <row r="57" spans="1:6" x14ac:dyDescent="0.35">
      <c r="A57" s="45" t="s">
        <v>114</v>
      </c>
      <c r="B57" s="54">
        <f t="shared" si="4"/>
        <v>87280.5</v>
      </c>
      <c r="C57" s="54">
        <f t="shared" si="4"/>
        <v>75799.863708399236</v>
      </c>
      <c r="D57" s="54">
        <f t="shared" si="4"/>
        <v>-11480.636291600764</v>
      </c>
      <c r="E57" s="49" t="str">
        <f t="shared" si="5"/>
        <v>U</v>
      </c>
    </row>
    <row r="58" spans="1:6" x14ac:dyDescent="0.35">
      <c r="A58" s="45" t="s">
        <v>115</v>
      </c>
      <c r="B58" s="54">
        <f t="shared" si="4"/>
        <v>12686.5</v>
      </c>
      <c r="C58" s="54">
        <f t="shared" si="4"/>
        <v>14052.738461538393</v>
      </c>
      <c r="D58" s="54">
        <f t="shared" si="4"/>
        <v>1366.2384615383926</v>
      </c>
      <c r="E58" s="49" t="str">
        <f t="shared" si="5"/>
        <v>F</v>
      </c>
    </row>
    <row r="59" spans="1:6" x14ac:dyDescent="0.35">
      <c r="A59" s="45" t="s">
        <v>116</v>
      </c>
      <c r="B59" s="54">
        <f t="shared" si="4"/>
        <v>226607</v>
      </c>
      <c r="C59" s="54">
        <f t="shared" si="4"/>
        <v>168481.04089219309</v>
      </c>
      <c r="D59" s="54">
        <f t="shared" si="4"/>
        <v>-58125.959107806906</v>
      </c>
      <c r="E59" s="49" t="str">
        <f t="shared" si="5"/>
        <v>U</v>
      </c>
    </row>
    <row r="60" spans="1:6" x14ac:dyDescent="0.35">
      <c r="A60" s="51" t="s">
        <v>122</v>
      </c>
      <c r="B60" s="55">
        <f>SUM(B49:B59)</f>
        <v>1042925.5</v>
      </c>
      <c r="C60" s="55">
        <f>SUM(C49:C59)</f>
        <v>1023252.1356975937</v>
      </c>
      <c r="D60" s="55">
        <f>SUM(D49:D59)</f>
        <v>-19673.364302406379</v>
      </c>
      <c r="E60" s="53" t="str">
        <f t="shared" si="5"/>
        <v>U</v>
      </c>
    </row>
    <row r="63" spans="1:6" x14ac:dyDescent="0.35">
      <c r="F63" s="50"/>
    </row>
    <row r="66" spans="3:3" x14ac:dyDescent="0.35">
      <c r="C66" s="56"/>
    </row>
    <row r="67" spans="3:3" x14ac:dyDescent="0.35">
      <c r="C67" s="56"/>
    </row>
    <row r="68" spans="3:3" x14ac:dyDescent="0.35">
      <c r="C68" s="56"/>
    </row>
    <row r="69" spans="3:3" x14ac:dyDescent="0.35">
      <c r="C69" s="56"/>
    </row>
    <row r="70" spans="3:3" x14ac:dyDescent="0.35">
      <c r="C70" s="56"/>
    </row>
    <row r="71" spans="3:3" x14ac:dyDescent="0.35">
      <c r="C71" s="56"/>
    </row>
    <row r="72" spans="3:3" x14ac:dyDescent="0.35">
      <c r="C72" s="56"/>
    </row>
    <row r="73" spans="3:3" x14ac:dyDescent="0.35">
      <c r="C73" s="56"/>
    </row>
    <row r="74" spans="3:3" x14ac:dyDescent="0.35">
      <c r="C74" s="56"/>
    </row>
    <row r="75" spans="3:3" x14ac:dyDescent="0.35">
      <c r="C75" s="56"/>
    </row>
    <row r="76" spans="3:3" x14ac:dyDescent="0.35">
      <c r="C76" s="56"/>
    </row>
    <row r="77" spans="3:3" x14ac:dyDescent="0.35">
      <c r="C77" s="56"/>
    </row>
  </sheetData>
  <mergeCells count="8">
    <mergeCell ref="A45:E45"/>
    <mergeCell ref="A46:E46"/>
    <mergeCell ref="A1:E1"/>
    <mergeCell ref="A2:E2"/>
    <mergeCell ref="A9:E9"/>
    <mergeCell ref="A10:E10"/>
    <mergeCell ref="A27:E27"/>
    <mergeCell ref="A28:E28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37704625ABB048B15866691BC93657" ma:contentTypeVersion="5" ma:contentTypeDescription="Create a new document." ma:contentTypeScope="" ma:versionID="046d4e32323fcb3bdb16158fd8d339f9">
  <xsd:schema xmlns:xsd="http://www.w3.org/2001/XMLSchema" xmlns:xs="http://www.w3.org/2001/XMLSchema" xmlns:p="http://schemas.microsoft.com/office/2006/metadata/properties" xmlns:ns2="478eae15-b145-4036-8767-7c45e37481e3" targetNamespace="http://schemas.microsoft.com/office/2006/metadata/properties" ma:root="true" ma:fieldsID="8d8507d0959d870a9c64a5da922e4336" ns2:_="">
    <xsd:import namespace="478eae15-b145-4036-8767-7c45e37481e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eae15-b145-4036-8767-7c45e37481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392311-5B28-4849-9F7E-E70B556E0D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1CB817-2DD2-4268-8F91-F19AFA5F80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8eae15-b145-4036-8767-7c45e37481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5E8104-B3E1-4972-A6A9-4D3DA8A2E9B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Income Statement</vt:lpstr>
      <vt:lpstr>Balance Sheet</vt:lpstr>
      <vt:lpstr>Cash Flows</vt:lpstr>
      <vt:lpstr>Part One</vt:lpstr>
      <vt:lpstr>Part one analysis</vt:lpstr>
      <vt:lpstr>Part Two</vt:lpstr>
      <vt:lpstr>Part 2 analysis.</vt:lpstr>
      <vt:lpstr>Variance Analysis Case Study</vt:lpstr>
      <vt:lpstr>Part Three</vt:lpstr>
    </vt:vector>
  </TitlesOfParts>
  <Company>Columbia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M. Jubinski</dc:creator>
  <cp:lastModifiedBy>surface pro7</cp:lastModifiedBy>
  <dcterms:created xsi:type="dcterms:W3CDTF">2014-08-18T16:30:31Z</dcterms:created>
  <dcterms:modified xsi:type="dcterms:W3CDTF">2026-09-30T07:57:18Z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0x010100E537704625ABB048B15866691BC93657</vt:lpwstr>
  </property>
  <property fmtid="{D5CDD505-2E9C-101B-9397-08002B2CF9AE}" pid="3" name="Order">
    <vt:r8>100</vt:r8>
  </property>
  <property fmtid="{D5CDD505-2E9C-101B-9397-08002B2CF9AE}" pid="4" name="_ShortcutWebId">
    <vt:lpwstr/>
  </property>
  <property fmtid="{D5CDD505-2E9C-101B-9397-08002B2CF9AE}" pid="5" name="_ShortcutUniqueId">
    <vt:lpwstr/>
  </property>
  <property fmtid="{D5CDD505-2E9C-101B-9397-08002B2CF9AE}" pid="6" name="Modified">
    <vt:filetime>2015-11-12T22:21:47Z</vt:filetime>
  </property>
  <property fmtid="{D5CDD505-2E9C-101B-9397-08002B2CF9AE}" pid="7" name="_ShortcutSiteId">
    <vt:lpwstr/>
  </property>
  <property fmtid="{D5CDD505-2E9C-101B-9397-08002B2CF9AE}" pid="8" name="_ShortcutUrl">
    <vt:lpwstr/>
  </property>
  <property fmtid="{D5CDD505-2E9C-101B-9397-08002B2CF9AE}" pid="9" name="Created">
    <vt:filetime>2015-11-12T22:21:47Z</vt:filetime>
  </property>
</Properties>
</file>